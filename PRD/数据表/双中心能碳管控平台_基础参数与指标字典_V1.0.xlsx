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activeTab="2"/>
  </bookViews>
  <sheets>
    <sheet name="01-说明与查询" sheetId="1" r:id="rId1"/>
    <sheet name="02-基础参数表" sheetId="2" r:id="rId2"/>
    <sheet name="03-指标清单" sheetId="3" r:id="rId3"/>
    <sheet name="04-公式变量映射" sheetId="4" r:id="rId4"/>
    <sheet name="05-数据源清单" sheetId="5" r:id="rId5"/>
    <sheet name="06-枚举字典" sheetId="6" r:id="rId6"/>
  </sheets>
  <definedNames>
    <definedName name="_xlnm._FilterDatabase" localSheetId="1" hidden="1">'02-基础参数表'!$A$1:$U$192</definedName>
    <definedName name="_xlnm._FilterDatabase" localSheetId="2" hidden="1">'03-指标清单'!$A$1:$Q$95</definedName>
    <definedName name="_xlnm._FilterDatabase" localSheetId="3" hidden="1">'04-公式变量映射'!$A$1:$I$285</definedName>
    <definedName name="_xlnm._FilterDatabase" localSheetId="4" hidden="1">'05-数据源清单'!$A$1:$H$11</definedName>
    <definedName name="_xlnm._FilterDatabase" localSheetId="5" hidden="1">'06-枚举字典'!$A$1:$F$136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<sst xmlns="http://schemas.openxmlformats.org/spreadsheetml/2006/main" count="8667" uniqueCount="2717">
  <si>
    <t>双中心能碳管控平台 · 基础参数与指标字典</t>
  </si>
  <si>
    <t>依据《“双中心”项目能碳管控指标体系（9.16）V1.7》提炼 · 用于交付开发阶段的参数与数据说明速查</t>
  </si>
  <si>
    <t>版本 V1.0　|　生成日期 2026-09-18　|　指标 94 项　|　原子参数 97 项　|　变量映射 284 行</t>
  </si>
  <si>
    <t>① 快速查询　—　在 B6 输入或下拉选择「编码 / 名称」，下方自动返回该参数或指标的全部说明信息</t>
  </si>
  <si>
    <t>查询键（编码或名称）</t>
  </si>
  <si>
    <t>EN-013</t>
  </si>
  <si>
    <t>查询状态</t>
  </si>
  <si>
    <t>匹配行号（辅助）</t>
  </si>
  <si>
    <t>在 WPS / Excel 中修改 B6 后会自动重算；单元格内已预置示例（EN-013 综合能源消费量）的缓存结果。</t>
  </si>
  <si>
    <t>编码</t>
  </si>
  <si>
    <t>名称</t>
  </si>
  <si>
    <t>类型（参数 / 指标）</t>
  </si>
  <si>
    <t>符号</t>
  </si>
  <si>
    <t>参数类别</t>
  </si>
  <si>
    <t>数据说明</t>
  </si>
  <si>
    <t>单位</t>
  </si>
  <si>
    <t>数据格式</t>
  </si>
  <si>
    <t>小数位</t>
  </si>
  <si>
    <t>取值范围 / 枚举</t>
  </si>
  <si>
    <t>默认取值 / 参考值</t>
  </si>
  <si>
    <t>数据来源</t>
  </si>
  <si>
    <t>来源对象 / 字段</t>
  </si>
  <si>
    <t>获取方式</t>
  </si>
  <si>
    <t>更新频率</t>
  </si>
  <si>
    <t>是否必填</t>
  </si>
  <si>
    <t>责任单位</t>
  </si>
  <si>
    <t>关联编码</t>
  </si>
  <si>
    <t>校验规则</t>
  </si>
  <si>
    <t>备注</t>
  </si>
  <si>
    <t>② 工作表说明</t>
  </si>
  <si>
    <t>工作表</t>
  </si>
  <si>
    <t>内容</t>
  </si>
  <si>
    <t>主要用途</t>
  </si>
  <si>
    <t>条目数</t>
  </si>
  <si>
    <t>01-说明与查询</t>
  </si>
  <si>
    <t>工作簿说明、快速查询区、编码规则、常用查询公式示例</t>
  </si>
  <si>
    <t>1</t>
  </si>
  <si>
    <t>02-基础参数表</t>
  </si>
  <si>
    <t>参数与指标的统一定义表（含来源、格式、校验、责任单位）</t>
  </si>
  <si>
    <t>公式驱动速查的主表，支持按类型 / 类别筛选</t>
  </si>
  <si>
    <t>191 项</t>
  </si>
  <si>
    <t>03-指标清单</t>
  </si>
  <si>
    <t>94 项指标的原始定义、计算公式、层级、类别、来源、用途、覆盖范围、实施要求</t>
  </si>
  <si>
    <t>保留指标体系原文信息，供需求与验收对照</t>
  </si>
  <si>
    <t>94 项</t>
  </si>
  <si>
    <t>04-公式变量映射</t>
  </si>
  <si>
    <t>指标公式中的每个变量 ↔ 基础参数表条目</t>
  </si>
  <si>
    <t>支撑公式自动取数、口径核对与影响分析</t>
  </si>
  <si>
    <t>284 行</t>
  </si>
  <si>
    <t>05-数据源清单</t>
  </si>
  <si>
    <t>各数据源系统、归属方、提供内容、对接方式、责任方</t>
  </si>
  <si>
    <t>接口与取数方案的设计依据</t>
  </si>
  <si>
    <t>10 项</t>
  </si>
  <si>
    <t>06-枚举字典</t>
  </si>
  <si>
    <t>组织、产线、工序、能源品种、格式、频率等全部枚举值域</t>
  </si>
  <si>
    <t>字段取值约束与主数据台账</t>
  </si>
  <si>
    <t>135 项</t>
  </si>
  <si>
    <t>③ 编码规则（「02-基础参数表」编码列前缀）</t>
  </si>
  <si>
    <t>ORG-</t>
  </si>
  <si>
    <t>组织主数据</t>
  </si>
  <si>
    <t>经营单位、项目公司、生产管理单元、计量点、绑定关系</t>
  </si>
  <si>
    <t>MD-</t>
  </si>
  <si>
    <t>生产主数据</t>
  </si>
  <si>
    <t>产品型号、产品种类、产线、工序、映射关系、生产工单、统计期</t>
  </si>
  <si>
    <t>EN-</t>
  </si>
  <si>
    <t>能源数据</t>
  </si>
  <si>
    <t>电 / 天然气 / 蒸汽 / 热力 / 油品 / 水等消耗量，综合能源消费量，折标系数引用</t>
  </si>
  <si>
    <t>OUT-</t>
  </si>
  <si>
    <t>产量数据</t>
  </si>
  <si>
    <t>产品产量、工序产量、订单产量（变压器 / 线缆 / 铁心 / 电容器等）</t>
  </si>
  <si>
    <t>VAL-</t>
  </si>
  <si>
    <t>产值数据</t>
  </si>
  <si>
    <t>工业增加值、产品产值、各工序对应产值</t>
  </si>
  <si>
    <t>CAR-</t>
  </si>
  <si>
    <t>碳排放数据</t>
  </si>
  <si>
    <t>二氧化碳排放量及其各项分量、产品碳足迹、产品类别数量</t>
  </si>
  <si>
    <t>EQ-</t>
  </si>
  <si>
    <t>设备数据</t>
  </si>
  <si>
    <t>节能装备与全部装备的额定功率及台账</t>
  </si>
  <si>
    <t>FAC-</t>
  </si>
  <si>
    <t>计算系数</t>
  </si>
  <si>
    <t>折标准煤系数、碳排放因子、含碳量、低位发热量、碳氧化率</t>
  </si>
  <si>
    <t>IND-</t>
  </si>
  <si>
    <t>指标</t>
  </si>
  <si>
    <t>94 项能碳管控指标本体（IND-001 ~ IND-094）</t>
  </si>
  <si>
    <t>SRC-</t>
  </si>
  <si>
    <t>数据源</t>
  </si>
  <si>
    <t>数据源系统（见「05-数据源清单」）</t>
  </si>
  <si>
    <t>④ 常用查询公式示例（复制后在最前补一个等号即可使用）</t>
  </si>
  <si>
    <t>按编码查数据说明</t>
  </si>
  <si>
    <t>VLOOKUP("EN-013",'02-基础参数表'!$B:$U,6,0)</t>
  </si>
  <si>
    <t>按编码查数据来源</t>
  </si>
  <si>
    <t>VLOOKUP("EN-013",'02-基础参数表'!$B:$U,12,0)</t>
  </si>
  <si>
    <t>按编码查数据格式</t>
  </si>
  <si>
    <t>VLOOKUP("IND-035",'02-基础参数表'!$B:$U,8,0)</t>
  </si>
  <si>
    <t>按编码查单位与校验</t>
  </si>
  <si>
    <t>VLOOKUP("VAL-001",'02-基础参数表'!$B:$U,7,0)&amp;" / "&amp;VLOOKUP("VAL-001",'02-基础参数表'!$B:$U,19,0)</t>
  </si>
  <si>
    <t>按名称查数据来源</t>
  </si>
  <si>
    <t>VLOOKUP("综合能源消费量",'02-基础参数表'!$C:$U,11,0)</t>
  </si>
  <si>
    <t>编码与名称双向兼容</t>
  </si>
  <si>
    <t>IFNA(VLOOKUP($B$6,'02-基础参数表'!$B:$U,6,0),VLOOKUP($B$6,'02-基础参数表'!$C:$U,5,0))</t>
  </si>
  <si>
    <t>查指标计算公式</t>
  </si>
  <si>
    <t>VLOOKUP("IND-004",'03-指标清单'!$B:$Q,5,0)</t>
  </si>
  <si>
    <t>查指标覆盖范围</t>
  </si>
  <si>
    <t>VLOOKUP("IND-017",'03-指标清单'!$B:$Q,12,0)</t>
  </si>
  <si>
    <t>查某指标用到的参数编码</t>
  </si>
  <si>
    <t>VLOOKUP("IND-035",'03-指标清单'!$B:$Q,14,0)</t>
  </si>
  <si>
    <t>查某指标变量的参数归属</t>
  </si>
  <si>
    <t>VLOOKUP("IND-035",'04-公式变量映射'!$A:$I,7,0)</t>
  </si>
  <si>
    <t>统计某类参数数量</t>
  </si>
  <si>
    <t>COUNTIF('02-基础参数表'!$F:$F,"能源数据")</t>
  </si>
  <si>
    <t>按参数类别列出全部名称</t>
  </si>
  <si>
    <t>TEXTJOIN("、",1,IF('02-基础参数表'!$F$3:$F$193="能源数据",'02-基础参数表'!$C$3:$C$193,""))</t>
  </si>
  <si>
    <t>⑤ 维护约定</t>
  </si>
  <si>
    <t>1. 本表为唯一参数口径来源：指标计算公式中的变量一律通过「04-公式变量映射」关联到「02-基础参数表」条目，不得另立口径。</t>
  </si>
  <si>
    <t>2. 折标准煤系数、碳排放因子（FAC-*）由电装统一维护，年度复核；参考值仅供开发校验，正式取值以电装维护值为准。</t>
  </si>
  <si>
    <t>3. 分母类参数（产量、产值、装备功率）在公式中必须做空值与 0 值保护，分母为空或 0 时指标返回空值。</t>
  </si>
  <si>
    <t>4. 集控中心侧的能耗类数据统一由系统计算；手工录入仅覆盖绿电 / 绿证、难以自动采集的油品与天然气、工业增加值、用水量、装备台账。</t>
  </si>
  <si>
    <t>5. 新增指标或参数时，须同步补充：编码与名称、数据说明、单位、数据格式、数据来源、获取方式、更新频率、责任单位，并在「04-公式变量映射」中登记变量归属。</t>
  </si>
  <si>
    <t>6. 指标定义、覆盖范围、各单位实施要求以「03-指标清单」原文为准；本表不改变原指标的核算口径。</t>
  </si>
  <si>
    <t>序号</t>
  </si>
  <si>
    <t>类型</t>
  </si>
  <si>
    <t>必填</t>
  </si>
  <si>
    <t>CAR-001</t>
  </si>
  <si>
    <t>二氧化碳排放量</t>
  </si>
  <si>
    <t>参数</t>
  </si>
  <si>
    <t>C</t>
  </si>
  <si>
    <t>统计期内企业组织产生的二氧化碳总排放量（本次口径仅含能源碳排放）</t>
  </si>
  <si>
    <t>tCO2</t>
  </si>
  <si>
    <t>数值（3 位小数）</t>
  </si>
  <si>
    <t>3</t>
  </si>
  <si>
    <t>≥0</t>
  </si>
  <si>
    <t>—</t>
  </si>
  <si>
    <t>集控中心（系统自动计算）</t>
  </si>
  <si>
    <t>计算字段</t>
  </si>
  <si>
    <t>计算</t>
  </si>
  <si>
    <t>月度</t>
  </si>
  <si>
    <t>是</t>
  </si>
  <si>
    <t>电装</t>
  </si>
  <si>
    <t>IND-004、IND-005</t>
  </si>
  <si>
    <t>生产过程排放与固碳数据难统计，本次不纳入</t>
  </si>
  <si>
    <t>CAR-002</t>
  </si>
  <si>
    <t>化石燃料燃烧排放量</t>
  </si>
  <si>
    <t>C燃烧</t>
  </si>
  <si>
    <t>化石燃料燃烧产生的二氧化碳排放量总和</t>
  </si>
  <si>
    <t>集控中心</t>
  </si>
  <si>
    <t>IND-004</t>
  </si>
  <si>
    <t>按燃料品种分别核算</t>
  </si>
  <si>
    <t>CAR-003</t>
  </si>
  <si>
    <t>过程排放量</t>
  </si>
  <si>
    <t>C过程</t>
  </si>
  <si>
    <t>工业生产过程产生的二氧化碳排放量总和</t>
  </si>
  <si>
    <t>0</t>
  </si>
  <si>
    <t>否</t>
  </si>
  <si>
    <t>当前口径按 0 处理</t>
  </si>
  <si>
    <t>CAR-004</t>
  </si>
  <si>
    <t>购入电力排放量</t>
  </si>
  <si>
    <t>C购入电</t>
  </si>
  <si>
    <t>购入电力对应的二氧化碳排放量</t>
  </si>
  <si>
    <t>采用省级电力平均排放因子 FAC-009</t>
  </si>
  <si>
    <t>CAR-005</t>
  </si>
  <si>
    <t>输出电力排放量</t>
  </si>
  <si>
    <t>C输出电</t>
  </si>
  <si>
    <t>输出电力对应的二氧化碳排放量（扣减项）</t>
  </si>
  <si>
    <t>无电力输出时取 0</t>
  </si>
  <si>
    <t>CAR-006</t>
  </si>
  <si>
    <t>购入热力排放量</t>
  </si>
  <si>
    <t>C购入热</t>
  </si>
  <si>
    <t>购入热力对应的二氧化碳排放量</t>
  </si>
  <si>
    <t>热力排放因子见 FAC-013</t>
  </si>
  <si>
    <t>CAR-007</t>
  </si>
  <si>
    <t>输出热力排放量</t>
  </si>
  <si>
    <t>C输出热</t>
  </si>
  <si>
    <t>输出热力对应的二氧化碳排放量（扣减项）</t>
  </si>
  <si>
    <t>无热力输出时取 0</t>
  </si>
  <si>
    <t>CAR-008</t>
  </si>
  <si>
    <t>二氧化碳回收利用量</t>
  </si>
  <si>
    <t>C回收利用</t>
  </si>
  <si>
    <t>化石燃料燃烧、工艺过程产生的 CO2 经回收自用或外供且确保未再次排放所对应的量（扣减项）</t>
  </si>
  <si>
    <t>CAR-009</t>
  </si>
  <si>
    <t>产品碳足迹值</t>
  </si>
  <si>
    <t>CF</t>
  </si>
  <si>
    <t>摇篮到大门阶段的产品碳足迹值，引用 GB/T 24067、ISO 14067</t>
  </si>
  <si>
    <t>tCO2/台套、tCO2/km 等</t>
  </si>
  <si>
    <t>数值（4 位小数）</t>
  </si>
  <si>
    <t>4</t>
  </si>
  <si>
    <t>碳足迹在线核算及报告系统</t>
  </si>
  <si>
    <t>碳足迹核算结果</t>
  </si>
  <si>
    <t>系统对接</t>
  </si>
  <si>
    <t>实时 / 月度</t>
  </si>
  <si>
    <t>各项目公司</t>
  </si>
  <si>
    <t>IND-001</t>
  </si>
  <si>
    <t>由碳足迹系统计算并回传集控 / 集采中心</t>
  </si>
  <si>
    <t>CAR-010</t>
  </si>
  <si>
    <t>开展碳足迹分析的产品类别数量</t>
  </si>
  <si>
    <t>Ncf</t>
  </si>
  <si>
    <t>统计期内开展主要产品碳足迹分析的产品类别数量</t>
  </si>
  <si>
    <t>个</t>
  </si>
  <si>
    <t>数值（0 位小数）</t>
  </si>
  <si>
    <t>核算报告台账</t>
  </si>
  <si>
    <t>IND-002</t>
  </si>
  <si>
    <t>≥0 且 ≤ 主要产品类别总数</t>
  </si>
  <si>
    <t>系统提供开展计算的产品种类明细</t>
  </si>
  <si>
    <t>CAR-011</t>
  </si>
  <si>
    <t>主要产品类别总数</t>
  </si>
  <si>
    <t>N</t>
  </si>
  <si>
    <t>单位全部主要产品类别数量</t>
  </si>
  <si>
    <t>&gt;0</t>
  </si>
  <si>
    <t>ERP 系统</t>
  </si>
  <si>
    <t>物料主数据.产品类别</t>
  </si>
  <si>
    <t>从 ERP 获取全部产品种类明细</t>
  </si>
  <si>
    <t>CAR-012</t>
  </si>
  <si>
    <t>净购入电力消费量</t>
  </si>
  <si>
    <t>购入电力扣除输出电力后的净消费量，用于碳排放核算</t>
  </si>
  <si>
    <t>MWh</t>
  </si>
  <si>
    <t>数值（2 位小数）</t>
  </si>
  <si>
    <t>2</t>
  </si>
  <si>
    <t>CAR-013</t>
  </si>
  <si>
    <t>净购入热力消费量</t>
  </si>
  <si>
    <t>购入热力扣除输出热力后的净消费量</t>
  </si>
  <si>
    <t>GJ</t>
  </si>
  <si>
    <t>CAR-014</t>
  </si>
  <si>
    <t>化石燃料分品种消费量</t>
  </si>
  <si>
    <t>天然气、柴油、汽油、煤油等化石燃料的分品种消费量</t>
  </si>
  <si>
    <t>t 或 m³</t>
  </si>
  <si>
    <t>燃料台账</t>
  </si>
  <si>
    <t>自动采集 + 手工录入</t>
  </si>
  <si>
    <t>与 EN-006、EN-010~EN-012 同源</t>
  </si>
  <si>
    <t>EN-001</t>
  </si>
  <si>
    <t>电力消费量</t>
  </si>
  <si>
    <t>Q电</t>
  </si>
  <si>
    <t>统计期内项目公司总用电量（含市电与绿电，含公辅设备用电）</t>
  </si>
  <si>
    <t>kWh</t>
  </si>
  <si>
    <t>集控中心（电表自动采集）</t>
  </si>
  <si>
    <t>电量测点.正向有功电量</t>
  </si>
  <si>
    <t>自动采集</t>
  </si>
  <si>
    <t>实时采集、月度汇总</t>
  </si>
  <si>
    <t>IND-013、IND-017~IND-094（各类电耗指标）</t>
  </si>
  <si>
    <t>≥0；月度环比偏差 &gt; 30% 需说明</t>
  </si>
  <si>
    <t>绿电与市电合计，不重复计量</t>
  </si>
  <si>
    <t>EN-002</t>
  </si>
  <si>
    <t>市电消费量</t>
  </si>
  <si>
    <t>统计期内从电网购入的常规电力消费量</t>
  </si>
  <si>
    <t>电量测点（市电回路）</t>
  </si>
  <si>
    <t>IND-003、IND-004、IND-006</t>
  </si>
  <si>
    <t>与绿电分别计量</t>
  </si>
  <si>
    <t>EN-003</t>
  </si>
  <si>
    <t>绿电消费量</t>
  </si>
  <si>
    <t>统计期内消费的绿电总量（自建新能源自发自用 + 绿电直连 + 购买绿电）</t>
  </si>
  <si>
    <t>集控中心录入界面</t>
  </si>
  <si>
    <t>绿电台账</t>
  </si>
  <si>
    <t>手工录入（月度）</t>
  </si>
  <si>
    <t>IND-006、IND-007</t>
  </si>
  <si>
    <t>≥0 且 ≤ 总用电量</t>
  </si>
  <si>
    <t>需保留绿电交易凭证</t>
  </si>
  <si>
    <t>EN-004</t>
  </si>
  <si>
    <t>绿证购入量</t>
  </si>
  <si>
    <t>统计期内购买的绿色电力证书数量（对应电量）</t>
  </si>
  <si>
    <t>张 / MWh</t>
  </si>
  <si>
    <t>绿证台账</t>
  </si>
  <si>
    <t>IND-006</t>
  </si>
  <si>
    <t>计入非化石能源消费占比分子；不计入物理认定量占比</t>
  </si>
  <si>
    <t>EN-005</t>
  </si>
  <si>
    <t>非化石能源电力消费物理认定量</t>
  </si>
  <si>
    <t>Ez</t>
  </si>
  <si>
    <t>具备物理可溯源条件的非化石能源电力消费量（自建消纳绿电 + 非自建绿电直连量）</t>
  </si>
  <si>
    <t>绿电直连 / 自建台账</t>
  </si>
  <si>
    <t>系统对接 / 手工录入</t>
  </si>
  <si>
    <t>IND-007</t>
  </si>
  <si>
    <t>交易绿电、绿证不纳入分子</t>
  </si>
  <si>
    <t>EN-006</t>
  </si>
  <si>
    <t>天然气消费量</t>
  </si>
  <si>
    <t>Q天然气</t>
  </si>
  <si>
    <t>统计期内天然气消费量（燃料用或原料用）</t>
  </si>
  <si>
    <t>m³</t>
  </si>
  <si>
    <t>集控中心（气表自动采集）/ 录入界面</t>
  </si>
  <si>
    <t>气量测点</t>
  </si>
  <si>
    <t>自动采集优先，否则手工录入</t>
  </si>
  <si>
    <t>IND-004、IND-015</t>
  </si>
  <si>
    <t>能自动采集的优先取自动采集数据</t>
  </si>
  <si>
    <t>EN-007</t>
  </si>
  <si>
    <t>蒸汽消费量（质量）</t>
  </si>
  <si>
    <t>Q蒸汽</t>
  </si>
  <si>
    <t>统计期内外购 / 自产蒸汽消费量，按质量计量</t>
  </si>
  <si>
    <t>t</t>
  </si>
  <si>
    <t>集控中心（蒸汽流量计）/ 录入界面</t>
  </si>
  <si>
    <t>蒸汽测点</t>
  </si>
  <si>
    <t>IND-014、IND-041、IND-046、IND-051、IND-077</t>
  </si>
  <si>
    <t>指标单位为 GJ 时按蒸汽热焓折算</t>
  </si>
  <si>
    <t>EN-008</t>
  </si>
  <si>
    <t>蒸汽消费量（热量）</t>
  </si>
  <si>
    <t>蒸汽消费量按热值折算后的能量值，用于综合能源消费量计算</t>
  </si>
  <si>
    <t>蒸汽测点 + 热焓参数</t>
  </si>
  <si>
    <t>IND-003、IND-014</t>
  </si>
  <si>
    <t>折算系数见 FAC-004</t>
  </si>
  <si>
    <t>EN-009</t>
  </si>
  <si>
    <t>热力消费量</t>
  </si>
  <si>
    <t>统计期内购入热力（热水 / 热网）消费量</t>
  </si>
  <si>
    <t>集控中心 / 录入界面</t>
  </si>
  <si>
    <t>热量表</t>
  </si>
  <si>
    <t>IND-003、IND-004、IND-012</t>
  </si>
  <si>
    <t>EN-010</t>
  </si>
  <si>
    <t>柴油消费量</t>
  </si>
  <si>
    <t>统计期内柴油消耗量（车辆、叉车、应急发电机等）</t>
  </si>
  <si>
    <t>油品台账</t>
  </si>
  <si>
    <t>IND-003、IND-004</t>
  </si>
  <si>
    <t>EN-011</t>
  </si>
  <si>
    <t>汽油消费量</t>
  </si>
  <si>
    <t>统计期内汽油消耗量</t>
  </si>
  <si>
    <t>EN-012</t>
  </si>
  <si>
    <t>煤油消费量</t>
  </si>
  <si>
    <t>统计期内煤油消耗量</t>
  </si>
  <si>
    <t>综合能源消费量</t>
  </si>
  <si>
    <t>E</t>
  </si>
  <si>
    <t>统计期内组织综合能源消费总量，由各能源品种消耗量 × 折标准煤系数加总得到；电力按当量值折标</t>
  </si>
  <si>
    <t>tce</t>
  </si>
  <si>
    <t>电装（统一计算）</t>
  </si>
  <si>
    <t>IND-003、IND-005、IND-008、IND-010、IND-012</t>
  </si>
  <si>
    <t>电力折标使用当量值系数 FAC-001</t>
  </si>
  <si>
    <t>EN-014</t>
  </si>
  <si>
    <t>消耗的能源种类数</t>
  </si>
  <si>
    <t>n</t>
  </si>
  <si>
    <t>统计维度</t>
  </si>
  <si>
    <t>参与综合能源消费量折算的能源品种数量</t>
  </si>
  <si>
    <t>1~20</t>
  </si>
  <si>
    <t>IND-003</t>
  </si>
  <si>
    <t>≥1</t>
  </si>
  <si>
    <t>与能源品种台账一致</t>
  </si>
  <si>
    <t>EN-015</t>
  </si>
  <si>
    <t>第 i 种能源消费量</t>
  </si>
  <si>
    <t>Ei</t>
  </si>
  <si>
    <t>参与折算的第 i 种能源实物消费量（电、天然气、蒸汽、热力、柴油、汽油、煤油等）</t>
  </si>
  <si>
    <t>各品种原单位</t>
  </si>
  <si>
    <t>各能源品种计量 / 台账</t>
  </si>
  <si>
    <t>按能源品种分别取数</t>
  </si>
  <si>
    <t>EN-016</t>
  </si>
  <si>
    <t>第 i 种能源折标准煤系数</t>
  </si>
  <si>
    <t>ki</t>
  </si>
  <si>
    <t>第 i 种能源折算为标准煤的系数，由电装统一维护</t>
  </si>
  <si>
    <t>kgce/单位或 tce/单位</t>
  </si>
  <si>
    <t>见 FAC-001~FAC-008</t>
  </si>
  <si>
    <t>电装统一维护</t>
  </si>
  <si>
    <t>系数表</t>
  </si>
  <si>
    <t>系统维护</t>
  </si>
  <si>
    <t>年度复核</t>
  </si>
  <si>
    <t>依据 GB/T 2589</t>
  </si>
  <si>
    <t>EN-017</t>
  </si>
  <si>
    <t>非化石能源消费量</t>
  </si>
  <si>
    <t>R</t>
  </si>
  <si>
    <t>各类非化石能源消费量（不含作为原料使用的能源），交易绿电、绿证可纳入</t>
  </si>
  <si>
    <t>绿电 / 绿证折算台账</t>
  </si>
  <si>
    <t>≥0 且 ≤ 综合能源消费量</t>
  </si>
  <si>
    <t>与分母口径保持一致</t>
  </si>
  <si>
    <t>EN-018</t>
  </si>
  <si>
    <t>综合能源消费量（不含原料用能）</t>
  </si>
  <si>
    <t>E′</t>
  </si>
  <si>
    <t>扣除作为原料使用的能源后，用于非化石能源消费占比分母的综合能源消费量</t>
  </si>
  <si>
    <t>口径与 EN-013 存在差异，不可混用</t>
  </si>
  <si>
    <t>EN-019</t>
  </si>
  <si>
    <t>非化石能源消费量（不含原料用能）</t>
  </si>
  <si>
    <t>R′</t>
  </si>
  <si>
    <t>扣除原料用能后的非化石能源消费量</t>
  </si>
  <si>
    <t>口径与 EN-017 存在差异，不可混用</t>
  </si>
  <si>
    <t>EN-020</t>
  </si>
  <si>
    <t>总用电量</t>
  </si>
  <si>
    <t>Q</t>
  </si>
  <si>
    <t>统计期内总用电量，作为非化石能源电力物理认定量占比的分母</t>
  </si>
  <si>
    <t>原表分母标注为「千kWh」，开发时统一按 kWh 存储、展示时换算</t>
  </si>
  <si>
    <t>EN-021</t>
  </si>
  <si>
    <t>工序 / 产线电力消费量</t>
  </si>
  <si>
    <t>Q*电</t>
  </si>
  <si>
    <t>按「组织 × 产线 × 工序 × 统计期」归集的电力消费量（拉丝、交联、器身干燥、试验、钣金加工等工序）</t>
  </si>
  <si>
    <t>本地数据采集模块 → 集控中心</t>
  </si>
  <si>
    <t>工序测点.电量</t>
  </si>
  <si>
    <t>IND-013、IND-017~IND-094</t>
  </si>
  <si>
    <t>≥0；各工序合计 ≤ 组织总电量</t>
  </si>
  <si>
    <t>须完成生产-能源绑定</t>
  </si>
  <si>
    <t>EN-022</t>
  </si>
  <si>
    <t>工序 / 产线蒸汽消费量</t>
  </si>
  <si>
    <t>Q*蒸汽</t>
  </si>
  <si>
    <t>按工序归集的蒸汽消费量（器身干燥、互感器干燥等）</t>
  </si>
  <si>
    <t>t 或 GJ</t>
  </si>
  <si>
    <t>工序测点.蒸汽量</t>
  </si>
  <si>
    <t>按指标单位选择 t 或 GJ</t>
  </si>
  <si>
    <t>EN-023</t>
  </si>
  <si>
    <t>工序 / 产线天然气消费量</t>
  </si>
  <si>
    <t>Q*天然气</t>
  </si>
  <si>
    <t>按工序归集的天然气消费量</t>
  </si>
  <si>
    <t>工序测点.气量</t>
  </si>
  <si>
    <t>IND-015</t>
  </si>
  <si>
    <t>EN-024</t>
  </si>
  <si>
    <t>工序 / 产线热力消费量</t>
  </si>
  <si>
    <t>Q*热力</t>
  </si>
  <si>
    <t>按工序归集的热力消费量</t>
  </si>
  <si>
    <t>工序测点.热量</t>
  </si>
  <si>
    <t>IND-012</t>
  </si>
  <si>
    <t>EN-025</t>
  </si>
  <si>
    <t>工序 / 产线综合能源消费量</t>
  </si>
  <si>
    <t>E*</t>
  </si>
  <si>
    <t>按工序归集的多种能源折标后合计（如器身干燥工序含电 + 蒸汽）</t>
  </si>
  <si>
    <t>IND-035、IND-040、IND-045、IND-050、IND-055、IND-060、IND-066</t>
  </si>
  <si>
    <t>电力按当量值折标</t>
  </si>
  <si>
    <t>EN-026</t>
  </si>
  <si>
    <t>用水量（总量）</t>
  </si>
  <si>
    <t>Q水</t>
  </si>
  <si>
    <t>统计期内实际用于生产、生活等用途且未返回环境或未再次回用的水量</t>
  </si>
  <si>
    <t>集控中心录入界面 / 水表</t>
  </si>
  <si>
    <t>水量台账</t>
  </si>
  <si>
    <t>手工录入或自动采集</t>
  </si>
  <si>
    <t>IND-011、IND-016</t>
  </si>
  <si>
    <t>无法系统上送的单位可手工定期录入</t>
  </si>
  <si>
    <t>EN-027</t>
  </si>
  <si>
    <t>生产用水量</t>
  </si>
  <si>
    <t>用于生产环节的用水量</t>
  </si>
  <si>
    <t>用水台账</t>
  </si>
  <si>
    <t>IND-011</t>
  </si>
  <si>
    <t>EN-028</t>
  </si>
  <si>
    <t>生活用水量</t>
  </si>
  <si>
    <t>用于办公、生活环节的用水量</t>
  </si>
  <si>
    <t>EN-029</t>
  </si>
  <si>
    <t>再生水 / 中水回用量</t>
  </si>
  <si>
    <t>中水或其他再生水的循环使用量（经计算处理后上报）</t>
  </si>
  <si>
    <t>回用水台账</t>
  </si>
  <si>
    <t>有再生水使用的单位必填</t>
  </si>
  <si>
    <t>EQ-001</t>
  </si>
  <si>
    <t>节能装备累计额定总功率</t>
  </si>
  <si>
    <t>Res</t>
  </si>
  <si>
    <t>达到或优于能效强制性国家标准 2 级水平和节能水平的装备累计额定总功率</t>
  </si>
  <si>
    <t>kW</t>
  </si>
  <si>
    <t>装备台账</t>
  </si>
  <si>
    <t>手工录入（增量更新）</t>
  </si>
  <si>
    <t>增量更新</t>
  </si>
  <si>
    <t>IND-009</t>
  </si>
  <si>
    <t>≥0 且 ≤ 纳入统计范围装备累计额定总功率</t>
  </si>
  <si>
    <t>电动机、变压器、工业锅炉、风机、空压机、制冷设备、热泵等</t>
  </si>
  <si>
    <t>EQ-002</t>
  </si>
  <si>
    <t>纳入统计范围装备累计额定总功率</t>
  </si>
  <si>
    <t>Ets</t>
  </si>
  <si>
    <t>具有适用能效强制性国家标准的装备累计额定总功率；无适用标准的装备不纳入统计</t>
  </si>
  <si>
    <t>&gt;0；分母为 0 时指标置空</t>
  </si>
  <si>
    <t>EQ-003</t>
  </si>
  <si>
    <t>节能装备明细</t>
  </si>
  <si>
    <t>节能装备逐台台账（名称、型号、额定功率、能效等级、投运日期等）</t>
  </si>
  <si>
    <t>文本</t>
  </si>
  <si>
    <t>手工录入</t>
  </si>
  <si>
    <t>关键字段非空</t>
  </si>
  <si>
    <t>支撑 Res 的计算与追溯</t>
  </si>
  <si>
    <t>EQ-004</t>
  </si>
  <si>
    <t>装备台账明细</t>
  </si>
  <si>
    <t>企业全部装备逐台台账（含能效标准适用性判定）</t>
  </si>
  <si>
    <t>支撑 Ets 的计算与追溯</t>
  </si>
  <si>
    <t>FAC-001</t>
  </si>
  <si>
    <t>电力折标准煤系数（当量值）</t>
  </si>
  <si>
    <t>电力按当量值折算标准煤的系数，用于综合能源消费量计算</t>
  </si>
  <si>
    <t>kgce/kWh</t>
  </si>
  <si>
    <t>0.1229</t>
  </si>
  <si>
    <t>依据 GB/T 2589；核算综合能源消费量时使用</t>
  </si>
  <si>
    <t>FAC-002</t>
  </si>
  <si>
    <t>电力折标准煤系数（等价值）</t>
  </si>
  <si>
    <t>电力按等价值折算标准煤的系数；优先使用所在省平均发电煤耗，无法获取时取 0.2856</t>
  </si>
  <si>
    <t>0.2856（缺省）</t>
  </si>
  <si>
    <t>IND-005</t>
  </si>
  <si>
    <t>用于单位能耗碳排放分母折标</t>
  </si>
  <si>
    <t>FAC-003</t>
  </si>
  <si>
    <t>天然气折标准煤系数</t>
  </si>
  <si>
    <t>天然气折算标准煤系数</t>
  </si>
  <si>
    <t>kgce/m³</t>
  </si>
  <si>
    <t>1.3300</t>
  </si>
  <si>
    <t>GB/T 2589 参考值，以电装维护值为准</t>
  </si>
  <si>
    <t>FAC-004</t>
  </si>
  <si>
    <t>蒸汽折标准煤系数</t>
  </si>
  <si>
    <t>蒸汽按热焓折算标准煤的系数（随蒸汽压力 / 温度变化）</t>
  </si>
  <si>
    <t>kgce/t</t>
  </si>
  <si>
    <t>按蒸汽热焓计算</t>
  </si>
  <si>
    <t>建议按压力 / 温度分档维护</t>
  </si>
  <si>
    <t>FAC-005</t>
  </si>
  <si>
    <t>热力折标准煤系数</t>
  </si>
  <si>
    <t>热力折算标准煤系数</t>
  </si>
  <si>
    <t>kgce/GJ</t>
  </si>
  <si>
    <t>34.12</t>
  </si>
  <si>
    <t>即 0.03412 kgce/MJ</t>
  </si>
  <si>
    <t>FAC-006</t>
  </si>
  <si>
    <t>柴油折标准煤系数</t>
  </si>
  <si>
    <t>柴油折算标准煤系数</t>
  </si>
  <si>
    <t>kgce/kg</t>
  </si>
  <si>
    <t>1.4571</t>
  </si>
  <si>
    <t>GB/T 2589 参考值</t>
  </si>
  <si>
    <t>FAC-007</t>
  </si>
  <si>
    <t>汽油折标准煤系数</t>
  </si>
  <si>
    <t>汽油折算标准煤系数</t>
  </si>
  <si>
    <t>1.4714</t>
  </si>
  <si>
    <t>FAC-008</t>
  </si>
  <si>
    <t>煤油折标准煤系数</t>
  </si>
  <si>
    <t>煤油折算标准煤系数</t>
  </si>
  <si>
    <t>FAC-009</t>
  </si>
  <si>
    <t>电力二氧化碳排放因子</t>
  </si>
  <si>
    <t>省级电网平均二氧化碳排放因子，用于购入电力碳排放核算</t>
  </si>
  <si>
    <t>tCO2/MWh</t>
  </si>
  <si>
    <t>按所在省最新公布值</t>
  </si>
  <si>
    <t>IND-004、IND-001</t>
  </si>
  <si>
    <t>取省级电力平均二氧化碳排放因子</t>
  </si>
  <si>
    <t>FAC-010</t>
  </si>
  <si>
    <t>化石燃料单位热值含碳量</t>
  </si>
  <si>
    <t>各化石燃料的单位热值含碳量，用于燃烧排放核算</t>
  </si>
  <si>
    <t>tC/GJ</t>
  </si>
  <si>
    <t>按燃料品种</t>
  </si>
  <si>
    <t>依据国家温室气体核算指南</t>
  </si>
  <si>
    <t>FAC-011</t>
  </si>
  <si>
    <t>化石燃料低位发热量</t>
  </si>
  <si>
    <t>各化石燃料的低位发热量</t>
  </si>
  <si>
    <t>GJ/t 或 GJ/万m³</t>
  </si>
  <si>
    <t>FAC-012</t>
  </si>
  <si>
    <t>化石燃料碳氧化率</t>
  </si>
  <si>
    <t>各化石燃料燃烧的碳氧化率</t>
  </si>
  <si>
    <t>%</t>
  </si>
  <si>
    <t>0~100</t>
  </si>
  <si>
    <t>按燃料品种（常用 98%）</t>
  </si>
  <si>
    <t>FAC-013</t>
  </si>
  <si>
    <t>热力二氧化碳排放因子</t>
  </si>
  <si>
    <t>购入热力对应的二氧化碳排放因子</t>
  </si>
  <si>
    <t>tCO2/GJ</t>
  </si>
  <si>
    <t>按供热来源</t>
  </si>
  <si>
    <t>产品碳足迹</t>
  </si>
  <si>
    <t>指标 / 产品</t>
  </si>
  <si>
    <t>引用GB/T 24067、ISO14067，主要管理摇篮到大门阶段的产品碳足迹；计算公式：CF = Σ(活动数据i × 排放因子i)（摇篮到大门阶段）</t>
  </si>
  <si>
    <t>tCo2/台套，tCo2/km等</t>
  </si>
  <si>
    <t>集采中心（系统自动计算）</t>
  </si>
  <si>
    <t>公式变量：—</t>
  </si>
  <si>
    <t>自动计算</t>
  </si>
  <si>
    <t>电装·集采中心</t>
  </si>
  <si>
    <t>≥0；分母为空或 0 时指标置空</t>
  </si>
  <si>
    <t>指标来源：外部要求（应对CBAM及绿色招采)。覆盖范围、指标用途及各单位实施要求详见「03-指标清单」。</t>
  </si>
  <si>
    <t>开展产品碳足迹分析占比</t>
  </si>
  <si>
    <t>Rcf、Ncf、N</t>
  </si>
  <si>
    <t>指标 / 工厂</t>
  </si>
  <si>
    <t>指统计期内开展主要产品碳足迹分析的产品类别数量占主要产品类别总数的比值；计算公式：Rcf = Ncf / N</t>
  </si>
  <si>
    <t>百分比</t>
  </si>
  <si>
    <t>公式变量：Rcf、Ncf、N</t>
  </si>
  <si>
    <t>CAR-010、CAR-011</t>
  </si>
  <si>
    <t>指标来源：国家级零碳工厂。覆盖范围、指标用途及各单位实施要求详见「03-指标清单」。</t>
  </si>
  <si>
    <t>E、n、Ei、ki</t>
  </si>
  <si>
    <t>指统计期内组织综合能源消费的总吨标准煤；计算公式：E = Σ(Ei × ki)   (i = 1..n)</t>
  </si>
  <si>
    <t>公式变量：E、n、Ei、ki</t>
  </si>
  <si>
    <t>电装·集控中心</t>
  </si>
  <si>
    <t>EN-014、EN-015、EN-016</t>
  </si>
  <si>
    <t>总碳排放量</t>
  </si>
  <si>
    <t>C、C燃烧、C过程、C购入电、C输出电、C购入热、C输出热、C回收利用</t>
  </si>
  <si>
    <t>指统计期内企业组织产生的二氧化碳总排放量；计算公式：C = C燃烧 + C过程 + C购入电 + C购入热 − C输出电 − C输出热 − C回收利用</t>
  </si>
  <si>
    <t>公式变量：C、C燃烧、C过程、C购入电、C输出电、C购入热、C输出热、C回收利用</t>
  </si>
  <si>
    <t>CAR-002、CAR-003、CAR-004、CAR-005、CAR-006、CAR-007、CAR-008</t>
  </si>
  <si>
    <t>单位能耗碳排放</t>
  </si>
  <si>
    <t>I、C、E</t>
  </si>
  <si>
    <t>指统计期内每消费一吨标准煤产生的二氧化碳排放量；计算公式：I = C / E</t>
  </si>
  <si>
    <t>tCO2/tce</t>
  </si>
  <si>
    <t>公式变量：I、C、E</t>
  </si>
  <si>
    <t>CAR-001、EN-013</t>
  </si>
  <si>
    <t>非化石能源消费占比</t>
  </si>
  <si>
    <t>r、R、E</t>
  </si>
  <si>
    <t>指统计期内非化石能源消费量与综合能源消费量的比值；计算公式：r = R / E</t>
  </si>
  <si>
    <t>公式变量：r、R、E</t>
  </si>
  <si>
    <t>EN-017、EN-013</t>
  </si>
  <si>
    <t>非化石能源电力消费物理认定量占比</t>
  </si>
  <si>
    <t>Eui、Ez、Q</t>
  </si>
  <si>
    <t>指统计期内具备物理可溯源条件的非化石能源电力消费量占同期总用电量的比值；计算公式：Eui = Ez / Q</t>
  </si>
  <si>
    <t>公式变量：Eui、Ez、Q</t>
  </si>
  <si>
    <t>EN-005、EN-020</t>
  </si>
  <si>
    <t>IND-008</t>
  </si>
  <si>
    <t>单位工业增加值能耗</t>
  </si>
  <si>
    <t>Enva、E、Gnva</t>
  </si>
  <si>
    <t>指统计期内综合能源消费量与工业增加值的比值；计算公式：Enva = E / Gnva</t>
  </si>
  <si>
    <t>tce/万元</t>
  </si>
  <si>
    <t>公式变量：Enva、E、Gnva</t>
  </si>
  <si>
    <t>月度（年度汇算）</t>
  </si>
  <si>
    <t>EN-013、VAL-001</t>
  </si>
  <si>
    <t>节能装备应用占比</t>
  </si>
  <si>
    <t>S、Res、Ets</t>
  </si>
  <si>
    <t>指统计期内达到或优于能效强制性国家标准 2 级水平和《重点用能产品设备能效先进水平、节能水平和准入水平》节能水平的装备累计额定总功率占纳入统计范围装备累计额定总功率的比例；计算公式：S = Res / Ets</t>
  </si>
  <si>
    <t>公式变量：S、Res、Ets</t>
  </si>
  <si>
    <t>EQ-001、EQ-002</t>
  </si>
  <si>
    <t>IND-010</t>
  </si>
  <si>
    <t>单位产值能耗</t>
  </si>
  <si>
    <t>g、E、G</t>
  </si>
  <si>
    <t>指统计期内综合能源消费量与产品产值的比值；计算公式：g = E / G</t>
  </si>
  <si>
    <t>公式变量：g、E、G</t>
  </si>
  <si>
    <t>EN-013、VAL-002</t>
  </si>
  <si>
    <t>指标来源：股份管理要求。覆盖范围、指标用途及各单位实施要求详见「03-指标清单」。</t>
  </si>
  <si>
    <t>水资源消耗量</t>
  </si>
  <si>
    <t>指企业在一定时期内，实际用于生产、生活等用途中未返回环境或未再次回用的水量；计算公式：W = Σ各计量点用水量（生产用水 + 生活用水）</t>
  </si>
  <si>
    <t>指标来源：ESG要求。覆盖范围、指标用途及各单位实施要求详见「03-指标清单」。</t>
  </si>
  <si>
    <t>单位产品能耗（型号、ERP产品种类、电装产线大类）</t>
  </si>
  <si>
    <t>e、E、M</t>
  </si>
  <si>
    <t>指统计期内综合能源总消费量与产品产量的比值；计算公式：e = E / M</t>
  </si>
  <si>
    <t>tce/产品单位（例如万kVA、万km*mm2）</t>
  </si>
  <si>
    <t>公式变量：e、E、M</t>
  </si>
  <si>
    <t>EN-013、OUT-008</t>
  </si>
  <si>
    <t>指标来源：电装管理要求。覆盖范围、指标用途及各单位实施要求详见「03-指标清单」。</t>
  </si>
  <si>
    <t>IND-013</t>
  </si>
  <si>
    <t>单位产品电耗</t>
  </si>
  <si>
    <t>q电、Q电、M</t>
  </si>
  <si>
    <t>指标 / 公司级</t>
  </si>
  <si>
    <t>指统计期内电能源消费量（包括公辅设备）与产品产量的比值；计算公式：q电 = Q电 / M</t>
  </si>
  <si>
    <t>kWh/产品单位（例如万kVA、万km*mm2）</t>
  </si>
  <si>
    <t>公式变量：q电、Q电、M</t>
  </si>
  <si>
    <t>EN-001、OUT-008</t>
  </si>
  <si>
    <t>IND-014</t>
  </si>
  <si>
    <t>单位产品蒸汽消耗</t>
  </si>
  <si>
    <t>q蒸汽、Q蒸汽、M</t>
  </si>
  <si>
    <t>指统计期内蒸汽能源消费量与产品产量的比值；计算公式：q蒸汽 = Q蒸汽 / M</t>
  </si>
  <si>
    <t>GJ/产品单位（例如万kVA、万km*mm2）</t>
  </si>
  <si>
    <t>公式变量：q蒸汽、Q蒸汽、M</t>
  </si>
  <si>
    <t>EN-007、OUT-008</t>
  </si>
  <si>
    <t>单位产品天然气消耗</t>
  </si>
  <si>
    <t>q天然气、Q天然气、M</t>
  </si>
  <si>
    <t>指统计期内天然气能源消费量与产品产量的比值；计算公式：q天然气 = Q天然气 / M</t>
  </si>
  <si>
    <t>m³/产品单位（例如万kVA、万km*mm2）</t>
  </si>
  <si>
    <t>公式变量：q天然气、Q天然气、M</t>
  </si>
  <si>
    <t>EN-006、OUT-008</t>
  </si>
  <si>
    <t>IND-016</t>
  </si>
  <si>
    <t>单位产品水耗</t>
  </si>
  <si>
    <t>q水、Q水、M</t>
  </si>
  <si>
    <t>指统计期内水能源消费量与产品产量的比值；计算公式：q水 = Q水 / M</t>
  </si>
  <si>
    <t>t/产品单位（例如万kVA、万km*mm2）</t>
  </si>
  <si>
    <t>公式变量：q水、Q水、M</t>
  </si>
  <si>
    <t>EN-026、OUT-008</t>
  </si>
  <si>
    <t>IND-017</t>
  </si>
  <si>
    <t>吨铜电耗（线缆-导线-拉丝）</t>
  </si>
  <si>
    <t>q线缆-导线-拉丝Cu-电、Q线缆-导线-拉丝Cu-电、M线缆-导线-拉丝Cu</t>
  </si>
  <si>
    <t>指标 / 关键工序</t>
  </si>
  <si>
    <t>线缆导线产线，拉丝工序，拉1吨铜耗电量；计算公式：q线缆-导线-拉丝Cu-电 = Q线缆-导线-拉丝Cu-电 / M线缆-导线-拉丝Cu</t>
  </si>
  <si>
    <t>kWh/t</t>
  </si>
  <si>
    <t>公式变量：q线缆-导线-拉丝Cu-电、Q线缆-导线-拉丝Cu-电、M线缆-导线-拉丝Cu</t>
  </si>
  <si>
    <t>EN-021、OUT-008</t>
  </si>
  <si>
    <t>IND-018</t>
  </si>
  <si>
    <t>吨铝电耗（线缆-导线-拉丝）</t>
  </si>
  <si>
    <t>q线缆-导线-拉丝Al-电、Q线缆-导线-拉丝Al-电、M线缆-导线-拉丝Al</t>
  </si>
  <si>
    <t>线缆导线产线，拉丝工序，拉1吨铝耗电量；计算公式：q线缆-导线-拉丝Al-电 = Q线缆-导线-拉丝Al-电 / M线缆-导线-拉丝Al</t>
  </si>
  <si>
    <t>公式变量：q线缆-导线-拉丝Al-电、Q线缆-导线-拉丝Al-电、M线缆-导线-拉丝Al</t>
  </si>
  <si>
    <t>IND-019</t>
  </si>
  <si>
    <t>吨铜电耗（线缆-布电线-拉丝）</t>
  </si>
  <si>
    <t>q线缆-布电线-拉丝Cu-电、Q线缆-布电线-拉丝Cu-电、M线缆-布电线-拉丝Cu</t>
  </si>
  <si>
    <t>线缆布电线产线，拉丝工序，拉1吨铜耗电量；计算公式：q线缆-布电线-拉丝Cu-电 = Q线缆-布电线-拉丝Cu-电 / M线缆-布电线-拉丝Cu</t>
  </si>
  <si>
    <t>公式变量：q线缆-布电线-拉丝Cu-电、Q线缆-布电线-拉丝Cu-电、M线缆-布电线-拉丝Cu</t>
  </si>
  <si>
    <t>IND-020</t>
  </si>
  <si>
    <t>吨铝电耗（线缆-布电线-拉丝）</t>
  </si>
  <si>
    <t>q线缆-布电线-拉丝Al-电、Q线缆-布电线-拉丝Al-电、M线缆-布电线-拉丝Al</t>
  </si>
  <si>
    <t>线缆布电线产线，拉丝工序，拉1吨铝耗电量；计算公式：q线缆-布电线-拉丝Al-电 = Q线缆-布电线-拉丝Al-电 / M线缆-布电线-拉丝Al</t>
  </si>
  <si>
    <t>公式变量：q线缆-布电线-拉丝Al-电、Q线缆-布电线-拉丝Al-电、M线缆-布电线-拉丝Al</t>
  </si>
  <si>
    <t>IND-021</t>
  </si>
  <si>
    <t>吨铜电耗（线缆-高压电缆-拉丝）</t>
  </si>
  <si>
    <t>q线缆-高压电缆-拉丝Cu-电、Q线缆-高压电缆-拉丝Cu-电、M线缆-高压电缆-拉丝Cu</t>
  </si>
  <si>
    <t>线缆高压电缆产线，拉丝工序，拉1吨铜耗电量；计算公式：q线缆-高压电缆-拉丝Cu-电 = Q线缆-高压电缆-拉丝Cu-电 / M线缆-高压电缆-拉丝Cu</t>
  </si>
  <si>
    <t>公式变量：q线缆-高压电缆-拉丝Cu-电、Q线缆-高压电缆-拉丝Cu-电、M线缆-高压电缆-拉丝Cu</t>
  </si>
  <si>
    <t>IND-022</t>
  </si>
  <si>
    <t>吨铝电耗（线缆-高压电缆-拉丝）</t>
  </si>
  <si>
    <t>q线缆-高压电缆-拉丝Al-电、Q线缆-高压电缆-拉丝Al-电、M线缆-高压电缆-拉丝Al</t>
  </si>
  <si>
    <t>线缆高压电缆产线，拉丝工序，拉1吨铝耗电量；计算公式：q线缆-高压电缆-拉丝Al-电 = Q线缆-高压电缆-拉丝Al-电 / M线缆-高压电缆-拉丝Al</t>
  </si>
  <si>
    <t>公式变量：q线缆-高压电缆-拉丝Al-电、Q线缆-高压电缆-拉丝Al-电、M线缆-高压电缆-拉丝Al</t>
  </si>
  <si>
    <t>IND-023</t>
  </si>
  <si>
    <t>高压交联（干法）（线缆-高压电缆-交联）</t>
  </si>
  <si>
    <t>q线缆-高压电缆-交联-电、Q线缆-高压电缆-交联-电、M线缆-高压电缆-交联</t>
  </si>
  <si>
    <t>线缆高压电缆产线，交联工序，单位产量耗电量；计算公式：q线缆-高压电缆-交联-电 = Q线缆-高压电缆-交联-电 / M线缆-高压电缆-交联</t>
  </si>
  <si>
    <t>kWh/km*mm2</t>
  </si>
  <si>
    <t>公式变量：q线缆-高压电缆-交联-电、Q线缆-高压电缆-交联-电、M线缆-高压电缆-交联</t>
  </si>
  <si>
    <t>IND-024</t>
  </si>
  <si>
    <t>吨铜电耗（线缆-中压电缆-拉丝）</t>
  </si>
  <si>
    <t>q线缆-中压电缆-拉丝Cu-电、Q线缆-中压电缆-拉丝Cu-电、M线缆-中压电缆-拉丝Cu</t>
  </si>
  <si>
    <t>线缆中压电缆产线，拉丝工序，拉1吨铜耗电量；计算公式：q线缆-中压电缆-拉丝Cu-电 = Q线缆-中压电缆-拉丝Cu-电 / M线缆-中压电缆-拉丝Cu</t>
  </si>
  <si>
    <t>公式变量：q线缆-中压电缆-拉丝Cu-电、Q线缆-中压电缆-拉丝Cu-电、M线缆-中压电缆-拉丝Cu</t>
  </si>
  <si>
    <t>IND-025</t>
  </si>
  <si>
    <t>吨铝电耗（线缆-中压电缆-拉丝）</t>
  </si>
  <si>
    <t>q线缆-中压电缆-拉丝Al-电、Q线缆-中压电缆-拉丝Al-电、M线缆-中压电缆-拉丝Al</t>
  </si>
  <si>
    <t>线缆中压电缆产线，拉丝工序，拉1吨铝耗电量；计算公式：q线缆-中压电缆-拉丝Al-电 = Q线缆-中压电缆-拉丝Al-电 / M线缆-中压电缆-拉丝Al</t>
  </si>
  <si>
    <t>公式变量：q线缆-中压电缆-拉丝Al-电、Q线缆-中压电缆-拉丝Al-电、M线缆-中压电缆-拉丝Al</t>
  </si>
  <si>
    <t>IND-026</t>
  </si>
  <si>
    <t>中压交联（干法）（线缆-中压电缆-交联）</t>
  </si>
  <si>
    <t>q线缆-中压电缆-交联-电、Q线缆-中压电缆-交联-电、M线缆-中压电缆-交联</t>
  </si>
  <si>
    <t>线缆中压电缆产线，交联工序，单位产量耗电量；计算公式：q线缆-中压电缆-交联-电 = Q线缆-中压电缆-交联-电 / M线缆-中压电缆-交联</t>
  </si>
  <si>
    <t>公式变量：q线缆-中压电缆-交联-电、Q线缆-中压电缆-交联-电、M线缆-中压电缆-交联</t>
  </si>
  <si>
    <t>IND-027</t>
  </si>
  <si>
    <t>吨铜电耗（线缆-低压电缆-拉丝）</t>
  </si>
  <si>
    <t>q线缆-低压电缆-拉丝Cu-电、Q线缆-低压电缆-拉丝Cu-电、M线缆-低压电缆-拉丝Cu</t>
  </si>
  <si>
    <t>线缆低压电缆产线，拉丝工序，拉1吨铜耗电量；计算公式：q线缆-低压电缆-拉丝Cu-电 = Q线缆-低压电缆-拉丝Cu-电 / M线缆-低压电缆-拉丝Cu</t>
  </si>
  <si>
    <t>公式变量：q线缆-低压电缆-拉丝Cu-电、Q线缆-低压电缆-拉丝Cu-电、M线缆-低压电缆-拉丝Cu</t>
  </si>
  <si>
    <t>IND-028</t>
  </si>
  <si>
    <t>吨铝电耗（线缆-低压电缆-拉丝）</t>
  </si>
  <si>
    <t>q线缆-低压电缆-拉丝Al-电、Q线缆-低压电缆-拉丝Al-电、M线缆-低压电缆-拉丝Al</t>
  </si>
  <si>
    <t>线缆低压电缆产线，拉丝工序，拉1吨铝耗电量；计算公式：q线缆-低压电缆-拉丝Al-电 = Q线缆-低压电缆-拉丝Al-电 / M线缆-低压电缆-拉丝Al</t>
  </si>
  <si>
    <t>公式变量：q线缆-低压电缆-拉丝Al-电、Q线缆-低压电缆-拉丝Al-电、M线缆-低压电缆-拉丝Al</t>
  </si>
  <si>
    <t>IND-029</t>
  </si>
  <si>
    <t>吨铜电耗（线缆-特种电缆-拉丝）</t>
  </si>
  <si>
    <t>q线缆-特种电缆-拉丝Cu-电、Q线缆-特种电缆-拉丝Cu-电、M线缆-特种电缆-拉丝Cu</t>
  </si>
  <si>
    <t>线缆特种电缆产线，拉丝工序，拉1吨铜耗电量；计算公式：q线缆-特种电缆-拉丝Cu-电 = Q线缆-特种电缆-拉丝Cu-电 / M线缆-特种电缆-拉丝Cu</t>
  </si>
  <si>
    <t>公式变量：q线缆-特种电缆-拉丝Cu-电、Q线缆-特种电缆-拉丝Cu-电、M线缆-特种电缆-拉丝Cu</t>
  </si>
  <si>
    <t>IND-030</t>
  </si>
  <si>
    <t>吨铝电耗（线缆-特种电缆-拉丝）</t>
  </si>
  <si>
    <t>q线缆-特种电缆-拉丝Al-电、Q线缆-特种电缆-拉丝Al-电、M线缆-特种电缆-拉丝Al</t>
  </si>
  <si>
    <t>线缆特种电缆产线，拉丝工序，拉1吨铝耗电量；计算公式：q线缆-特种电缆-拉丝Al-电 = Q线缆-特种电缆-拉丝Al-电 / M线缆-特种电缆-拉丝Al</t>
  </si>
  <si>
    <t>公式变量：q线缆-特种电缆-拉丝Al-电、Q线缆-特种电缆-拉丝Al-电、M线缆-特种电缆-拉丝Al</t>
  </si>
  <si>
    <t>IND-031</t>
  </si>
  <si>
    <t>吨铜电耗（线缆-装备电缆-拉丝）</t>
  </si>
  <si>
    <t>q线缆-装备电缆-拉丝Cu-电、Q线缆-装备电缆-拉丝Cu-电、M线缆-装备电缆-拉丝Cu</t>
  </si>
  <si>
    <t>线缆装备电缆产线，拉丝工序，拉1吨铜耗电量；计算公式：q线缆-装备电缆-拉丝Cu-电 = Q线缆-装备电缆-拉丝Cu-电 / M线缆-装备电缆-拉丝Cu</t>
  </si>
  <si>
    <t>公式变量：q线缆-装备电缆-拉丝Cu-电、Q线缆-装备电缆-拉丝Cu-电、M线缆-装备电缆-拉丝Cu</t>
  </si>
  <si>
    <t>IND-032</t>
  </si>
  <si>
    <t>吨铝电耗（线缆-装备电缆-拉丝）</t>
  </si>
  <si>
    <t>q线缆-装备电缆-拉丝Al-电、Q线缆-装备电缆-拉丝Al-电、M线缆-装备电缆-拉丝Al</t>
  </si>
  <si>
    <t>线缆装备电缆产线，拉丝工序，拉1吨铝耗电量；计算公式：q线缆-装备电缆-拉丝Al-电 = Q线缆-装备电缆-拉丝Al-电 / M线缆-装备电缆-拉丝Al</t>
  </si>
  <si>
    <t>公式变量：q线缆-装备电缆-拉丝Al-电、Q线缆-装备电缆-拉丝Al-电、M线缆-装备电缆-拉丝Al</t>
  </si>
  <si>
    <t>IND-033</t>
  </si>
  <si>
    <t>吨铜电耗（线缆-橡套电缆-拉丝）</t>
  </si>
  <si>
    <t>q线缆-橡套电缆-拉丝Cu-电、Q线缆-橡套电缆-拉丝Cu-电、M线缆-橡套电缆-拉丝Cu</t>
  </si>
  <si>
    <t>线缆橡套电缆产线，拉丝工序，拉1吨铜耗电量；计算公式：q线缆-橡套电缆-拉丝Cu-电 = Q线缆-橡套电缆-拉丝Cu-电 / M线缆-橡套电缆-拉丝Cu</t>
  </si>
  <si>
    <t>公式变量：q线缆-橡套电缆-拉丝Cu-电、Q线缆-橡套电缆-拉丝Cu-电、M线缆-橡套电缆-拉丝Cu</t>
  </si>
  <si>
    <t>IND-034</t>
  </si>
  <si>
    <t>吨铝电耗（线缆-橡套电缆-拉丝）</t>
  </si>
  <si>
    <t>q线缆-橡套电缆-拉丝Al-电、Q线缆-橡套电缆-拉丝Al-电、M线缆-橡套电缆-拉丝Al</t>
  </si>
  <si>
    <t>线缆橡套电缆产线，拉丝工序，拉1吨铝耗电量；计算公式：q线缆-橡套电缆-拉丝Al-电 = Q线缆-橡套电缆-拉丝Al-电 / M线缆-橡套电缆-拉丝Al</t>
  </si>
  <si>
    <t>公式变量：q线缆-橡套电缆-拉丝Al-电、Q线缆-橡套电缆-拉丝Al-电、M线缆-橡套电缆-拉丝Al</t>
  </si>
  <si>
    <t>IND-035</t>
  </si>
  <si>
    <t>单位产量能耗（变压器-特高压-器身干燥）</t>
  </si>
  <si>
    <t>e变-特高压-器身干燥、E变-特高压-器身干燥、M变-特高压-器身干燥</t>
  </si>
  <si>
    <t>变压器特高压产线器身干燥工序每万kVA综合能耗；计算公式：e变-特高压-器身干燥 = E变-特高压-器身干燥 / M变-特高压-器身干燥</t>
  </si>
  <si>
    <t>tce/万kVA</t>
  </si>
  <si>
    <t>公式变量：e变-特高压-器身干燥、E变-特高压-器身干燥、M变-特高压-器身干燥</t>
  </si>
  <si>
    <t>EN-025、OUT-008</t>
  </si>
  <si>
    <t>IND-036</t>
  </si>
  <si>
    <t>单位产量电耗（变压器-特高压-器身干燥）</t>
  </si>
  <si>
    <t>q变-特高压-器身干燥-电、Q变-特高压-器身干燥-电、M变-特高压-器身干燥</t>
  </si>
  <si>
    <t>变压器特高压产线器身干燥工序每万kVA电耗；计算公式：q变-特高压-器身干燥-电 = Q变-特高压-器身干燥-电 / M变-特高压-器身干燥</t>
  </si>
  <si>
    <t>kWh/万kVA</t>
  </si>
  <si>
    <t>公式变量：q变-特高压-器身干燥-电、Q变-特高压-器身干燥-电、M变-特高压-器身干燥</t>
  </si>
  <si>
    <t>IND-037</t>
  </si>
  <si>
    <t>单位产量蒸汽耗（变压器-特高压-器身干燥）</t>
  </si>
  <si>
    <t>q变-特高压-器身干燥-蒸汽、Q变-特高压-器身干燥-蒸汽、M变-特高压-器身干燥</t>
  </si>
  <si>
    <t>变压器特高压产线器身干燥工序每万kVA蒸汽耗；计算公式：q变-特高压-器身干燥-蒸汽 = Q变-特高压-器身干燥-蒸汽 / M变-特高压-器身干燥</t>
  </si>
  <si>
    <t>t/万kVA</t>
  </si>
  <si>
    <t>公式变量：q变-特高压-器身干燥-蒸汽、Q变-特高压-器身干燥-蒸汽、M变-特高压-器身干燥</t>
  </si>
  <si>
    <t>EN-022、OUT-008</t>
  </si>
  <si>
    <t>IND-038</t>
  </si>
  <si>
    <t>单位产量能耗（变压器-特高压-试验）</t>
  </si>
  <si>
    <t>e变-特高压-试验、E变-特高压-试验、M变-特高压-试验</t>
  </si>
  <si>
    <t>变压器特高压产线试验工序每万kVA综合能耗；计算公式：e变-特高压-试验 = E变-特高压-试验 / M变-特高压-试验</t>
  </si>
  <si>
    <t>公式变量：e变-特高压-试验、E变-特高压-试验、M变-特高压-试验</t>
  </si>
  <si>
    <t>IND-039</t>
  </si>
  <si>
    <t>单位产量电耗（变压器-特高压-试验）</t>
  </si>
  <si>
    <t>q变-特高压-试验-电、Q变-特高压-试验-电、M变-特高压-试验</t>
  </si>
  <si>
    <t>变压器特高压产线试验工序每万kVA电耗；计算公式：q变-特高压-试验-电 = Q变-特高压-试验-电 / M变-特高压-试验</t>
  </si>
  <si>
    <t>公式变量：q变-特高压-试验-电、Q变-特高压-试验-电、M变-特高压-试验</t>
  </si>
  <si>
    <t>IND-040</t>
  </si>
  <si>
    <t>单位产量能耗（变压器-超高压-器身干燥）</t>
  </si>
  <si>
    <t>e变-超高压-器身干燥、E变-超高压-器身干燥、M变-超高压-器身干燥</t>
  </si>
  <si>
    <t>变压器超高压产线器身干燥工序每万kVA综合能耗；计算公式：e变-超高压-器身干燥 = E变-超高压-器身干燥 / M变-超高压-器身干燥</t>
  </si>
  <si>
    <t>公式变量：e变-超高压-器身干燥、E变-超高压-器身干燥、M变-超高压-器身干燥</t>
  </si>
  <si>
    <t>IND-041</t>
  </si>
  <si>
    <t>单位产量电耗（变压器-超高压-器身干燥）</t>
  </si>
  <si>
    <t>q变-超高压-器身干燥-电、Q变-超高压-器身干燥-电、M变-超高压-器身干燥</t>
  </si>
  <si>
    <t>变压器超高压产线器身干燥工序每万kVA电耗；计算公式：q变-超高压-器身干燥-电 = Q变-超高压-器身干燥-电 / M变-超高压-器身干燥</t>
  </si>
  <si>
    <t>公式变量：q变-超高压-器身干燥-电、Q变-超高压-器身干燥-电、M变-超高压-器身干燥</t>
  </si>
  <si>
    <t>IND-042</t>
  </si>
  <si>
    <t>单位产量蒸汽耗（变压器-超高压-器身干燥）</t>
  </si>
  <si>
    <t>q变-超高压-器身干燥-蒸汽、Q变-超高压-器身干燥-蒸汽、M变-超高压-器身干燥</t>
  </si>
  <si>
    <t>变压器超高压产线器身干燥工序每万kVA蒸汽耗；计算公式：q变-超高压-器身干燥-蒸汽 = Q变-超高压-器身干燥-蒸汽 / M变-超高压-器身干燥</t>
  </si>
  <si>
    <t>公式变量：q变-超高压-器身干燥-蒸汽、Q变-超高压-器身干燥-蒸汽、M变-超高压-器身干燥</t>
  </si>
  <si>
    <t>IND-043</t>
  </si>
  <si>
    <t>单位产量能耗（变压器-超高压-试验）</t>
  </si>
  <si>
    <t>e变-超高压-试验、E变-超高压-试验、M变-超高压-试验</t>
  </si>
  <si>
    <t>变压器超高压产线试验工序每万kVA综合能耗；计算公式：e变-超高压-试验 = E变-超高压-试验 / M变-超高压-试验</t>
  </si>
  <si>
    <t>公式变量：e变-超高压-试验、E变-超高压-试验、M变-超高压-试验</t>
  </si>
  <si>
    <t>IND-044</t>
  </si>
  <si>
    <t>单位产量电耗（变压器-超高压-试验）</t>
  </si>
  <si>
    <t>q变-超高压-试验-电、Q变-超高压-试验-电、M变-超高压-试验</t>
  </si>
  <si>
    <t>变压器超高压产线试验工序每万kVA电耗；计算公式：q变-超高压-试验-电 = Q变-超高压-试验-电 / M变-超高压-试验</t>
  </si>
  <si>
    <t>公式变量：q变-超高压-试验-电、Q变-超高压-试验-电、M变-超高压-试验</t>
  </si>
  <si>
    <t>IND-045</t>
  </si>
  <si>
    <t>单位产量能耗（变压器-高压-器身干燥）</t>
  </si>
  <si>
    <t>e变-高压-器身干燥、E变-高压-器身干燥、M变-高压-器身干燥</t>
  </si>
  <si>
    <t>变压器高压产线器身干燥工序每万kVA综合能耗；计算公式：e变-高压-器身干燥 = E变-高压-器身干燥 / M变-高压-器身干燥</t>
  </si>
  <si>
    <t>公式变量：e变-高压-器身干燥、E变-高压-器身干燥、M变-高压-器身干燥</t>
  </si>
  <si>
    <t>IND-046</t>
  </si>
  <si>
    <t>单位产量电耗（变压器-高压-器身干燥）</t>
  </si>
  <si>
    <t>q变-高压-器身干燥-电、Q变-高压-器身干燥-电、M变-高压-器身干燥</t>
  </si>
  <si>
    <t>变压器高压产线器身干燥工序每万kVA电耗；计算公式：q变-高压-器身干燥-电 = Q变-高压-器身干燥-电 / M变-高压-器身干燥</t>
  </si>
  <si>
    <t>公式变量：q变-高压-器身干燥-电、Q变-高压-器身干燥-电、M变-高压-器身干燥</t>
  </si>
  <si>
    <t>IND-047</t>
  </si>
  <si>
    <t>单位产量蒸汽耗（变压器-高压-器身干燥）</t>
  </si>
  <si>
    <t>q变-高压-器身干燥-蒸汽、Q变-高压-器身干燥-蒸汽、M变-高压-器身干燥</t>
  </si>
  <si>
    <t>变压器高压产线器身干燥工序每万kVA蒸汽耗；计算公式：q变-高压-器身干燥-蒸汽 = Q变-高压-器身干燥-蒸汽 / M变-高压-器身干燥</t>
  </si>
  <si>
    <t>公式变量：q变-高压-器身干燥-蒸汽、Q变-高压-器身干燥-蒸汽、M变-高压-器身干燥</t>
  </si>
  <si>
    <t>IND-048</t>
  </si>
  <si>
    <t>单位产量能耗（变压器-高压-试验）</t>
  </si>
  <si>
    <t>e变-高压-试验、E变-高压-试验、M变-高压-试验</t>
  </si>
  <si>
    <t>变压器高压产线试验工序每万kVA综合能耗；计算公式：e变-高压-试验 = E变-高压-试验 / M变-高压-试验</t>
  </si>
  <si>
    <t>公式变量：e变-高压-试验、E变-高压-试验、M变-高压-试验</t>
  </si>
  <si>
    <t>IND-049</t>
  </si>
  <si>
    <t>单位产量电耗（变压器-高压-试验）</t>
  </si>
  <si>
    <t>q变-高压-试验-电、Q变-高压-试验-电、M变-高压-试验</t>
  </si>
  <si>
    <t>变压器高压产线试验工序每万kVA电耗；计算公式：q变-高压-试验-电 = Q变-高压-试验-电 / M变-高压-试验</t>
  </si>
  <si>
    <t>公式变量：q变-高压-试验-电、Q变-高压-试验-电、M变-高压-试验</t>
  </si>
  <si>
    <t>IND-050</t>
  </si>
  <si>
    <t>单位产量能耗（变压器-配变箱变-器身干燥）</t>
  </si>
  <si>
    <t>e变-配变箱变-器身干燥、E变-配变箱变-器身干燥、M变-配变箱变-器身干燥</t>
  </si>
  <si>
    <t>变压器配变箱变产线器身干燥工序每万kVA综合能耗；计算公式：e变-配变箱变-器身干燥 = E变-配变箱变-器身干燥 / M变-配变箱变-器身干燥</t>
  </si>
  <si>
    <t>公式变量：e变-配变箱变-器身干燥、E变-配变箱变-器身干燥、M变-配变箱变-器身干燥</t>
  </si>
  <si>
    <t>IND-051</t>
  </si>
  <si>
    <t>单位产量电耗（变压器-配变箱变-器身干燥）</t>
  </si>
  <si>
    <t>q变-配变箱变-器身干燥-电、Q变-配变箱变-器身干燥-电、M变-配变箱变-器身干燥</t>
  </si>
  <si>
    <t>变压器配变箱变产线器身干燥工序每万kVA电耗；计算公式：q变-配变箱变-器身干燥-电 = Q变-配变箱变-器身干燥-电 / M变-配变箱变-器身干燥</t>
  </si>
  <si>
    <t>公式变量：q变-配变箱变-器身干燥-电、Q变-配变箱变-器身干燥-电、M变-配变箱变-器身干燥</t>
  </si>
  <si>
    <t>IND-052</t>
  </si>
  <si>
    <t>单位产量能耗（变压器-配变箱变-试验）</t>
  </si>
  <si>
    <t>e变-配变箱变-试验、E变-配变箱变-试验、M变-配变箱变-试验</t>
  </si>
  <si>
    <t>变压器配变箱变产线试验工序每万kVA综合能耗；计算公式：e变-配变箱变-试验 = E变-配变箱变-试验 / M变-配变箱变-试验</t>
  </si>
  <si>
    <t>公式变量：e变-配变箱变-试验、E变-配变箱变-试验、M变-配变箱变-试验</t>
  </si>
  <si>
    <t>IND-053</t>
  </si>
  <si>
    <t>单位产量电耗（变压器-配变箱变-试验）</t>
  </si>
  <si>
    <t>q变-配变箱变-试验-电、Q变-配变箱变-试验-电、M变-配变箱变-试验</t>
  </si>
  <si>
    <t>变压器配变箱变产线试验工序每万kVA电耗；计算公式：q变-配变箱变-试验-电 = Q变-配变箱变-试验-电 / M变-配变箱变-试验</t>
  </si>
  <si>
    <t>公式变量：q变-配变箱变-试验-电、Q变-配变箱变-试验-电、M变-配变箱变-试验</t>
  </si>
  <si>
    <t>IND-054</t>
  </si>
  <si>
    <t>单位产量能耗（变压器-配变中特-器身干燥）</t>
  </si>
  <si>
    <t>e变-配变中特-器身干燥、E变-配变中特-器身干燥、M变-配变中特-器身干燥</t>
  </si>
  <si>
    <t>变压器配变中特产线器身干燥工序每万kVA综合能耗；计算公式：e变-配变中特-器身干燥 = E变-配变中特-器身干燥 / M变-配变中特-器身干燥</t>
  </si>
  <si>
    <t>公式变量：e变-配变中特-器身干燥、E变-配变中特-器身干燥、M变-配变中特-器身干燥</t>
  </si>
  <si>
    <t>IND-055</t>
  </si>
  <si>
    <t>单位产量电耗（变压器-配变中特-器身干燥）</t>
  </si>
  <si>
    <t>q变-配变中特-器身干燥-电、Q变-配变中特-器身干燥-电、M变-配变中特-器身干燥</t>
  </si>
  <si>
    <t>变压器配变中特产线器身干燥工序每万kVA电耗；计算公式：q变-配变中特-器身干燥-电 = Q变-配变中特-器身干燥-电 / M变-配变中特-器身干燥</t>
  </si>
  <si>
    <t>公式变量：q变-配变中特-器身干燥-电、Q变-配变中特-器身干燥-电、M变-配变中特-器身干燥</t>
  </si>
  <si>
    <t>IND-056</t>
  </si>
  <si>
    <t>单位产量能耗（变压器-配变中特-试验）</t>
  </si>
  <si>
    <t>e变-配变中特-试验、E变-配变中特-试验、M变-配变中特-试验</t>
  </si>
  <si>
    <t>变压器配变中特产线试验工序每万kVA综合能耗；计算公式：e变-配变中特-试验 = E变-配变中特-试验 / M变-配变中特-试验</t>
  </si>
  <si>
    <t>公式变量：e变-配变中特-试验、E变-配变中特-试验、M变-配变中特-试验</t>
  </si>
  <si>
    <t>IND-057</t>
  </si>
  <si>
    <t>单位产量电耗（变压器-配变中特-试验）</t>
  </si>
  <si>
    <t>q变-配变中特-试验-电、Q变-配变中特-试验-电、M变-配变中特-试验</t>
  </si>
  <si>
    <t>变压器配变中特产线试验工序每万kVA电耗；计算公式：q变-配变中特-试验-电 = Q变-配变中特-试验-电 / M变-配变中特-试验</t>
  </si>
  <si>
    <t>公式变量：q变-配变中特-试验-电、Q变-配变中特-试验-电、M变-配变中特-试验</t>
  </si>
  <si>
    <t>IND-058</t>
  </si>
  <si>
    <t>单位产量能耗（变压器-配变油变-器身干燥）</t>
  </si>
  <si>
    <t>e变-配变油变-器身干燥、E变-配变油变-器身干燥、M变-配变油变-器身干燥</t>
  </si>
  <si>
    <t>变压器配变油变产线器身干燥工序每万kVA综合能耗；计算公式：e变-配变油变-器身干燥 = E变-配变油变-器身干燥 / M变-配变油变-器身干燥</t>
  </si>
  <si>
    <t>公式变量：e变-配变油变-器身干燥、E变-配变油变-器身干燥、M变-配变油变-器身干燥</t>
  </si>
  <si>
    <t>IND-059</t>
  </si>
  <si>
    <t>单位产量电耗（变压器-配变油变-器身干燥）</t>
  </si>
  <si>
    <t>q变-配变油变-器身干燥-电、Q变-配变油变-器身干燥-电、M变-配变油变-器身干燥</t>
  </si>
  <si>
    <t>变压器配变油变产线器身干燥工序每万kVA电耗；计算公式：q变-配变油变-器身干燥-电 = Q变-配变油变-器身干燥-电 / M变-配变油变-器身干燥</t>
  </si>
  <si>
    <t>公式变量：q变-配变油变-器身干燥-电、Q变-配变油变-器身干燥-电、M变-配变油变-器身干燥</t>
  </si>
  <si>
    <t>IND-060</t>
  </si>
  <si>
    <t>单位产量能耗（变压器-配变油变-试验）</t>
  </si>
  <si>
    <t>e变-配变油变-试验、E变-配变油变-试验、M变-配变油变-试验</t>
  </si>
  <si>
    <t>变压器配变油变产线试验工序每万kVA综合能耗；计算公式：e变-配变油变-试验 = E变-配变油变-试验 / M变-配变油变-试验</t>
  </si>
  <si>
    <t>公式变量：e变-配变油变-试验、E变-配变油变-试验、M变-配变油变-试验</t>
  </si>
  <si>
    <t>IND-061</t>
  </si>
  <si>
    <t>单位产量电耗（变压器-配变油变-试验）</t>
  </si>
  <si>
    <t>q变-配变油变-试验-电、Q变-配变油变-试验-电、M变-配变油变-试验</t>
  </si>
  <si>
    <t>变压器配变油变产线试验工序每万kVA电耗；计算公式：q变-配变油变-试验-电 = Q变-配变油变-试验-电 / M变-配变油变-试验</t>
  </si>
  <si>
    <t>公式变量：q变-配变油变-试验-电、Q变-配变油变-试验-电、M变-配变油变-试验</t>
  </si>
  <si>
    <t>IND-062</t>
  </si>
  <si>
    <t>单位产量能耗（变压器-配变干变-浇注固化）</t>
  </si>
  <si>
    <t>e变-配变干变-浇注固化、E变-配变干变-浇注固化、M变-配变干变-浇注固化</t>
  </si>
  <si>
    <t>变压器配变干变产线浇注固化工序每万kVA综合能耗；计算公式：e变-配变干变-浇注固化 = E变-配变干变-浇注固化 / M变-配变干变-浇注固化</t>
  </si>
  <si>
    <t>公式变量：e变-配变干变-浇注固化、E变-配变干变-浇注固化、M变-配变干变-浇注固化</t>
  </si>
  <si>
    <t>IND-063</t>
  </si>
  <si>
    <t>单位产量电耗（变压器-配变干变-浇注固化）</t>
  </si>
  <si>
    <t>q变-配变干变-浇注固化-电、Q变-配变干变-浇注固化-电、M变-配变干变-浇注固化</t>
  </si>
  <si>
    <t>变压器配变干变产线浇注固化工序每万kVA电耗；计算公式：q变-配变干变-浇注固化-电 = Q变-配变干变-浇注固化-电 / M变-配变干变-浇注固化</t>
  </si>
  <si>
    <t>公式变量：q变-配变干变-浇注固化-电、Q变-配变干变-浇注固化-电、M变-配变干变-浇注固化</t>
  </si>
  <si>
    <t>IND-064</t>
  </si>
  <si>
    <t>单位产量能耗（变压器-配变干变-试验）</t>
  </si>
  <si>
    <t>e变-配变干变-试验、E变-配变干变-试验、M变-配变干变-试验</t>
  </si>
  <si>
    <t>变压器配变干变产线试验工序每万kVA综合能耗；计算公式：e变-配变干变-试验 = E变-配变干变-试验 / M变-配变干变-试验</t>
  </si>
  <si>
    <t>公式变量：e变-配变干变-试验、E变-配变干变-试验、M变-配变干变-试验</t>
  </si>
  <si>
    <t>IND-065</t>
  </si>
  <si>
    <t>单位产量电耗（变压器-配变干变-试验）</t>
  </si>
  <si>
    <t>q变-配变干变-试验-电、Q变-配变干变-试验-电、M变-配变干变-试验</t>
  </si>
  <si>
    <t>变压器配变干变产线试验工序每万kVA电耗；计算公式：q变-配变干变-试验-电 = Q变-配变干变-试验-电 / M变-配变干变-试验</t>
  </si>
  <si>
    <t>公式变量：q变-配变干变-试验-电、Q变-配变干变-试验-电、M变-配变干变-试验</t>
  </si>
  <si>
    <t>IND-066</t>
  </si>
  <si>
    <t>单位产值电耗（中低压开关柜-钣金加工）</t>
  </si>
  <si>
    <t>u柜-加工-电、Q柜-加工-电、G柜-加工</t>
  </si>
  <si>
    <t>中低压开关柜钣金加工工序万元产值电耗，产值取产品产值；计算公式：u柜-加工-电 = Q柜-加工-电 / G柜-加工</t>
  </si>
  <si>
    <t>kWh/万元</t>
  </si>
  <si>
    <t>公式变量：u柜-加工-电、Q柜-加工-电、G柜-加工</t>
  </si>
  <si>
    <t>EN-021、VAL-012</t>
  </si>
  <si>
    <t>指标来源：电装管理要求。原表备注：产值可以线上统计覆盖范围、指标用途及各单位实施要求详见「03-指标清单」。</t>
  </si>
  <si>
    <t>IND-067</t>
  </si>
  <si>
    <t>单位产值电耗（中低压开关柜-钣金喷涂）</t>
  </si>
  <si>
    <t>u柜-喷涂-电、Q柜-喷涂-电、G柜-喷涂</t>
  </si>
  <si>
    <t>中低压开关柜钣金喷涂工序万元产值电耗；计算公式：u柜-喷涂-电 = Q柜-喷涂-电 / G柜-喷涂</t>
  </si>
  <si>
    <t>公式变量：u柜-喷涂-电、Q柜-喷涂-电、G柜-喷涂</t>
  </si>
  <si>
    <t>IND-068</t>
  </si>
  <si>
    <t>单位产值电耗（套管-干燥）</t>
  </si>
  <si>
    <t>u套-干燥-电、Q套-干燥-电、G套-干燥</t>
  </si>
  <si>
    <t>套管干燥工序每万元产值电耗；计算公式：u套-干燥-电 = Q套-干燥-电 / G套-干燥</t>
  </si>
  <si>
    <t>公式变量：u套-干燥-电、Q套-干燥-电、G套-干燥</t>
  </si>
  <si>
    <t>指标来源：电装管理要求。原表备注：产值线下统计，最小可以按天覆盖范围、指标用途及各单位实施要求详见「03-指标清单」。</t>
  </si>
  <si>
    <t>IND-069</t>
  </si>
  <si>
    <t>单位产值电耗（套管-卷制）</t>
  </si>
  <si>
    <t>u套-卷制-电、Q套-卷制-电、G套-卷制</t>
  </si>
  <si>
    <t>套管卷制工序每万元产值电耗；计算公式：u套-卷制-电 = Q套-卷制-电 / G套-卷制</t>
  </si>
  <si>
    <t>公式变量：u套-卷制-电、Q套-卷制-电、G套-卷制</t>
  </si>
  <si>
    <t>原表指标名称含说明「能耗占比较小，沈变建议去掉」。指标来源：电装管理要求。覆盖范围、指标用途及各单位实施要求详见「03-指标清单」。</t>
  </si>
  <si>
    <t>IND-070</t>
  </si>
  <si>
    <t>单位产值电耗（套管-试验）</t>
  </si>
  <si>
    <t>u套-试验-电、Q套-试验-电、G套-试验</t>
  </si>
  <si>
    <t>套管试验工序每万元产值电耗；计算公式：u套-试验-电 = Q套-试验-电 / G套-试验</t>
  </si>
  <si>
    <t>公式变量：u套-试验-电、Q套-试验-电、G套-试验</t>
  </si>
  <si>
    <t>IND-071</t>
  </si>
  <si>
    <t>单位产值综合能耗（互感器-干燥）</t>
  </si>
  <si>
    <t>g互-干燥、E互-干燥、G互-干燥</t>
  </si>
  <si>
    <t>互感器干燥工序每万元产值综合能耗。
电和蒸汽都有，蒸汽用的多，80%蒸汽；计算公式：g互-干燥 = E互-干燥 / G互-干燥</t>
  </si>
  <si>
    <t>公式变量：g互-干燥、E互-干燥、G互-干燥</t>
  </si>
  <si>
    <t>EN-025、VAL-012</t>
  </si>
  <si>
    <t>IND-072</t>
  </si>
  <si>
    <t>单位产值电耗（互感器-干燥）</t>
  </si>
  <si>
    <t>u互-干燥-电、Q互-干燥-电、G互-干燥</t>
  </si>
  <si>
    <t>互感器干燥工序每万元产值电耗；计算公式：u互-干燥-电 = Q互-干燥-电 / G互-干燥</t>
  </si>
  <si>
    <t>公式变量：u互-干燥-电、Q互-干燥-电、G互-干燥</t>
  </si>
  <si>
    <t>IND-073</t>
  </si>
  <si>
    <t>单位产值蒸汽消耗（互感器-干燥）</t>
  </si>
  <si>
    <t>u互-干燥-蒸汽、Q互-干燥-蒸汽、G互-干燥</t>
  </si>
  <si>
    <t>互感器干燥工序每万元产值蒸汽消耗；计算公式：u互-干燥-蒸汽 = Q互-干燥-蒸汽 / G互-干燥</t>
  </si>
  <si>
    <t>t/万元</t>
  </si>
  <si>
    <t>公式变量：u互-干燥-蒸汽、Q互-干燥-蒸汽、G互-干燥</t>
  </si>
  <si>
    <t>EN-022、VAL-012</t>
  </si>
  <si>
    <t>IND-074</t>
  </si>
  <si>
    <t>单位产值电耗（互感器-试验）</t>
  </si>
  <si>
    <t>u互-试验-电、Q互-试验-电、G互-试验</t>
  </si>
  <si>
    <t>互感器试验工序每万元产值电耗；计算公式：u互-试验-电 = Q互-试验-电 / G互-试验</t>
  </si>
  <si>
    <t>公式变量：u互-试验-电、Q互-试验-电、G互-试验</t>
  </si>
  <si>
    <t>IND-075</t>
  </si>
  <si>
    <t>单位产值电耗（二次-SMT贴片）</t>
  </si>
  <si>
    <t>u二次-贴片-电、Q二次-贴片-电、G二次-贴片</t>
  </si>
  <si>
    <t>二次-SMT贴片工序每万元产值电耗；计算公式：u二次-贴片-电 = Q二次-贴片-电 / G二次-贴片</t>
  </si>
  <si>
    <t>公式变量：u二次-贴片-电、Q二次-贴片-电、G二次-贴片</t>
  </si>
  <si>
    <t>IND-076</t>
  </si>
  <si>
    <t>单位产值电耗（二次-高温老化）</t>
  </si>
  <si>
    <t>u二次-高温-电、Q二次-高温-电、G二次-高温</t>
  </si>
  <si>
    <t>二次-高温老化工序每万元产值电耗；计算公式：u二次-高温-电 = Q二次-高温-电 / G二次-高温</t>
  </si>
  <si>
    <t>公式变量：u二次-高温-电、Q二次-高温-电、G二次-高温</t>
  </si>
  <si>
    <t>IND-077</t>
  </si>
  <si>
    <t>单位产值电耗（二次-波峰焊）</t>
  </si>
  <si>
    <t>u二次-波峰焊-电、Q二次-波峰焊-电、G二次-波峰焊</t>
  </si>
  <si>
    <t>二次-波峰焊工序每万元产值电耗；计算公式：u二次-波峰焊-电 = Q二次-波峰焊-电 / G二次-波峰焊</t>
  </si>
  <si>
    <t>公式变量：u二次-波峰焊-电、Q二次-波峰焊-电、G二次-波峰焊</t>
  </si>
  <si>
    <t>IND-078</t>
  </si>
  <si>
    <t>单位产量电耗（电容器-芯子卷绕）</t>
  </si>
  <si>
    <t>q容-卷绕-电、Q容-卷绕-电、M容-卷绕</t>
  </si>
  <si>
    <t>电容器芯子卷绕工序每万元产值电耗；计算公式：q容-卷绕-电 = Q容-卷绕-电 / M容-卷绕</t>
  </si>
  <si>
    <t>kWh/kvar</t>
  </si>
  <si>
    <t>公式变量：q容-卷绕-电、Q容-卷绕-电、M容-卷绕</t>
  </si>
  <si>
    <t>指标来源：电装管理要求。原表备注：产量线下统计，最小可以按天覆盖范围、指标用途及各单位实施要求详见「03-指标清单」。</t>
  </si>
  <si>
    <t>IND-079</t>
  </si>
  <si>
    <t>单位产量电耗（电容器-真空浸渍）</t>
  </si>
  <si>
    <t>q容-真空-电、Q容-真空-电、M容-真空</t>
  </si>
  <si>
    <t>电容器真空浸渍工序每万元产值电耗；计算公式：q容-真空-电 = Q容-真空-电 / M容-真空</t>
  </si>
  <si>
    <t>公式变量：q容-真空-电、Q容-真空-电、M容-真空</t>
  </si>
  <si>
    <t>指标来源：电装管理要求。原表备注：产量线下统计，最小可以到周覆盖范围、指标用途及各单位实施要求详见「03-指标清单」。</t>
  </si>
  <si>
    <t>IND-080</t>
  </si>
  <si>
    <t>单位产量电耗（电容器-喷漆）</t>
  </si>
  <si>
    <t>q容-喷漆-电、Q容-喷漆-电、M容-喷漆</t>
  </si>
  <si>
    <t>电容器喷漆工序每万元产值电耗；计算公式：q容-喷漆-电 = Q容-喷漆-电 / M容-喷漆</t>
  </si>
  <si>
    <t>公式变量：q容-喷漆-电、Q容-喷漆-电、M容-喷漆</t>
  </si>
  <si>
    <t>IND-081</t>
  </si>
  <si>
    <t>单位产量电耗（电容器-试验）</t>
  </si>
  <si>
    <t>q容-试验-电、Q容-试验-电、M容-试验</t>
  </si>
  <si>
    <t>电容器试验工序每万元产值电耗；计算公式：q容-试验-电 = Q容-试验-电 / M容-试验</t>
  </si>
  <si>
    <t>公式变量：q容-试验-电、Q容-试验-电、M容-试验</t>
  </si>
  <si>
    <t>IND-082</t>
  </si>
  <si>
    <t>单位产值电耗（干式电抗器-固化）</t>
  </si>
  <si>
    <t>u抗-固化-电、Q抗-固化-电、G抗-固化</t>
  </si>
  <si>
    <t>干式电抗器-固化工序每万元产值电耗；计算公式：u抗-固化-电 = Q抗-固化-电 / G抗-固化</t>
  </si>
  <si>
    <t>公式变量：u抗-固化-电、Q抗-固化-电、G抗-固化</t>
  </si>
  <si>
    <t>指标来源：电装管理要求。原表备注：产值线下统计，最小可以到周覆盖范围、指标用途及各单位实施要求详见「03-指标清单」。</t>
  </si>
  <si>
    <t>IND-083</t>
  </si>
  <si>
    <t>单位产值电耗（干式电抗器-试验）</t>
  </si>
  <si>
    <t>u抗-试验-电、Q抗-试验-电、G抗-试验</t>
  </si>
  <si>
    <t>干式电抗器-试验工序每万元产值电耗；计算公式：u抗-试验-电 = Q抗-试验-电 / G抗-试验</t>
  </si>
  <si>
    <t>公式变量：u抗-试验-电、Q抗-试验-电、G抗-试验</t>
  </si>
  <si>
    <t>指标来源：电装管理要求。原表备注：产值线下统计，最小可以到天覆盖范围、指标用途及各单位实施要求详见「03-指标清单」。</t>
  </si>
  <si>
    <t>IND-084</t>
  </si>
  <si>
    <t>单位产值电耗（GIL-螺旋焊管生产)</t>
  </si>
  <si>
    <t>uGIL-螺旋焊管-电、QGIL-螺旋焊管-电、GGIL-螺旋焊管</t>
  </si>
  <si>
    <t>GIL螺旋焊管生产工序每万元产值电耗；计算公式：uGIL-螺旋焊管-电 = QGIL-螺旋焊管-电 / GGIL-螺旋焊管</t>
  </si>
  <si>
    <t>公式变量：uGIL-螺旋焊管-电、QGIL-螺旋焊管-电、GGIL-螺旋焊管</t>
  </si>
  <si>
    <t>IND-085</t>
  </si>
  <si>
    <t>单位产值电耗（GIL-测试)</t>
  </si>
  <si>
    <t>uGIL-测试-电、QGIL-测试-电、GGIL-测试</t>
  </si>
  <si>
    <t>GIL-测试工序每万元产值电耗；计算公式：uGIL-测试-电 = QGIL-测试-电 / GGIL-测试</t>
  </si>
  <si>
    <t>公式变量：uGIL-测试-电、QGIL-测试-电、GGIL-测试</t>
  </si>
  <si>
    <t>IND-086</t>
  </si>
  <si>
    <t>单位产值电耗（GIL-绝缘子生产)</t>
  </si>
  <si>
    <t>uGIL-绝缘-电、QGIL-绝缘-电、GGIL-绝缘</t>
  </si>
  <si>
    <t>GIL-绝缘子生产工序每万元产值电耗；计算公式：uGIL-绝缘-电 = QGIL-绝缘-电 / GGIL-绝缘</t>
  </si>
  <si>
    <t>公式变量：uGIL-绝缘-电、QGIL-绝缘-电、GGIL-绝缘</t>
  </si>
  <si>
    <t>IND-087</t>
  </si>
  <si>
    <t>单位产值电耗（GIS-抽真空)</t>
  </si>
  <si>
    <t>uGIS-真空-电、QGIS-真空-电、GGIS-真空</t>
  </si>
  <si>
    <t>GIS-抽真空工序每万元产值电耗；计算公式：uGIS-真空-电 = QGIS-真空-电 / GGIS-真空</t>
  </si>
  <si>
    <t>公式变量：uGIS-真空-电、QGIS-真空-电、GGIS-真空</t>
  </si>
  <si>
    <t>指标来源：电装管理要求。原表备注：产值：MES取产值覆盖范围、指标用途及各单位实施要求详见「03-指标清单」。</t>
  </si>
  <si>
    <t>IND-088</t>
  </si>
  <si>
    <t>单位产值电耗（GIS-绝缘件干燥)</t>
  </si>
  <si>
    <t>uGIS-干燥-电、QGIS-干燥-电、GGIS-干燥</t>
  </si>
  <si>
    <t>GIS-绝缘件干燥工序每万元产值电耗；计算公式：uGIS-干燥-电 = QGIS-干燥-电 / GGIS-干燥</t>
  </si>
  <si>
    <t>公式变量：uGIS-干燥-电、QGIS-干燥-电、GGIS-干燥</t>
  </si>
  <si>
    <t>IND-089</t>
  </si>
  <si>
    <t>单位产值电耗（GIS-工频耐压试验)</t>
  </si>
  <si>
    <t>uGIS-试验-电、QGIS-试验-电、GGIS-试验</t>
  </si>
  <si>
    <t>GIS-工频耐压试验工序每万元产值电耗；计算公式：uGIS-试验-电 = QGIS-试验-电 / GGIS-试验</t>
  </si>
  <si>
    <t>公式变量：uGIS-试验-电、QGIS-试验-电、GGIS-试验</t>
  </si>
  <si>
    <t>IND-090</t>
  </si>
  <si>
    <t>单位产值电耗（GIS-空调恒温除湿)</t>
  </si>
  <si>
    <t>uGIS-除湿-电、QGIS-除湿-电、GGIS-除湿</t>
  </si>
  <si>
    <t>GIS-空调恒温除湿工序每万元产值电耗；计算公式：uGIS-除湿-电 = QGIS-除湿-电 / GGIS-除湿</t>
  </si>
  <si>
    <t>公式变量：uGIS-除湿-电、QGIS-除湿-电、GGIS-除湿</t>
  </si>
  <si>
    <t>IND-091</t>
  </si>
  <si>
    <t>单位产量电耗（非晶合金铁心-退火）</t>
  </si>
  <si>
    <t>q非晶-退火-电、Q非晶-退火-电、M非晶-退火</t>
  </si>
  <si>
    <t>生产每t非晶合金铁心，退火工序耗电量；计算公式：q非晶-退火-电 = Q非晶-退火-电 / M非晶-退火</t>
  </si>
  <si>
    <t>公式变量：q非晶-退火-电、Q非晶-退火-电、M非晶-退火</t>
  </si>
  <si>
    <t>IND-092</t>
  </si>
  <si>
    <t>单位产量电耗（硅钢铁心-纵剪）</t>
  </si>
  <si>
    <t>q硅钢-纵剪-电、Q硅钢-纵剪-电、M硅钢-纵剪</t>
  </si>
  <si>
    <t>生产每t硅钢铁心，纵剪工序耗电量；计算公式：q硅钢-纵剪-电 = Q硅钢-纵剪-电 / M硅钢-纵剪</t>
  </si>
  <si>
    <t>公式变量：q硅钢-纵剪-电、Q硅钢-纵剪-电、M硅钢-纵剪</t>
  </si>
  <si>
    <t>IND-093</t>
  </si>
  <si>
    <t>单位产量电耗（硅钢铁心-中型叠装）</t>
  </si>
  <si>
    <t>q硅钢-中型叠装-电、Q硅钢-中型叠装-电、M硅钢-中型叠装</t>
  </si>
  <si>
    <t>生产每t硅钢铁心，中型叠装工序耗电量；计算公式：q硅钢-中型叠装-电 = Q硅钢-中型叠装-电 / M硅钢-中型叠装</t>
  </si>
  <si>
    <t>公式变量：q硅钢-中型叠装-电、Q硅钢-中型叠装-电、M硅钢-中型叠装</t>
  </si>
  <si>
    <t>IND-094</t>
  </si>
  <si>
    <t>单位产量电耗（硅钢铁心-大型叠装）</t>
  </si>
  <si>
    <t>q硅钢-大型叠装-电、Q硅钢-大型叠装-电、M硅钢-大型叠装</t>
  </si>
  <si>
    <t>生产每t硅钢铁心，大型叠装工序耗电量；计算公式：q硅钢-大型叠装-电 = Q硅钢-大型叠装-电 / M硅钢-大型叠装</t>
  </si>
  <si>
    <t>公式变量：q硅钢-大型叠装-电、Q硅钢-大型叠装-电、M硅钢-大型叠装</t>
  </si>
  <si>
    <t>MD-001</t>
  </si>
  <si>
    <t>产品型号</t>
  </si>
  <si>
    <t>产品规格型号编码，是产品级指标（最小到型号）的统计维度</t>
  </si>
  <si>
    <t>物料主数据.型号</t>
  </si>
  <si>
    <t>变更时同步</t>
  </si>
  <si>
    <t>IND-012~IND-016</t>
  </si>
  <si>
    <t>非空</t>
  </si>
  <si>
    <t>MD-002</t>
  </si>
  <si>
    <t>产品种类（ERP）</t>
  </si>
  <si>
    <t>ERP 中的产品大类 / 种类编码，用于型号-种类-产线映射</t>
  </si>
  <si>
    <t>物料主数据.产品种类</t>
  </si>
  <si>
    <t>IND-002、IND-012</t>
  </si>
  <si>
    <t>MD-003</t>
  </si>
  <si>
    <t>产线编码</t>
  </si>
  <si>
    <t>电装产线大类编码（导线、布电线、高压 / 中压 / 低压电缆、特种电缆、装备电缆、橡套电缆、变压器各产线等）</t>
  </si>
  <si>
    <t>见「06-枚举字典」MD-01</t>
  </si>
  <si>
    <t>产线主数据.产线编码</t>
  </si>
  <si>
    <t>IND-012~IND-094</t>
  </si>
  <si>
    <t>非空、全局唯一</t>
  </si>
  <si>
    <t>MD-004</t>
  </si>
  <si>
    <t>工序编码</t>
  </si>
  <si>
    <t>关键工序编码（拉丝、交联、器身干燥、试验、浇注固化、钣金加工、SMT 贴片、退火、纵剪、叠装等）</t>
  </si>
  <si>
    <t>见「06-枚举字典」MD-02</t>
  </si>
  <si>
    <t>工序主数据.工序编码</t>
  </si>
  <si>
    <t>IND-017~IND-094</t>
  </si>
  <si>
    <t>非空、与产线对应</t>
  </si>
  <si>
    <t>MD-005</t>
  </si>
  <si>
    <t>型号-产品种类-产线对应关系</t>
  </si>
  <si>
    <t>产品型号、ERP 产品种类与产线 / 工序三者的映射关系，是产品级与工序级指标分摊的关键</t>
  </si>
  <si>
    <t>ERP 系统 + 集控中心</t>
  </si>
  <si>
    <t>产品-产线映射表</t>
  </si>
  <si>
    <t>系统对接 / 手工配置</t>
  </si>
  <si>
    <t>变更时更新</t>
  </si>
  <si>
    <t>覆盖率 100%</t>
  </si>
  <si>
    <t>缺口将导致订单能耗无法归集到型号</t>
  </si>
  <si>
    <t>MD-006</t>
  </si>
  <si>
    <t>生产工单号</t>
  </si>
  <si>
    <t>生产订单 / 工单号，是订单级产量与能耗关联的主键</t>
  </si>
  <si>
    <t>ERP / MES 系统</t>
  </si>
  <si>
    <t>生产工单.工单号</t>
  </si>
  <si>
    <t>系统对接（标准接口）</t>
  </si>
  <si>
    <t>实时</t>
  </si>
  <si>
    <t>非空、唯一</t>
  </si>
  <si>
    <t>按标准接口上传至本地数据采集模块</t>
  </si>
  <si>
    <t>MD-007</t>
  </si>
  <si>
    <t>统计期</t>
  </si>
  <si>
    <t>指标计算的时间维度，统一为自然月（格式 YYYY-MM）</t>
  </si>
  <si>
    <t>YYYY-MM</t>
  </si>
  <si>
    <t>统计期主表</t>
  </si>
  <si>
    <t>系统生成</t>
  </si>
  <si>
    <t>电装信息化</t>
  </si>
  <si>
    <t>全部指标</t>
  </si>
  <si>
    <t>格式 YYYY-MM</t>
  </si>
  <si>
    <t>年度指标按 12 个月汇算</t>
  </si>
  <si>
    <t>MD-008</t>
  </si>
  <si>
    <t>数据版本 / 上报批次</t>
  </si>
  <si>
    <t>月度数据的版本标识，用于修订与追溯</t>
  </si>
  <si>
    <t>数据批次表</t>
  </si>
  <si>
    <t>唯一版本号</t>
  </si>
  <si>
    <t>ORG-001</t>
  </si>
  <si>
    <t>经营单位编码</t>
  </si>
  <si>
    <t>集团级经营单位（产业板块）的唯一标识编码，用于全部指标的组织维度归集</t>
  </si>
  <si>
    <t>见「06-枚举字典」ORG-01</t>
  </si>
  <si>
    <t>集团主数据管理系统</t>
  </si>
  <si>
    <t>组织主数据.经营单位编码</t>
  </si>
  <si>
    <t>集团 / 电装信息化</t>
  </si>
  <si>
    <t>覆盖沈变、衡变、新变、鲁缆、德缆、新缆 6 家经营单位</t>
  </si>
  <si>
    <t>ORG-002</t>
  </si>
  <si>
    <t>经营单位名称</t>
  </si>
  <si>
    <t>经营单位中文名称</t>
  </si>
  <si>
    <t>沈变 / 衡变 / 新变 / 鲁缆 / 德缆 / 新缆</t>
  </si>
  <si>
    <t>组织主数据.经营单位名称</t>
  </si>
  <si>
    <t>与编码一一对应</t>
  </si>
  <si>
    <t>ORG-003</t>
  </si>
  <si>
    <t>项目公司编码</t>
  </si>
  <si>
    <t>经营单位下属项目公司的唯一标识编码，是集控 / 集采指标的核算与上报主体</t>
  </si>
  <si>
    <t>见「06-枚举字典」ORG-02</t>
  </si>
  <si>
    <t>组织主数据.公司编码</t>
  </si>
  <si>
    <t>共 22 个项目公司（含各产业本部）</t>
  </si>
  <si>
    <t>ORG-004</t>
  </si>
  <si>
    <t>项目公司名称</t>
  </si>
  <si>
    <t>项目公司中文名称，如沈变本部、和新套管、康嘉互感器、南京电研等</t>
  </si>
  <si>
    <t>组织主数据.公司名称</t>
  </si>
  <si>
    <t>ORG-005</t>
  </si>
  <si>
    <t>产业板块</t>
  </si>
  <si>
    <t>项目公司所属产业分类，决定其纳入的指标范围与工序口径</t>
  </si>
  <si>
    <t>枚举</t>
  </si>
  <si>
    <t>见「06-枚举字典」ORG-03</t>
  </si>
  <si>
    <t>组织主数据.产业分类</t>
  </si>
  <si>
    <t>关键工序类指标（IND-017~IND-094）</t>
  </si>
  <si>
    <t>取值须在枚举内</t>
  </si>
  <si>
    <t>同一项目公司可归多个板块</t>
  </si>
  <si>
    <t>ORG-006</t>
  </si>
  <si>
    <t>生产管理单元编码</t>
  </si>
  <si>
    <t>车间、产线、工段级生产单元编码，是「生产-能源绑定」的原子对象</t>
  </si>
  <si>
    <t>集控中心 / 碳足迹在线核算及报告系统</t>
  </si>
  <si>
    <t>生产管理单元主数据</t>
  </si>
  <si>
    <t>非空、单位内唯一</t>
  </si>
  <si>
    <t>须与能耗计量点完成绑定</t>
  </si>
  <si>
    <t>ORG-007</t>
  </si>
  <si>
    <t>计量点编码</t>
  </si>
  <si>
    <t>能源计量器具 / 测点唯一编码（电表、蒸汽流量计、气表等）</t>
  </si>
  <si>
    <t>集控中心 / 能源管理系统</t>
  </si>
  <si>
    <t>计量器具台账.测点编号</t>
  </si>
  <si>
    <t>全部能耗类指标</t>
  </si>
  <si>
    <t>采集通道须与测点编号对应</t>
  </si>
  <si>
    <t>ORG-008</t>
  </si>
  <si>
    <t>生产管理单元-计量点绑定关系</t>
  </si>
  <si>
    <t>生产管理单元与能源计量点的对应关系（可多对多），是工序能耗拆分与归集的依据</t>
  </si>
  <si>
    <t>生产-能源绑定模块</t>
  </si>
  <si>
    <t>绑定率 100%</t>
  </si>
  <si>
    <t>未绑定将导致工序能耗无法核算</t>
  </si>
  <si>
    <t>OUT-001</t>
  </si>
  <si>
    <t>产品产量（变压器）</t>
  </si>
  <si>
    <t>M</t>
  </si>
  <si>
    <t>统计期内变压器产品产量，按容量计量</t>
  </si>
  <si>
    <t>万kVA</t>
  </si>
  <si>
    <t>ERP 系统（入库）</t>
  </si>
  <si>
    <t>入库单.产量（容量）</t>
  </si>
  <si>
    <t>IND-012~IND-016、IND-035~IND-065</t>
  </si>
  <si>
    <t>分母不得为 0</t>
  </si>
  <si>
    <t>OUT-002</t>
  </si>
  <si>
    <t>产品产量（线缆）</t>
  </si>
  <si>
    <t>统计期内线缆产品产量，按「入库公里数 × 截面」计算</t>
  </si>
  <si>
    <t>万km·mm²</t>
  </si>
  <si>
    <t>入库单.公里数×截面</t>
  </si>
  <si>
    <t>IND-012、IND-023、IND-026</t>
  </si>
  <si>
    <t>ERP 已具备该口径</t>
  </si>
  <si>
    <t>OUT-003</t>
  </si>
  <si>
    <t>工序铜产量</t>
  </si>
  <si>
    <t>M*Cu</t>
  </si>
  <si>
    <t>拉丝工序加工铜量（导线、布电线、高 / 中 / 低压电缆、特种、装备、橡套电缆产线）</t>
  </si>
  <si>
    <t>本地数据采集模块 / ERP</t>
  </si>
  <si>
    <t>工序产量记录</t>
  </si>
  <si>
    <t>鲁缆本部、新疆线缆厂、新疆电缆、德缆</t>
  </si>
  <si>
    <t>IND-017、IND-019、IND-021、IND-024、IND-027、IND-029、IND-031、IND-033、IND-037</t>
  </si>
  <si>
    <t>须与拉丝设备电耗配对</t>
  </si>
  <si>
    <t>OUT-004</t>
  </si>
  <si>
    <t>工序铝产量</t>
  </si>
  <si>
    <t>M*Al</t>
  </si>
  <si>
    <t>拉丝工序加工铝量</t>
  </si>
  <si>
    <t>IND-018、IND-020、IND-022、IND-025、IND-028、IND-030、IND-032、IND-034、IND-038</t>
  </si>
  <si>
    <t>OUT-005</t>
  </si>
  <si>
    <t>非晶合金铁心产量</t>
  </si>
  <si>
    <t>M*</t>
  </si>
  <si>
    <t>退火工序非晶合金铁心产量</t>
  </si>
  <si>
    <t>本地数据采集模块</t>
  </si>
  <si>
    <t>新变珠峰硅钢</t>
  </si>
  <si>
    <t>OUT-006</t>
  </si>
  <si>
    <t>硅钢铁心产量</t>
  </si>
  <si>
    <t>纵剪、中型叠装、大型叠装工序硅钢铁心产量</t>
  </si>
  <si>
    <t>IND-092、IND-093、IND-094</t>
  </si>
  <si>
    <t>OUT-007</t>
  </si>
  <si>
    <t>电容器产量</t>
  </si>
  <si>
    <t>芯子卷绕、真空浸渍、喷漆、试验工序电容器产量</t>
  </si>
  <si>
    <t>kvar</t>
  </si>
  <si>
    <t>线下统计录入</t>
  </si>
  <si>
    <t>手工录入（月度 / 周 / 日）</t>
  </si>
  <si>
    <t>衡变合容</t>
  </si>
  <si>
    <t>IND-078~IND-081</t>
  </si>
  <si>
    <t>产量线下统计，最小可按天</t>
  </si>
  <si>
    <t>OUT-008</t>
  </si>
  <si>
    <t>工序 / 产品产量（通用）</t>
  </si>
  <si>
    <t>关键工序与产品级指标通用产量字段，按「组织 × 产线 × 工序 × 型号 × 统计期」归集，单位随产品而定</t>
  </si>
  <si>
    <t>万kVA / 万km·mm² / t / kvar</t>
  </si>
  <si>
    <t>本地数据采集模块 / ERP / MES</t>
  </si>
  <si>
    <t>IND-012~IND-016、IND-017~IND-094</t>
  </si>
  <si>
    <t>&gt;0；分母为空或 0 时指标置空</t>
  </si>
  <si>
    <t>计算时须做分母空值 / 0 保护</t>
  </si>
  <si>
    <t>OUT-009</t>
  </si>
  <si>
    <t>订单产量（按型号）</t>
  </si>
  <si>
    <t>按订单 / 型号汇总的产量，用于型号级单位产品能耗</t>
  </si>
  <si>
    <t>按品种</t>
  </si>
  <si>
    <t>生产工单.产量</t>
  </si>
  <si>
    <t>依赖型号-种类-产线映射</t>
  </si>
  <si>
    <t>VAL-001</t>
  </si>
  <si>
    <t>工业增加值</t>
  </si>
  <si>
    <t>Gnva</t>
  </si>
  <si>
    <t>企业月度工业增加值，月度估算、年度汇算</t>
  </si>
  <si>
    <t>万元</t>
  </si>
  <si>
    <t>财务 / 统计报表</t>
  </si>
  <si>
    <t>月度录入、年度汇算</t>
  </si>
  <si>
    <t>在集控中心开放界面录入</t>
  </si>
  <si>
    <t>VAL-002</t>
  </si>
  <si>
    <t>产品产值</t>
  </si>
  <si>
    <t>G</t>
  </si>
  <si>
    <t>统计期内产品产值，单位产值类指标的通用分母</t>
  </si>
  <si>
    <t>电装大数据平台 / 经营日报管理系统</t>
  </si>
  <si>
    <t>产值报表</t>
  </si>
  <si>
    <t>日更新、月度汇总</t>
  </si>
  <si>
    <t>线缆产值到产线，变压器产值到项目公司</t>
  </si>
  <si>
    <t>VAL-003</t>
  </si>
  <si>
    <t>线缆产值</t>
  </si>
  <si>
    <t>线缆板块产品产值，颗粒度到产线</t>
  </si>
  <si>
    <t>电装大数据平台</t>
  </si>
  <si>
    <t>产值看板</t>
  </si>
  <si>
    <t>日更新</t>
  </si>
  <si>
    <t>鲁缆、德缆、新缆</t>
  </si>
  <si>
    <t>自大数据平台获取</t>
  </si>
  <si>
    <t>VAL-004</t>
  </si>
  <si>
    <t>变压器产值</t>
  </si>
  <si>
    <t>变压器板块产品产值，颗粒度到项目公司</t>
  </si>
  <si>
    <t>经营日报管理系统</t>
  </si>
  <si>
    <t>产值日报</t>
  </si>
  <si>
    <t>沈变、衡变、新变</t>
  </si>
  <si>
    <t>VAL-005</t>
  </si>
  <si>
    <t>中低压开关柜产值</t>
  </si>
  <si>
    <t>G*</t>
  </si>
  <si>
    <t>钣金加工、钣金喷涂工序对应的产品产值</t>
  </si>
  <si>
    <t>线上统计（MES / ERP）/ 线下录入</t>
  </si>
  <si>
    <t>产值记录</t>
  </si>
  <si>
    <t>新疆自控、云集电气</t>
  </si>
  <si>
    <t>IND-066、IND-067</t>
  </si>
  <si>
    <t>产值可线上统计</t>
  </si>
  <si>
    <t>VAL-006</t>
  </si>
  <si>
    <t>套管产值</t>
  </si>
  <si>
    <t>干燥、卷制、试验工序对应的套管产值</t>
  </si>
  <si>
    <t>月度（最小可按天）</t>
  </si>
  <si>
    <t>沈变 / 和新套管</t>
  </si>
  <si>
    <t>IND-068、IND-069、IND-070</t>
  </si>
  <si>
    <t>产值线下统计</t>
  </si>
  <si>
    <t>VAL-007</t>
  </si>
  <si>
    <t>互感器产值</t>
  </si>
  <si>
    <t>干燥、试验工序对应的互感器产值</t>
  </si>
  <si>
    <t>沈变康嘉</t>
  </si>
  <si>
    <t>IND-071~IND-074</t>
  </si>
  <si>
    <t>VAL-008</t>
  </si>
  <si>
    <t>二次设备产值</t>
  </si>
  <si>
    <t>SMT 贴片、高温老化、波峰焊工序对应的二次设备产值</t>
  </si>
  <si>
    <t>衡变南京公司</t>
  </si>
  <si>
    <t>IND-075、IND-076、IND-077</t>
  </si>
  <si>
    <t>VAL-009</t>
  </si>
  <si>
    <t>干式电抗器产值</t>
  </si>
  <si>
    <t>固化、试验工序对应的干式电抗器产值</t>
  </si>
  <si>
    <t>月度（最小可按天 / 周）</t>
  </si>
  <si>
    <t>IND-082、IND-083</t>
  </si>
  <si>
    <t>VAL-010</t>
  </si>
  <si>
    <t>GIL 设备产值</t>
  </si>
  <si>
    <t>螺旋焊管生产、测试、绝缘子生产工序对应的 GIL 设备产值</t>
  </si>
  <si>
    <t>衡变赛杰爱迪</t>
  </si>
  <si>
    <t>IND-084、IND-085、IND-086</t>
  </si>
  <si>
    <t>VAL-011</t>
  </si>
  <si>
    <t>GIS 设备产值</t>
  </si>
  <si>
    <t>抽真空、绝缘件干燥、工频耐压试验、空调恒温除湿工序对应的 GIS 设备产值</t>
  </si>
  <si>
    <t>MES 系统</t>
  </si>
  <si>
    <t>衡变云高</t>
  </si>
  <si>
    <t>IND-087~IND-090</t>
  </si>
  <si>
    <t>产值自 MES 取数</t>
  </si>
  <si>
    <t>VAL-012</t>
  </si>
  <si>
    <t>工序产值</t>
  </si>
  <si>
    <t>关键工序单位产值类指标的通用分母</t>
  </si>
  <si>
    <t>见各项目公司来源</t>
  </si>
  <si>
    <t>IND-066~IND-090</t>
  </si>
  <si>
    <t>指标编码</t>
  </si>
  <si>
    <t>指标名称</t>
  </si>
  <si>
    <t>指标层级</t>
  </si>
  <si>
    <t>指标定义</t>
  </si>
  <si>
    <t>计算公式</t>
  </si>
  <si>
    <t>指标说明（公式变量定义）</t>
  </si>
  <si>
    <t>指标单位</t>
  </si>
  <si>
    <t>所属中心</t>
  </si>
  <si>
    <t>指标类别</t>
  </si>
  <si>
    <t>指标来源</t>
  </si>
  <si>
    <t>指标用途</t>
  </si>
  <si>
    <t>覆盖范围</t>
  </si>
  <si>
    <t>所需各单位数据</t>
  </si>
  <si>
    <t>涉及参数编码</t>
  </si>
  <si>
    <t>各单位所需开展工作</t>
  </si>
  <si>
    <t>经营单位及项目公司整体指标（重点对标国家零碳工厂要求）</t>
  </si>
  <si>
    <t>引用GB/T 24067、ISO14067，主要管理摇篮到大门阶段的产品碳足迹。</t>
  </si>
  <si>
    <t>CF = Σ(活动数据i × 排放因子i)（摇篮到大门阶段）</t>
  </si>
  <si>
    <t>实时数据，产品碳足迹值</t>
  </si>
  <si>
    <t>集采</t>
  </si>
  <si>
    <t>产品</t>
  </si>
  <si>
    <t>外部要求（应对CBAM及绿色招采)</t>
  </si>
  <si>
    <t>自动计算，减少收资，快速应对客户招采对碳足迹的要求</t>
  </si>
  <si>
    <t>沈变：沈变本部、和新套管、康嘉互感器 / 衡变：本部、南京电研、云集电气、湖南电气、云集高压开关、新疆自控、特能建、合容电气、赛杰爱迪 / 新变：超高压公司、天变公司、智能电气、京津冀智能科技、珠峰硅钢 / 鲁缆：鲁缆本部、曙光公司 / 德缆：德缆 / 新缆：新疆电缆公司、新疆线缆厂</t>
  </si>
  <si>
    <t>生产工单、物料、能耗数据。</t>
  </si>
  <si>
    <t>各项目公司部署电装下发的碳足迹数据采集模块，开展实施工作，包括：（1）进行相关配置；（2）打通BOM、工单、能源类数据，进行联调。所需开展实施工作明细后续下发指导手册。</t>
  </si>
  <si>
    <t/>
  </si>
  <si>
    <t>指统计期内开展主要产品碳足迹分析的产品类别数量占主要产品类别总数的比值</t>
  </si>
  <si>
    <t>Rcf = Ncf / N</t>
  </si>
  <si>
    <t>月度指标。 Rcf：开展产品碳足迹分析占比； Ncf:开展主要产品碳足迹分析的产品类别数量; N:主要产品类别总数</t>
  </si>
  <si>
    <t>工厂</t>
  </si>
  <si>
    <t>国家级零碳工厂</t>
  </si>
  <si>
    <t>支撑绿色低碳管理体系、绿色低碳发展规划、温室气体盘查、能源管理体系、清洁生产、零碳工厂、绿色工厂等工作的开展</t>
  </si>
  <si>
    <t>产品碳足迹系统提供开展产品碳足迹计算的产品种类明细。从ERP系统获取各单位全部产品种类明细。</t>
  </si>
  <si>
    <t>完成碳足迹数据采集模块的部署、配置，在电装统一部署的碳足迹在线核算及报告系统中完成能源-生产绑定工作。</t>
  </si>
  <si>
    <t>指统计期内组织综合能源消费的总吨标准煤</t>
  </si>
  <si>
    <t>E = Σ(Ei × ki)   (i = 1..n)</t>
  </si>
  <si>
    <t>月度指标 E：综合能源消耗量，单位为tce n：消耗的能源种类数 Ei:实际消耗的第i种能源量 ki:第i种能源的折标准煤系数</t>
  </si>
  <si>
    <t>集控</t>
  </si>
  <si>
    <t>电（包括市电和绿电）、天然气、蒸汽、热力、柴油、煤油汽油等所有消耗能源种类的消耗量。其中核算综合能源消费量时，电力折标煤系数用当量值。</t>
  </si>
  <si>
    <t>1、各经营单位及项目公司完成电力、蒸汽、热力能源数据采集，并通过系统自动上送电装； / 2、各经营单位及项目公司在集控中心开放的录入界面中按月录入购买绿电、绿证量，及按月录入难以自动采集的天然气、柴油、煤油、汽油（若能自动采集，则优先取自动采集数据，并通过系统自动上送电装）。 / 3、相关折标煤系数、碳排放因子由电装统一维护，各类指标电装统一计算。</t>
  </si>
  <si>
    <t>指统计期内企业组织产生的二氧化碳总排放量</t>
  </si>
  <si>
    <t>C = C燃烧 + C过程 + C购入电 + C购入热 − C输出电 − C输出热 − C回收利用</t>
  </si>
  <si>
    <t>月度指标。由于电装产业在生产过程碳排放、回收利用中固碳非常少，且数据难统计，本次考虑能源碳排放。 C：二氧化碳排放量，单位为吨二氧化碳（tCO2）； C燃烧：化石燃料燃烧产生的二氧化碳排放量总和，单位为吨二氧化碳（tCO2） C过程：过程二氧化碳排放量总和，单位为吨二氧化碳（tCO2） C购入电：购入的电力所产生的二氧化碳排放，单位为吨二氧化碳（tCO2） C输出电：输出的电力所产生的二氧化碳排放，单位为吨二氧化碳（tCO2） C购入热：购入的热力所产生的二氧化碳排放，单位为吨二氧化碳（tCO2） C输出热：输出的热力所产生的二氧化碳排放，单位为吨二氧化碳（tCO2） C回收利用：化石燃料燃烧、工艺过程产生的二氧化碳经回收作为生产原料自用或作为产品外供并确保未再次排放所对应的二氧化碳排放量，单位为吨二氧化碳（tCO2）</t>
  </si>
  <si>
    <t>电（包括市电和绿电）、天然气、蒸汽、热力、柴油、煤油汽油等所有消耗能源种类的月度消耗量。电力消费量计算碳排放取省级电力平均二氧化碳排放因子。</t>
  </si>
  <si>
    <t>指统计期内每消费一吨标准煤产生的二氧化碳排放量</t>
  </si>
  <si>
    <t>I = C / E</t>
  </si>
  <si>
    <t>月度指标。 I:单位能耗碳排放 C：二氧化碳排放量，单位为tCO2 E：综合能源消耗量，单位为tce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</si>
  <si>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</si>
  <si>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指统计期内非化石能源消费量与综合能源消费量的比值</t>
  </si>
  <si>
    <t>r = R / E</t>
  </si>
  <si>
    <t>月度指标，交易绿电、绿证可纳入分子。 r：非化石能源消费占比 R:各类非化石能源消费量(不含作为原料使用的能源)，单位为tce E:综合能源消费量（不含作为原料使用的能源）,单位为tce</t>
  </si>
  <si>
    <t>①绿电等非化石能源的月度消耗量； / ②电（包括市电和绿电）、天然气、蒸汽、热力、柴油、煤油汽油等所有消耗能源种类的消耗量。</t>
  </si>
  <si>
    <t>指统计期内具备物理可溯源条件的非化石能源电力消费量占同期总用电量的比值。</t>
  </si>
  <si>
    <t>Eui = Ez / Q</t>
  </si>
  <si>
    <t>月底指标，交易绿电、绿证不纳入分子。 Eui:非化石能源电力消费物理认定量占比； Ez:具备物理可溯源条件的非化石能源电力消费量，单位为kWh; Q:总用电量，单位为千kWh</t>
  </si>
  <si>
    <t>月度总用电量和具备物理可溯源条件的非化石能源电力消耗量（如自建消纳绿电及非自建绿电直连量）</t>
  </si>
  <si>
    <t>指统计期内综合能源消费量与工业增加值的比值</t>
  </si>
  <si>
    <t>Enva = E / Gnva</t>
  </si>
  <si>
    <t>月度指标，年度重新汇算。 Enva:单位工业增加值能耗，单位为tce/万元； E：综合能源消费量，单位tce Gnva:工业增加值，单位为万元</t>
  </si>
  <si>
    <t>①企业月度工业增加值； / ②电（包括市电和绿电）、天然气、蒸汽、热力、柴油、煤油汽油等所有消耗能源种类的消耗量。</t>
  </si>
  <si>
    <t>各经营单位及项目公司在集控中心开放的界面中录入企业工业增加值，月度估算，年度汇算。</t>
  </si>
  <si>
    <t>指统计期内达到或优于能效强制性国家标准 2 级水平和《重点用能产品设备能效先进水平、节能水平和准入水平》节能水平的装备累计额定总功率占纳入统计范围装备累计额定总功率的比例</t>
  </si>
  <si>
    <t>S = Res / Ets</t>
  </si>
  <si>
    <t>月度指标。 S：节能装备应用占比； Res:达到或优于能效强制性国家标准 2 级水平和《重点用能产品设备能效先进水平、节能水平和准入水平》节能水平的装备累计额定总功率，单位为kW。 Ets:纳入统计范围装备累计额定总功率，单位为kW。纳入统计范围的装备需有适用的能效强制性国家标准，包括但不限于电动机、变压器、工业锅炉、风机、容积式空气压缩机、工业制冷设备、热泵等；无适用标准的装备不纳入统计。</t>
  </si>
  <si>
    <t>①达到要求节能水平的装备累计额定总功率。 / ②企业所有装备累计额定总功率。</t>
  </si>
  <si>
    <t>各经营单位及项目公司在集控中心开放的界面中录入节能装备明细、所有装备明细，增量更新。</t>
  </si>
  <si>
    <t>指统计期内综合能源消费量与产品产值的比值</t>
  </si>
  <si>
    <t>g = E / G</t>
  </si>
  <si>
    <t>月度指标。 g:单位产值能耗，单位为tce/万元； E：综合能源消费量，单位tce G:产品产值，单位为万元</t>
  </si>
  <si>
    <t>股份管理要求</t>
  </si>
  <si>
    <t>①各单位产值，其中线缆产值到产线，从大数据平台获取，日更新。变压器产值到项目公司，从经营日报管理系统获取，日更新。 / ②电（包括市电和绿电）、天然气、蒸汽、热力、柴油、煤油汽油等所有消耗能源种类的消耗量。</t>
  </si>
  <si>
    <t>线缆产值在电装大数据平台，变压器产值在经营日报管理系统，以各经营单位及项目公司为对象进行计算。</t>
  </si>
  <si>
    <t>指企业在一定时期内，实际用于生产、生活等用途中未返回环境或未再次回用的水量</t>
  </si>
  <si>
    <t>W = Σ各计量点用水量（生产用水 + 生活用水）</t>
  </si>
  <si>
    <t>月度指标。</t>
  </si>
  <si>
    <t>ESG要求</t>
  </si>
  <si>
    <t>①各单位按照月度上报实际生活生产用水量； / ②有中水或其他再生水使用的单位应该考虑循环使用量经计算处理后上报集团。</t>
  </si>
  <si>
    <t>无法通过系统上送数据的单位可以手动定期录入数据</t>
  </si>
  <si>
    <t>产品管控指标（最小到型号级别）</t>
  </si>
  <si>
    <t>指统计期内综合能源总消费量与产品产量的比值</t>
  </si>
  <si>
    <t>e = E / M</t>
  </si>
  <si>
    <t>月度指标。 e:单位产品能耗，单位为tce/产品单位； E：综合能源消费量，单位tce M:产品产量，单位为产品单位，如万kVA、万km*mm2等</t>
  </si>
  <si>
    <t>电装管理要求</t>
  </si>
  <si>
    <t>电装内部管理，实现同类型产品横向（不同单位间）、纵向（不同时间段间）对比分析，实现与行业基准、行业标杆的对比</t>
  </si>
  <si>
    <t>沈变：沈变本部 / 衡变：本部、湖南电气、特能建 / 新变：超高压公司、天变公司、智能电气、京津冀智能科技 / 鲁缆：鲁缆本部、曙光公司 / 德缆：德缆 / 新缆：新疆电缆公司、新疆线缆厂</t>
  </si>
  <si>
    <t>①订单产量、订单型号； / ②订单所消耗能源量：电（包括市电和绿电）、天然气、蒸汽、热力等。 / ③型号-产品种类-产线的对应关系。</t>
  </si>
  <si>
    <t>1、各项目公司完成关键工序、车间用能的采集，并对接至本地数据采集模块； / 2、各项目公司在碳足迹在线核算及报告系统，生产-能源绑定模块完成生产管理单元与能耗计量的绑定； / 3、各项目公司按标准接口将生产工单传送至本地数据采集模块。</t>
  </si>
  <si>
    <t>指统计期内电能源消费量（包括公辅设备）与产品产量的比值</t>
  </si>
  <si>
    <t>q电 = Q电 / M</t>
  </si>
  <si>
    <t>月度指标。 q电:单位产品电耗，单位为kWh/产品单位； Q电：电能源消费量，单位kWh M:产品产量，单位为产品单位，如万kVA、万km*mm2等</t>
  </si>
  <si>
    <t>公司级</t>
  </si>
  <si>
    <t>①订单产量、订单型号； / ②订单所消耗电（包括市电和绿电）。 / ③型号-产品种类-产线的对应关系。</t>
  </si>
  <si>
    <t>指统计期内蒸汽能源消费量与产品产量的比值</t>
  </si>
  <si>
    <t>q蒸汽 = Q蒸汽 / M</t>
  </si>
  <si>
    <t>月度指标。 q蒸汽:单位产品蒸汽消耗，单位为GJ/产品单位； Q蒸汽：蒸汽能源消费量，单位GJ M:产品产量，单位为产品单位，如万kVA、万km*mm2等</t>
  </si>
  <si>
    <t>①订单产量、订单型号； / ②订单所消耗蒸汽。 / ③型号-产品种类-产线的对应关系。</t>
  </si>
  <si>
    <t>指统计期内天然气能源消费量与产品产量的比值</t>
  </si>
  <si>
    <t>q天然气 = Q天然气 / M</t>
  </si>
  <si>
    <t>月度指标。 q天然气:单位产品天然气消耗，单位为m³/产品单位； Q天然气：天然气能源消费量，单位m³ M:产品产量，单位为产品单位，如万kVA、万km*mm2等</t>
  </si>
  <si>
    <t>①订单产量、订单型号； / ②订单所消耗天然气。 / ③型号-产品种类-产线的对应关系。</t>
  </si>
  <si>
    <t>指统计期内水能源消费量与产品产量的比值</t>
  </si>
  <si>
    <t>q水 = Q水 / M</t>
  </si>
  <si>
    <t>月度指标。 q水:单位产品水耗，单位为t/产品单位； Q水：水能源消费量，单位t M:产品产量，单位为产品单位，如万kVA、万km*mm2等</t>
  </si>
  <si>
    <t>①订单产量、订单型号； / ②订单所消耗水。 / ③型号-产品种类-产线的对应关系。</t>
  </si>
  <si>
    <t>关键工序管控指标（分产业设置，管控能耗较高的工序）</t>
  </si>
  <si>
    <t>线缆导线产线，拉丝工序，拉1吨铜耗电量</t>
  </si>
  <si>
    <t>q线缆-导线-拉丝Cu-电 = Q线缆-导线-拉丝Cu-电 / M线缆-导线-拉丝Cu</t>
  </si>
  <si>
    <t>月度指标 q线缆-导线-拉丝Cu-电：导线产线中拉丝工序单位铜电耗，单位为kWh/t； Q线缆-导线-拉丝Cu-电：导线产线中拉丝工序电能源消费量，单位kWh M线缆-导线-拉丝Cu:导线产线中拉丝工序铜产量，单位为t</t>
  </si>
  <si>
    <t>关键工序</t>
  </si>
  <si>
    <t>电装内部管理，管控高能耗工序，用指标牵引项目公司主动节能，通过数据分析挖掘节能空间</t>
  </si>
  <si>
    <t>鲁缆本部、新疆线缆厂、德缆公司</t>
  </si>
  <si>
    <t>①导线产线拉丝工序耗电量 / ②对应耗铜量</t>
  </si>
  <si>
    <t>采集拉丝（铜）设备的电耗，统计耗铜量，上送电装集控中心。</t>
  </si>
  <si>
    <t>线缆导线产线，拉丝工序，拉1吨铝耗电量</t>
  </si>
  <si>
    <t>q线缆-导线-拉丝Al-电 = Q线缆-导线-拉丝Al-电 / M线缆-导线-拉丝Al</t>
  </si>
  <si>
    <t>月度指标 q线缆-导线-拉丝Al-电：导线产线中拉丝工序单位铝电耗，单位为kWh/t； Q线缆-导线-拉丝Al-电：导线产线中拉丝工序电能源消费量，单位kWh M线缆-导线-拉丝Al:导线产线中拉丝工序铝产量，单位为t</t>
  </si>
  <si>
    <t>①导线产线拉丝工序耗电量 / ②对应耗铝量</t>
  </si>
  <si>
    <t>采集拉丝（铝）设备的电耗，统计耗铝量，上送电装集控中心。</t>
  </si>
  <si>
    <t>线缆布电线产线，拉丝工序，拉1吨铜耗电量</t>
  </si>
  <si>
    <t>q线缆-布电线-拉丝Cu-电 = Q线缆-布电线-拉丝Cu-电 / M线缆-布电线-拉丝Cu</t>
  </si>
  <si>
    <t>月度指标 q线缆-布电线-拉丝Cu-电：布电线产线中拉丝工序单位铜电耗，单位为kWh/t； Q线缆-布电线-拉丝Cu-电：布电线产线中拉丝工序电能源消费量，单位kWh M线缆-布电线-拉丝Cu:布电线产线中拉丝工序铜产量，单位为t</t>
  </si>
  <si>
    <t>鲁缆本部、新疆线缆厂、新疆电缆、德缆公司</t>
  </si>
  <si>
    <t>①布电线产线拉丝工序耗电量 / ②对应耗铜量</t>
  </si>
  <si>
    <t>线缆布电线产线，拉丝工序，拉1吨铝耗电量</t>
  </si>
  <si>
    <t>q线缆-布电线-拉丝Al-电 = Q线缆-布电线-拉丝Al-电 / M线缆-布电线-拉丝Al</t>
  </si>
  <si>
    <t>月度指标 q线缆-布电线-拉丝Al-电：布电线产线中拉丝工序单位铝电耗，单位为kWh/t； Q线缆-布电线-拉丝Al-电：布电线产线中拉丝工序电能源消费量，单位kWh M线缆-布电线-拉丝Al:布电线产线中拉丝工序铝产量，单位为t</t>
  </si>
  <si>
    <t>①布电线产线拉丝工序耗电量 / ②对应耗铝量</t>
  </si>
  <si>
    <t>线缆高压电缆产线，拉丝工序，拉1吨铜耗电量</t>
  </si>
  <si>
    <t>q线缆-高压电缆-拉丝Cu-电 = Q线缆-高压电缆-拉丝Cu-电 / M线缆-高压电缆-拉丝Cu</t>
  </si>
  <si>
    <t>月度指标 q线缆-高压电缆-拉丝Cu-电：高压电缆产线中拉丝工序单位铜电耗，单位为kWh/t； Q线缆-高压电缆-拉丝Cu-电：高压电缆产线中拉丝工序电能源消费量，单位kWh M线缆-高压电缆-拉丝Cu:高压电缆产线中拉丝工序铜产量，单位为t</t>
  </si>
  <si>
    <t>鲁缆本部</t>
  </si>
  <si>
    <t>①高压电缆产线拉丝工序耗电量 / ②对应耗铜量</t>
  </si>
  <si>
    <t>线缆高压电缆产线，拉丝工序，拉1吨铝耗电量</t>
  </si>
  <si>
    <t>q线缆-高压电缆-拉丝Al-电 = Q线缆-高压电缆-拉丝Al-电 / M线缆-高压电缆-拉丝Al</t>
  </si>
  <si>
    <t>月度指标 q线缆-高压电缆-拉丝Al-电：高压电缆产线中拉丝工序单位铝电耗，单位为kWh/t； Q线缆-高压电缆-拉丝Al-电：高压电缆产线中拉丝工序电能源消费量，单位kWh M线缆-高压电缆-拉丝Al:高压电缆产线中拉丝工序铝产量，单位为t</t>
  </si>
  <si>
    <t>①高压电缆产线拉丝工序耗电量 / ②对应耗铝量</t>
  </si>
  <si>
    <t>线缆高压电缆产线，交联工序，单位产量耗电量。</t>
  </si>
  <si>
    <t>q线缆-高压电缆-交联-电 = Q线缆-高压电缆-交联-电 / M线缆-高压电缆-交联</t>
  </si>
  <si>
    <t>月度指标 q线缆-高压电缆-交联-电：高压电缆产线中交联工序单位产品电耗，单位为kWh/km*mm2； Q线缆-高压电缆-交联-电：高压电缆产线中交联工序电能源消费量，单位kWh M线缆-高压电缆-交联:高压电缆产线中交联工序产品产量，单位为km*mm2</t>
  </si>
  <si>
    <t>①高压电缆产线交联工序耗电量 / ②对应线缆产量。ERP里有，入库的公里数*截面，km*mm2</t>
  </si>
  <si>
    <t>采集高压产线交联设备的电耗，统计对应线缆产量，上送电装集控中心。</t>
  </si>
  <si>
    <t>线缆中压电缆产线，拉丝工序，拉1吨铜耗电量</t>
  </si>
  <si>
    <t>q线缆-中压电缆-拉丝Cu-电 = Q线缆-中压电缆-拉丝Cu-电 / M线缆-中压电缆-拉丝Cu</t>
  </si>
  <si>
    <t>月度指标 q线缆-中压电缆-拉丝Cu-电：中压电缆产线中拉丝工序单位铜电耗，单位为kWh/t； Q线缆-中压电缆-拉丝Cu-电：中压电缆产线中拉丝工序电能源消费量，单位kWh M线缆-中压电缆-拉丝Cu:中压电缆产线中拉丝工序铜产量，单位为t</t>
  </si>
  <si>
    <t>①中压电缆产线拉丝工序耗电量 / ②对应耗铜量</t>
  </si>
  <si>
    <t>线缆中压电缆产线，拉丝工序，拉1吨铝耗电量</t>
  </si>
  <si>
    <t>q线缆-中压电缆-拉丝Al-电 = Q线缆-中压电缆-拉丝Al-电 / M线缆-中压电缆-拉丝Al</t>
  </si>
  <si>
    <t>月度指标 q线缆-中压电缆-拉丝Al-电：中压电缆产线中拉丝工序单位铝电耗，单位为kWh/t； Q线缆-中压电缆-拉丝Al-电：中压电缆产线中拉丝工序电能源消费量，单位kWh M线缆-中压电缆-拉丝Al:中压电缆产线中拉丝工序铝产量，单位为t</t>
  </si>
  <si>
    <t>①中压电缆产线拉丝工序耗电量 / ②对应耗铝量</t>
  </si>
  <si>
    <t>线缆中压电缆产线，交联工序，单位产量耗电量。</t>
  </si>
  <si>
    <t>q线缆-中压电缆-交联-电 = Q线缆-中压电缆-交联-电 / M线缆-中压电缆-交联</t>
  </si>
  <si>
    <t>月度指标 q线缆-中压电缆-交联-电：中压电缆产线中交联工序单位产品电耗，单位为kWh/km*mm2； Q线缆-中压电缆-交联-电：中压电缆产线中交联工序电能源消费量，单位kWh M线缆-中压电缆-交联:中压电缆产线中交联工序产品产量，单位为km*mm2</t>
  </si>
  <si>
    <t>①中压电缆产线交联工序耗电量 / ②对应线缆产量。ERP里有，入库的公里数*截面，km*mm2</t>
  </si>
  <si>
    <t>采集中压产线交联设备的电耗，统计对应线缆产量，上送电装集控中心。</t>
  </si>
  <si>
    <t>线缆低压电缆产线，拉丝工序，拉1吨铜耗电量</t>
  </si>
  <si>
    <t>q线缆-低压电缆-拉丝Cu-电 = Q线缆-低压电缆-拉丝Cu-电 / M线缆-低压电缆-拉丝Cu</t>
  </si>
  <si>
    <t>月度指标 q线缆-低压电缆-拉丝Cu-电：低压电缆产线中拉丝工序单位铜电耗，单位为kWh/t； Q线缆-低压电缆-拉丝Cu-电：低压电缆产线中拉丝工序电能源消费量，单位kWh M线缆-低压电缆-拉丝Cu:低压电缆产线中拉丝工序铜产量，单位为t</t>
  </si>
  <si>
    <t>①低压电缆产线拉丝工序耗电量 / ②对应耗铜量</t>
  </si>
  <si>
    <t>线缆低压电缆产线，拉丝工序，拉1吨铝耗电量</t>
  </si>
  <si>
    <t>q线缆-低压电缆-拉丝Al-电 = Q线缆-低压电缆-拉丝Al-电 / M线缆-低压电缆-拉丝Al</t>
  </si>
  <si>
    <t>月度指标 q线缆-低压电缆-拉丝Al-电：低压电缆产线中拉丝工序单位铝电耗，单位为kWh/t； Q线缆-低压电缆-拉丝Al-电：低压电缆产线中拉丝工序电能源消费量，单位kWh M线缆-低压电缆-拉丝Al:低压电缆产线中拉丝工序铝产量，单位为t</t>
  </si>
  <si>
    <t>①低压电缆产线拉丝工序耗电量 / ②对应耗铝量</t>
  </si>
  <si>
    <t>线缆特种电缆产线，拉丝工序，拉1吨铜耗电量</t>
  </si>
  <si>
    <t>q线缆-特种电缆-拉丝Cu-电 = Q线缆-特种电缆-拉丝Cu-电 / M线缆-特种电缆-拉丝Cu</t>
  </si>
  <si>
    <t>月度指标 q线缆-特种电缆-拉丝Cu-电：特种电缆产线中拉丝工序单位铜电耗，单位为kWh/t； Q线缆-特种电缆-拉丝Cu-电：特种电缆产线中拉丝工序电能源消费量，单位kWh M线缆-特种电缆-拉丝Cu:特种电缆产线中拉丝工序铜产量，单位为t</t>
  </si>
  <si>
    <t>①特种电缆产线拉丝工序耗电量 / ②对应耗铜量</t>
  </si>
  <si>
    <t>线缆特种电缆产线，拉丝工序，拉1吨铝耗电量</t>
  </si>
  <si>
    <t>q线缆-特种电缆-拉丝Al-电 = Q线缆-特种电缆-拉丝Al-电 / M线缆-特种电缆-拉丝Al</t>
  </si>
  <si>
    <t>月度指标 q线缆-特种电缆-拉丝Al-电：特种电缆产线中拉丝工序单位铝电耗，单位为kWh/t； Q线缆-特种电缆-拉丝Al-电：特种电缆产线中拉丝工序电能源消费量，单位kWh M线缆-特种电缆-拉丝Al:特种电缆产线中拉丝工序铝产量，单位为t</t>
  </si>
  <si>
    <t>①特种电缆产线拉丝工序耗电量 / ②对应耗铝量</t>
  </si>
  <si>
    <t>线缆装备电缆产线，拉丝工序，拉1吨铜耗电量</t>
  </si>
  <si>
    <t>q线缆-装备电缆-拉丝Cu-电 = Q线缆-装备电缆-拉丝Cu-电 / M线缆-装备电缆-拉丝Cu</t>
  </si>
  <si>
    <t>月度指标 q线缆-装备电缆-拉丝Cu-电：装备电缆产线中拉丝工序单位铜电耗，单位为kWh/t； Q线缆-装备电缆-拉丝Cu-电：装备电缆产线中拉丝工序电能源消费量，单位kWh M线缆-装备电缆-拉丝Cu:装备电缆产线中拉丝工序铜产量，单位为t</t>
  </si>
  <si>
    <t>①装备电缆产线拉丝工序耗电量 / ②对应耗铜量</t>
  </si>
  <si>
    <t>线缆装备电缆产线，拉丝工序，拉1吨铝耗电量</t>
  </si>
  <si>
    <t>q线缆-装备电缆-拉丝Al-电 = Q线缆-装备电缆-拉丝Al-电 / M线缆-装备电缆-拉丝Al</t>
  </si>
  <si>
    <t>月度指标 q线缆-装备电缆-拉丝Al-电：装备电缆产线中拉丝工序单位铝电耗，单位为kWh/t； Q线缆-装备电缆-拉丝Al-电：装备电缆产线中拉丝工序电能源消费量，单位kWh M线缆-装备电缆-拉丝Al:装备电缆产线中拉丝工序铝产量，单位为t</t>
  </si>
  <si>
    <t>①装备电缆产线拉丝工序耗电量 / ②对应耗铝量</t>
  </si>
  <si>
    <t>线缆橡套电缆产线，拉丝工序，拉1吨铜耗电量</t>
  </si>
  <si>
    <t>q线缆-橡套电缆-拉丝Cu-电 = Q线缆-橡套电缆-拉丝Cu-电 / M线缆-橡套电缆-拉丝Cu</t>
  </si>
  <si>
    <t>月度指标 q线缆-橡套电缆-拉丝Cu-电：橡套电缆产线中拉丝工序单位铜电耗，单位为kWh/t； Q线缆-橡套电缆-拉丝Cu-电：橡套电缆产线中拉丝工序电能源消费量，单位kWh M线缆-橡套电缆-拉丝Cu:橡套电缆产线中拉丝工序铜产量，单位为t</t>
  </si>
  <si>
    <t>①橡套电缆产线拉丝工序耗电量 / ②对应耗铜量</t>
  </si>
  <si>
    <t>线缆橡套电缆产线，拉丝工序，拉1吨铝耗电量</t>
  </si>
  <si>
    <t>q线缆-橡套电缆-拉丝Al-电 = Q线缆-橡套电缆-拉丝Al-电 / M线缆-橡套电缆-拉丝Al</t>
  </si>
  <si>
    <t>月度指标 q线缆-橡套电缆-拉丝Al-电：橡套电缆产线中拉丝工序单位铝电耗，单位为kWh/t； Q线缆-橡套电缆-拉丝Al-电：橡套电缆产线中拉丝工序电能源消费量，单位kWh M线缆-橡套电缆-拉丝Al:橡套电缆产线中拉丝工序铝产量，单位为t</t>
  </si>
  <si>
    <t>①橡套电缆产线拉丝工序耗电量 / ②对应耗铝量</t>
  </si>
  <si>
    <t>变压器特高压产线器身干燥工序每万kVA综合能耗</t>
  </si>
  <si>
    <t>e变-特高压-器身干燥 = E变-特高压-器身干燥 / M变-特高压-器身干燥</t>
  </si>
  <si>
    <t>月度指标。 e变-特高压-器身干燥:变压器特高压产线器身干燥工序单位产品能耗，单位为tce/万kVA； E变-特高压-器身干燥：变压器特高压产线器身干燥工序综合能源消费量，单位tce M变-特高压-器身干燥:变压器特高压产线器身干燥工序产品产量，单位为万kVA</t>
  </si>
  <si>
    <t>沈变本部、衡变本部、新变超高压公司</t>
  </si>
  <si>
    <t>①变压器特高压产线器身干燥工序耗电量、蒸汽消耗量 / ②对应变压器产量。</t>
  </si>
  <si>
    <t>采集器身干燥设备的电耗、蒸汽消耗。统计对应变压器产量，上送电装集控中心。</t>
  </si>
  <si>
    <t>变压器特高压产线器身干燥工序每万kVA电耗</t>
  </si>
  <si>
    <t>q变-特高压-器身干燥-电 = Q变-特高压-器身干燥-电 / M变-特高压-器身干燥</t>
  </si>
  <si>
    <t>月度指标 q变-特高压-器身干燥-电：变压器特高压产线器身干燥工序中单位产品电耗，单位为kWh/万kVA； Q变-特高压-器身干燥-电：变压器特高压产线器身干燥工序中电能源消费量，单位kWh M变-特高压-器身干燥:变压器特高压产线器身干燥工序产品产量，单位为万kVA</t>
  </si>
  <si>
    <t>①变压器特高压产线器身干燥工序耗电量 / ②对应变压器产量。</t>
  </si>
  <si>
    <t>变压器特高压产线器身干燥工序每万kVA蒸汽耗</t>
  </si>
  <si>
    <t>q变-特高压-器身干燥-蒸汽 = Q变-特高压-器身干燥-蒸汽 / M变-特高压-器身干燥</t>
  </si>
  <si>
    <t>月度指标 q变-特高压-器身干燥-蒸汽：变压器特高压产线器身干燥工序中单位产品蒸汽耗，单位为t/万kVA； Q变-特高压-器身干燥-蒸汽：变压器特高压产线器身干燥工序中蒸汽能源消费量，单位t M变-特高压-器身干燥:变压器特高压产线器身干燥工序产品产量，单位为万kVA</t>
  </si>
  <si>
    <t>①变压器特高压产线器身干燥工序蒸汽消耗量 / ②对应变压器产量。</t>
  </si>
  <si>
    <t>变压器特高压产线试验工序每万kVA综合能耗</t>
  </si>
  <si>
    <t>e变-特高压-试验 = E变-特高压-试验 / M变-特高压-试验</t>
  </si>
  <si>
    <t>月度指标。 e变-特高压-试验:变压器特高压产线试验工序单位产品能耗，单位为tce/万kVA； E变-特高压-试验：变压器特高压产线试验工序综合能源消费量，单位tce M变-特高压-试验:变压器特高压产线试验工序产品产量，单位为万kVA</t>
  </si>
  <si>
    <t>①变压器特高压产线试验工序耗电量 / ②对应变压器产量。</t>
  </si>
  <si>
    <t>采集试验设备的电耗。统计对应变压器产量，上送电装集控中心。</t>
  </si>
  <si>
    <t>变压器特高压产线试验工序每万kVA电耗</t>
  </si>
  <si>
    <t>q变-特高压-试验-电 = Q变-特高压-试验-电 / M变-特高压-试验</t>
  </si>
  <si>
    <t>月度指标 q变-特高压-试验-电：变压器特高压产线试验工序中单位产品电耗，单位为kWh/万kVA； Q变-特高压-试验-电：变压器特高压产线试验工序中电能源消费量，单位kWh M变-特高压-试验:变压器特高压产线试验工序产品产量，单位为万kVA</t>
  </si>
  <si>
    <t>变压器超高压产线器身干燥工序每万kVA综合能耗</t>
  </si>
  <si>
    <t>e变-超高压-器身干燥 = E变-超高压-器身干燥 / M变-超高压-器身干燥</t>
  </si>
  <si>
    <t>月度指标。 e变-超高压-器身干燥:变压器超高压产线器身干燥工序单位产品能耗，单位为tce/万kVA； E变-超高压-器身干燥：变压器超高压产线器身干燥工序综合能源消费量，单位tce M变-超高压-器身干燥:变压器超高压产线器身干燥工序产品产量，单位为万kVA</t>
  </si>
  <si>
    <t>沈变本部、衡变本部、衡变特能建、新变超高压公司</t>
  </si>
  <si>
    <t>①变压器超高压产线器身干燥工序耗电量、蒸汽消耗量 / ②对应变压器产量。</t>
  </si>
  <si>
    <t>变压器超高压产线器身干燥工序每万kVA电耗</t>
  </si>
  <si>
    <t>q变-超高压-器身干燥-电 = Q变-超高压-器身干燥-电 / M变-超高压-器身干燥</t>
  </si>
  <si>
    <t>月度指标 q变-超高压-器身干燥-电：变压器超高压产线器身干燥工序中单位产品电耗，单位为kWh/万kVA； Q变-超高压-器身干燥-电：变压器超高压产线器身干燥工序中电能源消费量，单位kWh M变-超高压-器身干燥:变压器超高压产线器身干燥工序产品产量，单位为万kVA</t>
  </si>
  <si>
    <t>①变压器超高压产线器身干燥工序耗电量 / ②对应变压器产量。</t>
  </si>
  <si>
    <t>变压器超高压产线器身干燥工序每万kVA蒸汽耗</t>
  </si>
  <si>
    <t>q变-超高压-器身干燥-蒸汽 = Q变-超高压-器身干燥-蒸汽 / M变-超高压-器身干燥</t>
  </si>
  <si>
    <t>月度指标 q变-超高压-器身干燥-蒸汽：变压器超高压产线器身干燥工序中单位产品蒸汽耗，单位为t/万kVA； Q变-超高压-器身干燥-蒸汽：变压器超高压产线器身干燥工序中蒸汽能源消费量，单位t M变-超高压-器身干燥:变压器超高压产线器身干燥工序产品产量，单位为万kVA</t>
  </si>
  <si>
    <t>①变压器超高压产线器身干燥工序蒸汽消耗量 / ②对应变压器产量。</t>
  </si>
  <si>
    <t>变压器超高压产线试验工序每万kVA综合能耗</t>
  </si>
  <si>
    <t>e变-超高压-试验 = E变-超高压-试验 / M变-超高压-试验</t>
  </si>
  <si>
    <t>月度指标。 e变-超高压-试验:变压器超高压产线试验工序单位产品能耗，单位为tce/万kVA； E变-超高压-试验：变压器超高压产线试验工序综合能源消费量，单位tce M变-超高压-试验:变压器超高压产线试验工序产品产量，单位为万kVA</t>
  </si>
  <si>
    <t>①变压器超高压产线试验工序耗电量 / ②对应变压器产量。</t>
  </si>
  <si>
    <t>变压器超高压产线试验工序每万kVA电耗</t>
  </si>
  <si>
    <t>q变-超高压-试验-电 = Q变-超高压-试验-电 / M变-超高压-试验</t>
  </si>
  <si>
    <t>月度指标 q变-超高压-试验-电：变压器超高压产线试验工序中单位产品电耗，单位为kWh/万kVA； Q变-超高压-试验-电：变压器超高压产线试验工序中电能源消费量，单位kWh M变-超高压-试验:变压器超高压产线试验工序产品产量，单位为万kVA</t>
  </si>
  <si>
    <t>变压器高压产线器身干燥工序每万kVA综合能耗</t>
  </si>
  <si>
    <t>e变-高压-器身干燥 = E变-高压-器身干燥 / M变-高压-器身干燥</t>
  </si>
  <si>
    <t>月度指标。 e变-高压-器身干燥:变压器高压产线器身干燥工序单位产品能耗，单位为tce/万kVA； E变-高压-器身干燥：变压器高压产线器身干燥工序综合能源消费量，单位tce M变-高压-器身干燥:变压器高压产线器身干燥工序产品产量，单位为万kVA</t>
  </si>
  <si>
    <t>沈变本部、衡变本部、衡变特能建、新变超高压公司、新变智能电气、新变京津冀科技</t>
  </si>
  <si>
    <t>①变压器高压产线器身干燥工序耗电量、蒸汽消耗量 / ②对应变压器产量。</t>
  </si>
  <si>
    <t>变压器高压产线器身干燥工序每万kVA电耗</t>
  </si>
  <si>
    <t>q变-高压-器身干燥-电 = Q变-高压-器身干燥-电 / M变-高压-器身干燥</t>
  </si>
  <si>
    <t>月度指标 q变-高压-器身干燥-电：变压器高压产线器身干燥工序中单位产品电耗，单位为kWh/万kVA； Q变-高压-器身干燥-电：变压器高压产线器身干燥工序中电能源消费量，单位kWh M变-高压-器身干燥:变压器高压产线器身干燥工序产品产量，单位为万kVA</t>
  </si>
  <si>
    <t>①变压器高压产线器身干燥工序耗电量 / ②对应变压器产量。</t>
  </si>
  <si>
    <t>变压器高压产线器身干燥工序每万kVA蒸汽耗</t>
  </si>
  <si>
    <t>q变-高压-器身干燥-蒸汽 = Q变-高压-器身干燥-蒸汽 / M变-高压-器身干燥</t>
  </si>
  <si>
    <t>月度指标 q变-高压-器身干燥-蒸汽：变压器高压产线器身干燥工序中单位产品蒸汽耗，单位为t/万kVA； Q变-高压-器身干燥-蒸汽：变压器高压产线器身干燥工序中蒸汽能源消费量，单位t M变-高压-器身干燥:变压器高压产线器身干燥工序产品产量，单位为万kVA</t>
  </si>
  <si>
    <t>①变压器高压产线器身干燥工序蒸汽消耗量 / ②对应变压器产量。</t>
  </si>
  <si>
    <t>变压器高压产线试验工序每万kVA综合能耗</t>
  </si>
  <si>
    <t>e变-高压-试验 = E变-高压-试验 / M变-高压-试验</t>
  </si>
  <si>
    <t>月度指标。 e变-高压-试验:变压器高压产线试验工序单位产品能耗，单位为tce/万kVA； E变-高压-试验：变压器高压产线试验工序综合能源消费量，单位tce M变-高压-试验:变压器高压产线试验工序产品产量，单位为万kVA</t>
  </si>
  <si>
    <t>①变压器高压产线试验工序耗电量 / ②对应变压器产量。</t>
  </si>
  <si>
    <t>变压器高压产线试验工序每万kVA电耗</t>
  </si>
  <si>
    <t>q变-高压-试验-电 = Q变-高压-试验-电 / M变-高压-试验</t>
  </si>
  <si>
    <t>月度指标 q变-高压-试验-电：变压器高压产线试验工序中单位产品电耗，单位为kWh/万kVA； Q变-高压-试验-电：变压器高压产线试验工序中电能源消费量，单位kWh M变-高压-试验:变压器高压产线试验工序产品产量，单位为万kVA</t>
  </si>
  <si>
    <t>变压器配变箱变产线器身干燥工序每万kVA综合能耗</t>
  </si>
  <si>
    <t>e变-配变箱变-器身干燥 = E变-配变箱变-器身干燥 / M变-配变箱变-器身干燥</t>
  </si>
  <si>
    <t>月度指标。 e变-配变箱变-器身干燥:变压器配变箱变产线器身干燥工序单位产品能耗，单位为tce/万kVA； E变-配变箱变-器身干燥：变压器配变箱变产线器身干燥工序综合能源消费量，单位tce M变-配变箱变-器身干燥:变压器配变箱变产线器身干燥工序产品产量，单位为万kVA</t>
  </si>
  <si>
    <t>衡变湖南电气、新变天变公司、新变智能电气、新变京津冀科技</t>
  </si>
  <si>
    <t>①变压器配变箱变产线器身干燥工序耗电量 / ②对应变压器产量。</t>
  </si>
  <si>
    <t>采集器身干燥设备的电耗。统计对应变压器产量，上送电装集控中心。</t>
  </si>
  <si>
    <t>变压器配变箱变产线器身干燥工序每万kVA电耗</t>
  </si>
  <si>
    <t>q变-配变箱变-器身干燥-电 = Q变-配变箱变-器身干燥-电 / M变-配变箱变-器身干燥</t>
  </si>
  <si>
    <t>月度指标 q变-配变箱变-器身干燥-电：变压器配变箱变产线器身干燥工序中单位产品电耗，单位为kWh/万kVA； Q变-配变箱变-器身干燥-电：变压器配变箱变产线器身干燥工序中电能源消费量，单位kWh M变-配变箱变-器身干燥:变压器配变箱变产线器身干燥工序产品产量，单位为万kVA</t>
  </si>
  <si>
    <t>变压器配变箱变产线试验工序每万kVA综合能耗</t>
  </si>
  <si>
    <t>e变-配变箱变-试验 = E变-配变箱变-试验 / M变-配变箱变-试验</t>
  </si>
  <si>
    <t>月度指标。 e变-配变箱变-试验:变压器配变箱变产线试验工序单位产品能耗，单位为tce/万kVA； E变-配变箱变-试验：变压器配变箱变产线试验工序综合能源消费量，单位tce M变-配变箱变-试验:变压器配变箱变产线试验工序产品产量，单位为万kVA</t>
  </si>
  <si>
    <t>①变压器配变箱变产线试验工序耗电量 / ②对应变压器产量。</t>
  </si>
  <si>
    <t>变压器配变箱变产线试验工序每万kVA电耗</t>
  </si>
  <si>
    <t>q变-配变箱变-试验-电 = Q变-配变箱变-试验-电 / M变-配变箱变-试验</t>
  </si>
  <si>
    <t>月度指标 q变-配变箱变-试验-电：变压器配变箱变产线试验工序中单位产品电耗，单位为kWh/万kVA； Q变-配变箱变-试验-电：变压器配变箱变产线试验工序中电能源消费量，单位kWh M变-配变箱变-试验:变压器配变箱变产线试验工序产品产量，单位为万kVA</t>
  </si>
  <si>
    <t>变压器配变中特产线器身干燥工序每万kVA综合能耗</t>
  </si>
  <si>
    <t>e变-配变中特-器身干燥 = E变-配变中特-器身干燥 / M变-配变中特-器身干燥</t>
  </si>
  <si>
    <t>月度指标。 e变-配变中特-器身干燥:变压器配变中特产线器身干燥工序单位产品能耗，单位为tce/万kVA； E变-配变中特-器身干燥：变压器配变中特产线器身干燥工序综合能源消费量，单位tce M变-配变中特-器身干燥:变压器配变中特产线器身干燥工序产品产量，单位为万kVA</t>
  </si>
  <si>
    <t>衡变湖南电气、衡变特能建、新变智能电气、新变京津冀科技</t>
  </si>
  <si>
    <t>①变压器配变中特产线器身干燥工序耗电量 / ②对应变压器产量。</t>
  </si>
  <si>
    <t>变压器配变中特产线器身干燥工序每万kVA电耗</t>
  </si>
  <si>
    <t>q变-配变中特-器身干燥-电 = Q变-配变中特-器身干燥-电 / M变-配变中特-器身干燥</t>
  </si>
  <si>
    <t>月度指标 q变-配变中特-器身干燥-电：变压器配变中特产线器身干燥工序中单位产品电耗，单位为kWh/万kVA； Q变-配变中特-器身干燥-电：变压器配变中特产线器身干燥工序中电能源消费量，单位kWh M变-配变中特-器身干燥:变压器配变中特产线器身干燥工序产品产量，单位为万kVA</t>
  </si>
  <si>
    <t>变压器配变中特产线试验工序每万kVA综合能耗</t>
  </si>
  <si>
    <t>e变-配变中特-试验 = E变-配变中特-试验 / M变-配变中特-试验</t>
  </si>
  <si>
    <t>月度指标。 e变-配变中特-试验:变压器配变中特产线试验工序单位产品能耗，单位为tce/万kVA； E变-配变中特-试验：变压器配变中特产线试验工序综合能源消费量，单位tce M变-配变中特-试验:变压器配变中特产线试验工序产品产量，单位为万kVA</t>
  </si>
  <si>
    <t>①变压器配变中特产线试验工序耗电量 / ②对应变压器产量。</t>
  </si>
  <si>
    <t>变压器配变中特产线试验工序每万kVA电耗</t>
  </si>
  <si>
    <t>q变-配变中特-试验-电 = Q变-配变中特-试验-电 / M变-配变中特-试验</t>
  </si>
  <si>
    <t>月度指标 q变-配变中特-试验-电：变压器配变中特产线试验工序中单位产品电耗，单位为kWh/万kVA； Q变-配变中特-试验-电：变压器配变中特产线试验工序中电能源消费量，单位kWh M变-配变中特-试验:变压器配变中特产线试验工序产品产量，单位为万kVA</t>
  </si>
  <si>
    <t>变压器配变油变产线器身干燥工序每万kVA综合能耗</t>
  </si>
  <si>
    <t>e变-配变油变-器身干燥 = E变-配变油变-器身干燥 / M变-配变油变-器身干燥</t>
  </si>
  <si>
    <t>月度指标。 e变-配变油变-器身干燥:变压器配变油变产线器身干燥工序单位产品能耗，单位为tce/万kVA； E变-配变油变-器身干燥：变压器配变油变产线器身干燥工序综合能源消费量，单位tce M变-配变油变-器身干燥:变压器配变油变产线器身干燥工序产品产量，单位为万kVA</t>
  </si>
  <si>
    <t>衡变湖南电气、新变智能电气、新变京津冀科技</t>
  </si>
  <si>
    <t>①变压器配变油变产线器身干燥工序耗电量 / ②对应变压器产量。</t>
  </si>
  <si>
    <t>变压器配变油变产线器身干燥工序每万kVA电耗</t>
  </si>
  <si>
    <t>q变-配变油变-器身干燥-电 = Q变-配变油变-器身干燥-电 / M变-配变油变-器身干燥</t>
  </si>
  <si>
    <t>月度指标 q变-配变油变-器身干燥-电：变压器配变油变产线器身干燥工序中单位产品电耗，单位为kWh/万kVA； Q变-配变油变-器身干燥-电：变压器配变油变产线器身干燥工序中电能源消费量，单位kWh M变-配变油变-器身干燥:变压器配变油变产线器身干燥工序产品产量，单位为万kVA</t>
  </si>
  <si>
    <t>变压器配变油变产线试验工序每万kVA综合能耗</t>
  </si>
  <si>
    <t>e变-配变油变-试验 = E变-配变油变-试验 / M变-配变油变-试验</t>
  </si>
  <si>
    <t>月度指标。 e变-配变油变-试验:变压器配变油变产线试验工序单位产品能耗，单位为tce/万kVA； E变-配变油变-试验：变压器配变油变产线试验工序综合能源消费量，单位tce M变-配变油变-试验:变压器配变油变产线试验工序产品产量，单位为万kVA</t>
  </si>
  <si>
    <t>①变压器配变油变产线试验工序耗电量 / ②对应变压器产量。</t>
  </si>
  <si>
    <t>变压器配变油变产线试验工序每万kVA电耗</t>
  </si>
  <si>
    <t>q变-配变油变-试验-电 = Q变-配变油变-试验-电 / M变-配变油变-试验</t>
  </si>
  <si>
    <t>月度指标 q变-配变油变-试验-电：变压器配变油变产线试验工序中单位产品电耗，单位为kWh/万kVA； Q变-配变油变-试验-电：变压器配变油变产线试验工序中电能源消费量，单位kWh M变-配变油变-试验:变压器配变油变产线试验工序产品产量，单位为万kVA</t>
  </si>
  <si>
    <t>变压器配变干变产线浇注固化工序每万kVA综合能耗</t>
  </si>
  <si>
    <t>e变-配变干变-浇注固化 = E变-配变干变-浇注固化 / M变-配变干变-浇注固化</t>
  </si>
  <si>
    <t>月度指标。 e变-配变干变-浇注固化:变压器配变干变产线浇注固化工序单位产品能耗，单位为tce/万kVA； E变-配变干变-浇注固化：变压器配变干变产线浇注固化工序综合能源消费量，单位tce M变-配变干变-浇注固化:变压器配变干变产线浇注固化工序产品产量，单位为万kVA</t>
  </si>
  <si>
    <t>新变智能电气、新变天变公司</t>
  </si>
  <si>
    <t>①变压器配变干变产线浇注固化工序耗电量 / ②对应变压器产量。</t>
  </si>
  <si>
    <t>采集浇注固化设备的电耗。统计对应变压器产量，上送电装集控中心。</t>
  </si>
  <si>
    <t>变压器配变干变产线浇注固化工序每万kVA电耗</t>
  </si>
  <si>
    <t>q变-配变干变-浇注固化-电 = Q变-配变干变-浇注固化-电 / M变-配变干变-浇注固化</t>
  </si>
  <si>
    <t>月度指标 q变-配变干变-浇注固化-电：变压器配变干变产线浇注固化工序中单位产品电耗，单位为kWh/万kVA； Q变-配变干变-浇注固化-电：变压器配变干变产线浇注固化工序中电能源消费量，单位kWh M变-配变干变-浇注固化:变压器配变干变产线浇注固化工序产品产量，单位为万kVA</t>
  </si>
  <si>
    <t>变压器配变干变产线试验工序每万kVA综合能耗</t>
  </si>
  <si>
    <t>e变-配变干变-试验 = E变-配变干变-试验 / M变-配变干变-试验</t>
  </si>
  <si>
    <t>月度指标。 e变-配变干变-试验:变压器配变干变产线试验工序单位产品能耗，单位为tce/万kVA； E变-配变干变-试验：变压器配变干变产线试验工序综合能源消费量，单位tce M变-配变干变-试验:变压器配变干变产线试验工序产品产量，单位为万kVA</t>
  </si>
  <si>
    <t>①变压器配变干变产线试验工序耗电量 / ②对应变压器产量。</t>
  </si>
  <si>
    <t>变压器配变干变产线试验工序每万kVA电耗</t>
  </si>
  <si>
    <t>q变-配变干变-试验-电 = Q变-配变干变-试验-电 / M变-配变干变-试验</t>
  </si>
  <si>
    <t>月度指标 q变-配变干变-试验-电：变压器配变干变产线试验工序中单位产品电耗，单位为kWh/万kVA； Q变-配变干变-试验-电：变压器配变干变产线试验工序中电能源消费量，单位kWh M变-配变干变-试验:变压器配变干变产线试验工序产品产量，单位为万kVA</t>
  </si>
  <si>
    <t>中低压开关柜钣金加工工序万元产值电耗，产值取产品产值</t>
  </si>
  <si>
    <t>u柜-加工-电 = Q柜-加工-电 / G柜-加工</t>
  </si>
  <si>
    <t>月度指标 u柜-加工-电：中低压开关柜钣金加工工序中单位产值电耗，单位为kWh/万元； Q柜-加工-电：中低压开关柜钣金加工工序中电能源消费量，单位kWh G柜-加工:中低压开关柜钣金加工工序产品产值，单位为万元</t>
  </si>
  <si>
    <t>开关-中低压开关柜（新疆自控、云集电气）</t>
  </si>
  <si>
    <t>①中低压开关柜钣金加工工序耗电量 / ②对应对中低压开关柜产值。</t>
  </si>
  <si>
    <t>采集钣金加工设备的电耗。统计对应中低压开关柜产值，上送电装集控中心。</t>
  </si>
  <si>
    <t>产值可以线上统计</t>
  </si>
  <si>
    <t>中低压开关柜钣金喷涂工序万元产值电耗</t>
  </si>
  <si>
    <t>u柜-喷涂-电 = Q柜-喷涂-电 / G柜-喷涂</t>
  </si>
  <si>
    <t>月度指标 u柜-喷涂-电：中低压开关柜钣金喷涂工序中单位产品产值电耗，单位为kWh/万元； Q柜-喷涂-电：中低压开关柜钣金喷涂工序中电能源消费量，单位kWh G柜-喷涂:中低压开关柜钣金喷涂工序产品产值，单位为万元</t>
  </si>
  <si>
    <t>①中低压开关柜钣金喷涂工序耗电量 / ②对应中低压开关柜产值。</t>
  </si>
  <si>
    <t>采集钣金喷涂设备的电耗。统计对应中低压开关柜产值，上送电装集控中心。</t>
  </si>
  <si>
    <t>套管干燥工序每万元产值电耗。</t>
  </si>
  <si>
    <t>u套-干燥-电 = Q套-干燥-电 / G套-干燥</t>
  </si>
  <si>
    <t>月度指标。 u套-干燥-电:套管干燥工序单位产值电耗，单位为kWh/万元； Q套-干燥=电：套管干燥工序电能源消费量，单位kWh G套-干燥:套管干燥工序产品产值，单位为万元</t>
  </si>
  <si>
    <t>变压器-套管（沈变和新套管）</t>
  </si>
  <si>
    <t>①套管干燥工序耗电量 / ②对应套管产值。</t>
  </si>
  <si>
    <t>采集干燥设备的电耗。统计对应套管产值，上送电装集控中心。</t>
  </si>
  <si>
    <t>产值线下统计，最小可以按天</t>
  </si>
  <si>
    <t>单位产值电耗（套管-卷制），能耗占比较小，沈变建议去掉</t>
  </si>
  <si>
    <t>套管卷制工序每万元产值电耗。</t>
  </si>
  <si>
    <t>u套-卷制-电 = Q套-卷制-电 / G套-卷制</t>
  </si>
  <si>
    <t>月度指标。 u套-卷制-电:套管卷制工序单位产值电耗，单位为kWh/万元； Q套-卷制=电：套管卷制工序电能源消费量，单位kWh G套-卷制:套管卷制工序产品产值，单位为万元</t>
  </si>
  <si>
    <t>①套管卷制工序耗电量 / ②对应套管产值</t>
  </si>
  <si>
    <t>采集卷制设备的电耗。统计对应套管产值，上送电装集控中心。</t>
  </si>
  <si>
    <t>原表指标名称含说明「能耗占比较小，沈变建议去掉」。</t>
  </si>
  <si>
    <t>单位产值电耗（套管-试验），能耗占比较小，沈变建议去掉</t>
  </si>
  <si>
    <t>套管试验工序每万元产值电耗。</t>
  </si>
  <si>
    <t>u套-试验-电 = Q套-试验-电 / G套-试验</t>
  </si>
  <si>
    <t>月度指标。 u套-试验-电:套管试验工序单位产值电耗，单位为kWh/万元； Q套-试验=电：套管试验工序电能源消费量，单位kWh G套-试验:套管试验工序产品产值，单位为万元</t>
  </si>
  <si>
    <t>①套管试验工序耗电量 / ②对应套管产值</t>
  </si>
  <si>
    <t>采集试验设备的电耗。统计对应套管产值，上送电装集控中心。</t>
  </si>
  <si>
    <t>互感器干燥工序每万元产值综合能耗。
电和蒸汽都有，蒸汽用的多，80%蒸汽</t>
  </si>
  <si>
    <t>g互-干燥 = E互-干燥 / G互-干燥</t>
  </si>
  <si>
    <t>月度指标。 g互-干燥:互感器干燥工序单位产值能耗，单位为tce/万元； E互-干燥：互感器干燥工序综合能源消费量，单位tce G互-干燥:互感器干燥工序产品产值，单位为万元</t>
  </si>
  <si>
    <t>变压器-互感器（沈变康嘉）</t>
  </si>
  <si>
    <t>①互感器干燥工序综合能耗 / ②对应互感器产值。</t>
  </si>
  <si>
    <t>采集干燥设备的电耗。统计对应互感器产值，上送电装集控中心。</t>
  </si>
  <si>
    <t>互感器干燥工序每万元产值电耗</t>
  </si>
  <si>
    <t>u互-干燥-电 = Q互-干燥-电 / G互-干燥</t>
  </si>
  <si>
    <t>月度指标。 u互-干燥-电:互感器干燥工序单位产值电耗，单位为kWh/万元； Q互-干燥=电：互感器干燥工序电能源消费量，单位kWh G互-干燥:互感器干燥工序产品产值，单位为万元</t>
  </si>
  <si>
    <t>①互感器干燥工序耗电量 / ②对应互感器产值。</t>
  </si>
  <si>
    <t>互感器干燥工序每万元产值蒸汽消耗</t>
  </si>
  <si>
    <t>u互-干燥-蒸汽 = Q互-干燥-蒸汽 / G互-干燥</t>
  </si>
  <si>
    <t>月度指标。 u互-干燥-蒸汽:互感器干燥工序单位产值蒸汽消耗，单位为t/万元； Q互-干燥-蒸汽：互感器干燥工序蒸汽能源消费量，单位t G互-干燥:互感器干燥工序产品产值，单位为万元</t>
  </si>
  <si>
    <t>①互感器干燥工序耗汽量 / ②对应互感器产值。</t>
  </si>
  <si>
    <t>互感器试验工序每万元产值电耗。</t>
  </si>
  <si>
    <t>u互-试验-电 = Q互-试验-电 / G互-试验</t>
  </si>
  <si>
    <t>月度指标。 u互-试验-电:互感器试验工序单位产值电耗，单位为kWh/万元； Q互-试验=电：互感器试验工序电能源消费量，单位kWh G互-试验:互感器试验工序产品产值，单位为万元</t>
  </si>
  <si>
    <t>①互感器试验工序耗电量 / ②对应互感器产值</t>
  </si>
  <si>
    <t>采集试验设备的电耗。统计对应互感器产值，上送电装集控中心。</t>
  </si>
  <si>
    <t>二次-SMT贴片工序每万元产值电耗。</t>
  </si>
  <si>
    <t>u二次-贴片-电 = Q二次-贴片-电 / G二次-贴片</t>
  </si>
  <si>
    <t>月度指标。 u二次-贴片-电:二次-SMT贴片工序单位产值电耗，单位为kWh/万元； Q二次-贴片=电：二次-SMT贴片工序电能源消费量，单位kWh G二次-贴片:二次-SMT贴片工序产品产值，单位为万元</t>
  </si>
  <si>
    <t>二次（衡变南京公司）</t>
  </si>
  <si>
    <t>①二次-SMT贴片工序耗电量 / ②对应二次设备产值。</t>
  </si>
  <si>
    <t>采集SMT贴片设备的电耗。统计对应二次设备产值，上送电装集控中心。</t>
  </si>
  <si>
    <t>二次-高温老化工序每万元产值电耗。</t>
  </si>
  <si>
    <t>u二次-高温-电 = Q二次-高温-电 / G二次-高温</t>
  </si>
  <si>
    <t>月度指标。 u二次-高温-电:二次-高温老化工序单位产值电耗，单位为kWh/万元； Q二次-高温=电：二次-高温老化工序电能源消费量，单位kWh G二次-高温:二次-高温老化工序产品产值，单位为万元</t>
  </si>
  <si>
    <t>①二次-高温老化工序耗电量 / ②对应二次设备产值。</t>
  </si>
  <si>
    <t>采集高温老化设备的电耗。统计对应二次设备产值，上送电装集控中心。</t>
  </si>
  <si>
    <t>二次-波峰焊工序每万元产值电耗。</t>
  </si>
  <si>
    <t>u二次-波峰焊-电 = Q二次-波峰焊-电 / G二次-波峰焊</t>
  </si>
  <si>
    <t>月度指标。 u二次-波峰焊-电:二次-波峰焊工序单位产值电耗，单位为kWh/万元； Q二次-波峰焊=电：二次-波峰焊工序电能源消费量，单位kWh G二次-波峰焊:二次-波峰焊工序产品产值，单位为万元</t>
  </si>
  <si>
    <t>①二次-波峰焊工序耗电量 / ②对应二次设备产值。</t>
  </si>
  <si>
    <t>采集波峰焊设备的电耗。统计对应二次设备产值，上送电装集控中心。</t>
  </si>
  <si>
    <t>电容器芯子卷绕工序每万元产值电耗。</t>
  </si>
  <si>
    <t>q容-卷绕-电 = Q容-卷绕-电 / M容-卷绕</t>
  </si>
  <si>
    <t>月度指标 q容-卷绕-电：电容器芯子卷绕工序中单位产品电耗，单位为kWh/kvar； Q容-卷绕-电：电容器芯子卷绕工序中电能源消费量，单位kWh M容-卷绕:电容器芯子卷绕工序产品产量，单位为kvar</t>
  </si>
  <si>
    <t>电容电抗-电容（衡变合容）</t>
  </si>
  <si>
    <t>①电容器-芯子卷绕工序耗电量 / ②对应电容器产量。</t>
  </si>
  <si>
    <t>采集芯子卷绕设备的电耗。统计对应电容器产量，上送电装集控中心。</t>
  </si>
  <si>
    <t>产量线下统计，最小可以按天</t>
  </si>
  <si>
    <t>电容器真空浸渍工序每万元产值电耗。</t>
  </si>
  <si>
    <t>q容-真空-电 = Q容-真空-电 / M容-真空</t>
  </si>
  <si>
    <t>月度指标 q容-真空-电：电容器真空浸渍工序中单位产品电耗，单位为kWh/kvar； Q容-真空-电：电容器真空浸渍工序中电能源消费量，单位kWh M容-真空:电容器真空浸渍工序产品产量，单位为kvar</t>
  </si>
  <si>
    <t>①电容器-真空浸渍工序耗电量 / ②对应电容器产量。</t>
  </si>
  <si>
    <t>采集真空浸渍设备的电耗。统计对应电容器产量，上送电装集控中心。</t>
  </si>
  <si>
    <t>产量线下统计，最小可以到周</t>
  </si>
  <si>
    <t>电容器喷漆工序每万元产值电耗。</t>
  </si>
  <si>
    <t>q容-喷漆-电 = Q容-喷漆-电 / M容-喷漆</t>
  </si>
  <si>
    <t>月度指标 q容-喷漆-电：电容器喷漆工序中单位产品电耗，单位为kWh/kvar； Q容-喷漆-电：电容器喷漆工序中电能源消费量，单位kWh M容-喷漆:电容器喷漆工序产品产量，单位为kvar</t>
  </si>
  <si>
    <t>①电容器-喷漆工序耗电量 / ②对应电容器产量。</t>
  </si>
  <si>
    <t>采集喷漆设备的电耗。统计对应电容器产量，上送电装集控中心。</t>
  </si>
  <si>
    <t>电容器试验工序每万元产值电耗。</t>
  </si>
  <si>
    <t>q容-试验-电 = Q容-试验-电 / M容-试验</t>
  </si>
  <si>
    <t>月度指标 q容-试验-电：电容器试验工序中单位产品电耗，单位为kWh/kvar； Q容-试验-电：电容器试验工序中电能源消费量，单位kWh M容-试验:电容器试验工序产品产量，单位为kvar</t>
  </si>
  <si>
    <t>①电容器-试验工序耗电量 / ②对应电容器产量。</t>
  </si>
  <si>
    <t>采集试验设备的电耗。统计对应电容器产量，上送电装集控中心。</t>
  </si>
  <si>
    <t>干式电抗器-固化工序每万元产值电耗。</t>
  </si>
  <si>
    <t>u抗-固化-电 = Q抗-固化-电 / G抗-固化</t>
  </si>
  <si>
    <t>月度指标。 u抗-固化-电:干式电抗器固化工序单位产值电耗，单位为kWh/万元； Q抗-固化=电：干式电抗器固化工序电能源消费量，单位kWh G抗-固化:干式电抗器固化工序产品产值，单位为万元</t>
  </si>
  <si>
    <t>电容电抗-干式电抗器（衡变合容）</t>
  </si>
  <si>
    <t>①干式电抗器-固化工序耗电量 / ②对应干式电抗器产值。</t>
  </si>
  <si>
    <t>采集固化设备的电耗。统计对应干式电抗器产值，上送电装集控中心。</t>
  </si>
  <si>
    <t>产值线下统计，最小可以到周</t>
  </si>
  <si>
    <t>干式电抗器-试验工序每万元产值电耗。</t>
  </si>
  <si>
    <t>u抗-试验-电 = Q抗-试验-电 / G抗-试验</t>
  </si>
  <si>
    <t>月度指标。 u抗-试验-电:干式电抗器试验工序单位产值电耗，单位为kWh/万元； Q抗-试验=电：干式电抗器试验工序电能源消费量，单位kWh G抗-试验:干式电抗器试验工序产品产值，单位为万元</t>
  </si>
  <si>
    <t>①干式电抗器-试验工序耗电量 / ②对应干式电抗器产值。</t>
  </si>
  <si>
    <t>采集试验设备的电耗。统计对应干式电抗器产值，上送电装集控中心。</t>
  </si>
  <si>
    <t>产值线下统计，最小可以到天</t>
  </si>
  <si>
    <t>GIL螺旋焊管生产工序每万元产值电耗。</t>
  </si>
  <si>
    <t>uGIL-螺旋焊管-电 = QGIL-螺旋焊管-电 / GGIL-螺旋焊管</t>
  </si>
  <si>
    <t>月度指标。 uGIL-螺旋焊管-电:GIL螺旋焊管生产工序单位产值电耗，单位为kWh/万元； QGIL-螺旋焊管=电：GIL螺旋焊管生产工序电能源消费量，单位kWh GGIL-螺旋焊管:GIL螺旋焊管生产工序产品产值，单位为万元</t>
  </si>
  <si>
    <t>GIL（衡变-赛杰爱迪）</t>
  </si>
  <si>
    <t>①GIL-螺旋焊管工序耗电量 / ②对应GIL设备产值。</t>
  </si>
  <si>
    <t>采集测试设备的电耗。统计对应GIL产值，上送电装集控中心。</t>
  </si>
  <si>
    <t>GIL-测试工序每万元产值电耗。</t>
  </si>
  <si>
    <t>uGIL-测试-电 = QGIL-测试-电 / GGIL-测试</t>
  </si>
  <si>
    <t>月度指标。 uGIL-测试-电:GIL测试工序单位产值电耗，单位为kWh/万元； QGIL-测试=电：GIL测试工序电能源消费量，单位kWh GGIL-测试:GIL测试工序产品产值，单位为万元</t>
  </si>
  <si>
    <t>①GIL-测试工序耗电量 / ②对应GIL设备产值。</t>
  </si>
  <si>
    <t>GIL-绝缘子生产工序每万元产值电耗。</t>
  </si>
  <si>
    <t>uGIL-绝缘-电 = QGIL-绝缘-电 / GGIL-绝缘</t>
  </si>
  <si>
    <t>月度指标。 uGIL-绝缘-电:GIL绝缘子生产工序单位产值电耗，单位为kWh/万元； QGIL-绝缘=电：GIL绝缘子生产工序电能源消费量，单位kWh GGIL-绝缘:GIL绝缘子生产工序产品产值，单位为万元</t>
  </si>
  <si>
    <t>①GIL-绝缘子生产工序耗电量 / ②对应GIL设备产值。</t>
  </si>
  <si>
    <t>采集绝缘子生产设备的电耗。统计对应GIL产值，上送电装集控中心。</t>
  </si>
  <si>
    <t>GIS-抽真空工序每万元产值电耗。</t>
  </si>
  <si>
    <t>uGIS-真空-电 = QGIS-真空-电 / GGIS-真空</t>
  </si>
  <si>
    <t>月度指标。 uGIS-真空-电:GIS抽真空工序单位产值电耗，单位为kWh/万元； QGIS-真空=电：GIS抽真空工序电能源消费量，单位kWh GGIS-真空:GIS抽真空工序产品产值，单位为万元</t>
  </si>
  <si>
    <t>开关-GIS（衡变云高）</t>
  </si>
  <si>
    <t>①GIS-抽真空工序耗电量 / ②对应GIS设备产值。</t>
  </si>
  <si>
    <t>采集抽真空站的电耗。统计对应GIS产值，上送电装集控中心。</t>
  </si>
  <si>
    <t>产值：MES取产值</t>
  </si>
  <si>
    <t>GIS-绝缘件干燥工序每万元产值电耗。</t>
  </si>
  <si>
    <t>uGIS-干燥-电 = QGIS-干燥-电 / GGIS-干燥</t>
  </si>
  <si>
    <t>月度指标。 uGIS-干燥-电:GIS绝缘件干燥工序单位产值电耗，单位为kWh/万元； QGIS-干燥=电：GIS绝缘件干燥工序电能源消费量，单位kWh GGIS-干燥:GIS绝缘件干燥工序产品产值，单位为万元</t>
  </si>
  <si>
    <t>①GIS-绝缘件干燥工序耗电量 / ②对应GIS设备产值。</t>
  </si>
  <si>
    <t>采集绝缘件干燥设备的电耗。统计对应GIS产值，上送电装集控中心。</t>
  </si>
  <si>
    <t>GIS-工频耐压试验工序每万元产值电耗。</t>
  </si>
  <si>
    <t>uGIS-试验-电 = QGIS-试验-电 / GGIS-试验</t>
  </si>
  <si>
    <t>月度指标。 uGIS-试验-电:GIS工频耐压试验工序单位产值电耗，单位为kWh/万元； QGIS-试验=电：GIS工频耐压试验工序电能源消费量，单位kWh GGIS-试验:GIS工频耐压试验工序产品产值，单位为万元</t>
  </si>
  <si>
    <t>①GIS-工频耐压试验工序耗电量 / ②对应GIS设备产值。</t>
  </si>
  <si>
    <t>采集工频耐压试验设备的电耗。统计对应GIS产值，上送电装集控中心。</t>
  </si>
  <si>
    <t>GIS-空调恒温除湿工序每万元产值电耗。</t>
  </si>
  <si>
    <t>uGIS-除湿-电 = QGIS-除湿-电 / GGIS-除湿</t>
  </si>
  <si>
    <t>月度指标。 uGIS-除湿-电:GIS空调恒温除湿工序单位产值电耗，单位为kWh/万元； QGIS-除湿=电：GIS空调恒温除湿工序电能源消费量，单位kWh GGIS-除湿:GIS空调恒温除湿工序产品产值，单位为万元</t>
  </si>
  <si>
    <t>①GIS-空调恒温除湿工序耗电量 / ②对应GIS设备产值。</t>
  </si>
  <si>
    <t>采集空调恒温除湿设备的电耗。统计对应GIS产值，上送电装集控中心。</t>
  </si>
  <si>
    <t>生产每t非晶合金铁心，退火工序耗电量</t>
  </si>
  <si>
    <t>q非晶-退火-电 = Q非晶-退火-电 / M非晶-退火</t>
  </si>
  <si>
    <t>月度指标 q非晶-退火-电：非晶合金铁心退火工序中单位产品电耗，单位为kWh/t； Q非晶-退火-电：非晶合金铁心退火工序中电能源消费量，单位kWh M非晶-退火:非晶合金铁心退火工序产品产量，单位为t</t>
  </si>
  <si>
    <t>变压器-铁心（新变珠峰硅钢）</t>
  </si>
  <si>
    <t>①非晶合金铁心-退火工序耗电量 / ②对应非晶合金铁心产品产量。</t>
  </si>
  <si>
    <t>采集退火设备的电耗。统计对应非晶合金铁心产量，上送电装集控中心。</t>
  </si>
  <si>
    <t>生产每t硅钢铁心，纵剪工序耗电量</t>
  </si>
  <si>
    <t>q硅钢-纵剪-电 = Q硅钢-纵剪-电 / M硅钢-纵剪</t>
  </si>
  <si>
    <t>月度指标 q硅钢-纵剪-电：硅钢铁心纵剪工序中单位产品电耗，单位为kWh/t； Q硅钢-纵剪-电：硅钢铁心纵剪工序中电能源消费量，单位kWh M硅钢-纵剪:硅钢铁心纵剪工序产品产量，单位为t</t>
  </si>
  <si>
    <t>①硅钢铁心-纵剪工序耗电量 / ②对应硅钢铁心产品产量。</t>
  </si>
  <si>
    <t>采集纵剪设备的电耗。统计对应硅钢铁心产量，上送电装集控中心。</t>
  </si>
  <si>
    <t>生产每t硅钢铁心，中型叠装工序耗电量</t>
  </si>
  <si>
    <t>q硅钢-中型叠装-电 = Q硅钢-中型叠装-电 / M硅钢-中型叠装</t>
  </si>
  <si>
    <t>月度指标 q硅钢-中型叠装-电：硅钢铁心中型叠装工序中单位产品电耗，单位为kWh/t； Q硅钢-中型叠装-电：硅钢铁心中型叠装工序中电能源消费量，单位kWh M硅钢-中型叠装:硅钢铁心中型叠装工序产品产量，单位为t</t>
  </si>
  <si>
    <t>①硅钢铁心-中型叠装工序耗电量 / ②对应硅钢铁心产品产量。</t>
  </si>
  <si>
    <t>采集中型叠装设备的电耗。统计对应硅钢铁心产量，上送电装集控中心。</t>
  </si>
  <si>
    <t>生产每t硅钢铁心，大型叠装工序耗电量</t>
  </si>
  <si>
    <t>q硅钢-大型叠装-电 = Q硅钢-大型叠装-电 / M硅钢-大型叠装</t>
  </si>
  <si>
    <t>月度指标 q硅钢-大型叠装-电：硅钢铁心大型叠装工序中单位产品电耗，单位为kWh/t； Q硅钢-大型叠装-电：硅钢铁心大型叠装工序中电能源消费量，单位kWh M硅钢-大型叠装:硅钢铁心大型叠装工序产品产量，单位为t</t>
  </si>
  <si>
    <t>①硅钢铁心-大型叠装工序耗电量 / ②对应硅钢铁心产品产量。</t>
  </si>
  <si>
    <t>采集大型叠装设备的电耗。统计对应硅钢铁心产量，上送电装集控中心。</t>
  </si>
  <si>
    <t>变量序号</t>
  </si>
  <si>
    <t>变量符号</t>
  </si>
  <si>
    <t>变量含义</t>
  </si>
  <si>
    <t>变量角色</t>
  </si>
  <si>
    <t>对应参数编码</t>
  </si>
  <si>
    <t>变量单位</t>
  </si>
  <si>
    <t>原表变量定义</t>
  </si>
  <si>
    <t>无显式变量，按外部标准方法核算</t>
  </si>
  <si>
    <t>指标值（被计算量）</t>
  </si>
  <si>
    <t>Rcf</t>
  </si>
  <si>
    <t>开展主要产品碳足迹分析的产品类别数量</t>
  </si>
  <si>
    <t>分子 ｜ 开展碳足迹分析的产品类别数量</t>
  </si>
  <si>
    <t>分母 ｜ 主要产品类别总数</t>
  </si>
  <si>
    <t>综合能源消耗量</t>
  </si>
  <si>
    <t>综合能源消耗量，单位为tce</t>
  </si>
  <si>
    <t>维度（能源品种计数）</t>
  </si>
  <si>
    <t>实际消耗的第i种能源量</t>
  </si>
  <si>
    <t>因子（分品种能源消费量）</t>
  </si>
  <si>
    <t>第i种能源的折标准煤系数</t>
  </si>
  <si>
    <t>系数（分品种折标准煤系数）</t>
  </si>
  <si>
    <t>吨二氧化碳（tCO2）</t>
  </si>
  <si>
    <t>二氧化碳排放量，单位为吨二氧化碳（tCO2）</t>
  </si>
  <si>
    <t>加项（化石燃料燃烧排放量）</t>
  </si>
  <si>
    <t>化石燃料燃烧产生的二氧化碳排放量总和，单位为吨二氧化碳（tCO2）</t>
  </si>
  <si>
    <t>过程二氧化碳排放量总和</t>
  </si>
  <si>
    <t>加项（过程排放量）</t>
  </si>
  <si>
    <t>过程二氧化碳排放量总和，单位为吨二氧化碳（tCO2）</t>
  </si>
  <si>
    <t>购入的电力所产生的二氧化碳排放</t>
  </si>
  <si>
    <t>加项（购入电力排放量）</t>
  </si>
  <si>
    <t>购入的电力所产生的二氧化碳排放，单位为吨二氧化碳（tCO2）</t>
  </si>
  <si>
    <t>输出的电力所产生的二氧化碳排放</t>
  </si>
  <si>
    <t>扣减项（输出电力排放量）</t>
  </si>
  <si>
    <t>输出的电力所产生的二氧化碳排放，单位为吨二氧化碳（tCO2）</t>
  </si>
  <si>
    <t>购入的热力所产生的二氧化碳排放</t>
  </si>
  <si>
    <t>加项（购入热力排放量）</t>
  </si>
  <si>
    <t>购入的热力所产生的二氧化碳排放，单位为吨二氧化碳（tCO2）</t>
  </si>
  <si>
    <t>输出的热力所产生的二氧化碳排放</t>
  </si>
  <si>
    <t>扣减项（输出热力排放量）</t>
  </si>
  <si>
    <t>输出的热力所产生的二氧化碳排放，单位为吨二氧化碳（tCO2）</t>
  </si>
  <si>
    <t>化石燃料燃烧、工艺过程产生的二氧化碳经回收作为生产原料自用或作为产品外供并确保未再次排放所对应的二氧化碳排放量</t>
  </si>
  <si>
    <t>扣减项（二氧化碳回收利用量）</t>
  </si>
  <si>
    <t>化石燃料燃烧、工艺过程产生的二氧化碳经回收作为生产原料自用或作为产品外供并确保未再次排放所对应的二氧化碳排放量，单位为吨二氧化碳（tCO2）</t>
  </si>
  <si>
    <t>I</t>
  </si>
  <si>
    <t>分子 ｜ 二氧化碳排放量</t>
  </si>
  <si>
    <t>二氧化碳排放量，单位为tCO2</t>
  </si>
  <si>
    <t>分母 ｜ 综合能源消费量</t>
  </si>
  <si>
    <t>r</t>
  </si>
  <si>
    <t>各类非化石能源消费量(不含作为原料使用的能源)</t>
  </si>
  <si>
    <t>分子 ｜ 非化石能源消费量</t>
  </si>
  <si>
    <t>各类非化石能源消费量(不含作为原料使用的能源)，单位为tce</t>
  </si>
  <si>
    <t>综合能源消费量（不含作为原料使用的能源）</t>
  </si>
  <si>
    <t>综合能源消费量（不含作为原料使用的能源）,单位为tce</t>
  </si>
  <si>
    <t>Eui</t>
  </si>
  <si>
    <t>具备物理可溯源条件的非化石能源电力消费量</t>
  </si>
  <si>
    <t>分子 ｜ 非化石能源电力消费物理认定量</t>
  </si>
  <si>
    <t>具备物理可溯源条件的非化石能源电力消费量，单位为kWh</t>
  </si>
  <si>
    <t>分母 ｜ 总用电量</t>
  </si>
  <si>
    <t>千kWh</t>
  </si>
  <si>
    <t>总用电量，单位为千kWh</t>
  </si>
  <si>
    <t>Enva</t>
  </si>
  <si>
    <t>单位工业增加值能耗，单位为tce/万元</t>
  </si>
  <si>
    <t>分子 ｜ 综合能源消费量</t>
  </si>
  <si>
    <t>综合能源消费量，单位tce</t>
  </si>
  <si>
    <t>分母 ｜ 工业增加值</t>
  </si>
  <si>
    <t>工业增加值，单位为万元</t>
  </si>
  <si>
    <t>S</t>
  </si>
  <si>
    <t>达到或优于能效强制性国家标准 2 级水平和《重点用能产品设备能效先进水平、节能水平和准入水平》节能水平的装备累计额定总功率</t>
  </si>
  <si>
    <t>分子 ｜ 节能装备累计额定总功率</t>
  </si>
  <si>
    <t>达到或优于能效强制性国家标准 2 级水平和《重点用能产品设备能效先进水平、节能水平和准入水平》节能水平的装备累计额定总功率，单位为kW。</t>
  </si>
  <si>
    <t>纳入统计范围装备累计额定总功率纳入统计范围的装备需有适用的能效强制性国家标准，包括但不限于电动机、变压器、工业锅炉、风机、容积式空气压缩机、工业制冷设备、热泵等</t>
  </si>
  <si>
    <t>分母 ｜ 纳入统计范围装备累计额定总功率</t>
  </si>
  <si>
    <t>纳入统计范围装备累计额定总功率，单位为kW。纳入统计范围的装备需有适用的能效强制性国家标准，包括但不限于电动机、变压器、工业锅炉、风机、容积式空气压缩机、工业制冷设备、热泵等</t>
  </si>
  <si>
    <t>g</t>
  </si>
  <si>
    <t>单位产值能耗，单位为tce/万元</t>
  </si>
  <si>
    <t>分母 ｜ 产品产值</t>
  </si>
  <si>
    <t>产品产值，单位为万元</t>
  </si>
  <si>
    <t>e</t>
  </si>
  <si>
    <t>单位产品能耗</t>
  </si>
  <si>
    <t>tce/产品单位</t>
  </si>
  <si>
    <t>单位产品能耗，单位为tce/产品单位</t>
  </si>
  <si>
    <t>产品产量如万kVA、万km*mm2等</t>
  </si>
  <si>
    <t>分母 ｜ 工序 / 产品产量（通用）</t>
  </si>
  <si>
    <t>产品单位</t>
  </si>
  <si>
    <t>产品产量，单位为产品单位，如万kVA、万km*mm2等</t>
  </si>
  <si>
    <t>q电</t>
  </si>
  <si>
    <t>kWh/产品单位</t>
  </si>
  <si>
    <t>单位产品电耗，单位为kWh/产品单位</t>
  </si>
  <si>
    <t>电能源消费量</t>
  </si>
  <si>
    <t>分子 ｜ 电力消费量</t>
  </si>
  <si>
    <t>电能源消费量，单位kWh</t>
  </si>
  <si>
    <t>q蒸汽</t>
  </si>
  <si>
    <t>GJ/产品单位</t>
  </si>
  <si>
    <t>单位产品蒸汽消耗，单位为GJ/产品单位</t>
  </si>
  <si>
    <t>蒸汽能源消费量</t>
  </si>
  <si>
    <t>分子 ｜ 蒸汽消费量（质量）</t>
  </si>
  <si>
    <t>蒸汽能源消费量，单位GJ</t>
  </si>
  <si>
    <t>q天然气</t>
  </si>
  <si>
    <t>m³/产品单位</t>
  </si>
  <si>
    <t>单位产品天然气消耗，单位为m³/产品单位</t>
  </si>
  <si>
    <t>天然气能源消费量</t>
  </si>
  <si>
    <t>分子 ｜ 天然气消费量</t>
  </si>
  <si>
    <t>天然气能源消费量，单位m³</t>
  </si>
  <si>
    <t>q水</t>
  </si>
  <si>
    <t>t/产品单位</t>
  </si>
  <si>
    <t>单位产品水耗，单位为t/产品单位</t>
  </si>
  <si>
    <t>水能源消费量</t>
  </si>
  <si>
    <t>分子 ｜ 用水量（总量）</t>
  </si>
  <si>
    <t>水能源消费量，单位t</t>
  </si>
  <si>
    <t>q线缆-导线-拉丝Cu-电</t>
  </si>
  <si>
    <t>导线产线中拉丝工序单位铜电耗</t>
  </si>
  <si>
    <t>导线产线中拉丝工序单位铜电耗，单位为kWh/t</t>
  </si>
  <si>
    <t>Q线缆-导线-拉丝Cu-电</t>
  </si>
  <si>
    <t>导线产线中拉丝工序电能源消费量</t>
  </si>
  <si>
    <t>分子 ｜ 工序 / 产线电力消费量</t>
  </si>
  <si>
    <t>导线产线中拉丝工序电能源消费量，单位kWh</t>
  </si>
  <si>
    <t>M线缆-导线-拉丝Cu</t>
  </si>
  <si>
    <t>导线产线中拉丝工序铜产量</t>
  </si>
  <si>
    <t>导线产线中拉丝工序铜产量，单位为t</t>
  </si>
  <si>
    <t>q线缆-导线-拉丝Al-电</t>
  </si>
  <si>
    <t>导线产线中拉丝工序单位铝电耗</t>
  </si>
  <si>
    <t>导线产线中拉丝工序单位铝电耗，单位为kWh/t</t>
  </si>
  <si>
    <t>Q线缆-导线-拉丝Al-电</t>
  </si>
  <si>
    <t>M线缆-导线-拉丝Al</t>
  </si>
  <si>
    <t>导线产线中拉丝工序铝产量</t>
  </si>
  <si>
    <t>导线产线中拉丝工序铝产量，单位为t</t>
  </si>
  <si>
    <t>q线缆-布电线-拉丝Cu-电</t>
  </si>
  <si>
    <t>布电线产线中拉丝工序单位铜电耗</t>
  </si>
  <si>
    <t>布电线产线中拉丝工序单位铜电耗，单位为kWh/t</t>
  </si>
  <si>
    <t>Q线缆-布电线-拉丝Cu-电</t>
  </si>
  <si>
    <t>布电线产线中拉丝工序电能源消费量</t>
  </si>
  <si>
    <t>布电线产线中拉丝工序电能源消费量，单位kWh</t>
  </si>
  <si>
    <t>M线缆-布电线-拉丝Cu</t>
  </si>
  <si>
    <t>布电线产线中拉丝工序铜产量</t>
  </si>
  <si>
    <t>布电线产线中拉丝工序铜产量，单位为t</t>
  </si>
  <si>
    <t>q线缆-布电线-拉丝Al-电</t>
  </si>
  <si>
    <t>布电线产线中拉丝工序单位铝电耗</t>
  </si>
  <si>
    <t>布电线产线中拉丝工序单位铝电耗，单位为kWh/t</t>
  </si>
  <si>
    <t>Q线缆-布电线-拉丝Al-电</t>
  </si>
  <si>
    <t>M线缆-布电线-拉丝Al</t>
  </si>
  <si>
    <t>布电线产线中拉丝工序铝产量</t>
  </si>
  <si>
    <t>布电线产线中拉丝工序铝产量，单位为t</t>
  </si>
  <si>
    <t>q线缆-高压电缆-拉丝Cu-电</t>
  </si>
  <si>
    <t>高压电缆产线中拉丝工序单位铜电耗</t>
  </si>
  <si>
    <t>高压电缆产线中拉丝工序单位铜电耗，单位为kWh/t</t>
  </si>
  <si>
    <t>Q线缆-高压电缆-拉丝Cu-电</t>
  </si>
  <si>
    <t>高压电缆产线中拉丝工序电能源消费量</t>
  </si>
  <si>
    <t>高压电缆产线中拉丝工序电能源消费量，单位kWh</t>
  </si>
  <si>
    <t>M线缆-高压电缆-拉丝Cu</t>
  </si>
  <si>
    <t>高压电缆产线中拉丝工序铜产量</t>
  </si>
  <si>
    <t>高压电缆产线中拉丝工序铜产量，单位为t</t>
  </si>
  <si>
    <t>q线缆-高压电缆-拉丝Al-电</t>
  </si>
  <si>
    <t>高压电缆产线中拉丝工序单位铝电耗</t>
  </si>
  <si>
    <t>高压电缆产线中拉丝工序单位铝电耗，单位为kWh/t</t>
  </si>
  <si>
    <t>Q线缆-高压电缆-拉丝Al-电</t>
  </si>
  <si>
    <t>M线缆-高压电缆-拉丝Al</t>
  </si>
  <si>
    <t>高压电缆产线中拉丝工序铝产量</t>
  </si>
  <si>
    <t>高压电缆产线中拉丝工序铝产量，单位为t</t>
  </si>
  <si>
    <t>q线缆-高压电缆-交联-电</t>
  </si>
  <si>
    <t>高压电缆产线中交联工序单位产品电耗</t>
  </si>
  <si>
    <t>高压电缆产线中交联工序单位产品电耗，单位为kWh/km*mm2</t>
  </si>
  <si>
    <t>Q线缆-高压电缆-交联-电</t>
  </si>
  <si>
    <t>高压电缆产线中交联工序电能源消费量</t>
  </si>
  <si>
    <t>高压电缆产线中交联工序电能源消费量，单位kWh</t>
  </si>
  <si>
    <t>M线缆-高压电缆-交联</t>
  </si>
  <si>
    <t>高压电缆产线中交联工序产品产量</t>
  </si>
  <si>
    <t>km*mm2</t>
  </si>
  <si>
    <t>高压电缆产线中交联工序产品产量，单位为km*mm2</t>
  </si>
  <si>
    <t>q线缆-中压电缆-拉丝Cu-电</t>
  </si>
  <si>
    <t>中压电缆产线中拉丝工序单位铜电耗</t>
  </si>
  <si>
    <t>中压电缆产线中拉丝工序单位铜电耗，单位为kWh/t</t>
  </si>
  <si>
    <t>Q线缆-中压电缆-拉丝Cu-电</t>
  </si>
  <si>
    <t>中压电缆产线中拉丝工序电能源消费量</t>
  </si>
  <si>
    <t>中压电缆产线中拉丝工序电能源消费量，单位kWh</t>
  </si>
  <si>
    <t>M线缆-中压电缆-拉丝Cu</t>
  </si>
  <si>
    <t>中压电缆产线中拉丝工序铜产量</t>
  </si>
  <si>
    <t>中压电缆产线中拉丝工序铜产量，单位为t</t>
  </si>
  <si>
    <t>q线缆-中压电缆-拉丝Al-电</t>
  </si>
  <si>
    <t>中压电缆产线中拉丝工序单位铝电耗</t>
  </si>
  <si>
    <t>中压电缆产线中拉丝工序单位铝电耗，单位为kWh/t</t>
  </si>
  <si>
    <t>Q线缆-中压电缆-拉丝Al-电</t>
  </si>
  <si>
    <t>M线缆-中压电缆-拉丝Al</t>
  </si>
  <si>
    <t>中压电缆产线中拉丝工序铝产量</t>
  </si>
  <si>
    <t>中压电缆产线中拉丝工序铝产量，单位为t</t>
  </si>
  <si>
    <t>q线缆-中压电缆-交联-电</t>
  </si>
  <si>
    <t>中压电缆产线中交联工序单位产品电耗</t>
  </si>
  <si>
    <t>中压电缆产线中交联工序单位产品电耗，单位为kWh/km*mm2</t>
  </si>
  <si>
    <t>Q线缆-中压电缆-交联-电</t>
  </si>
  <si>
    <t>中压电缆产线中交联工序电能源消费量</t>
  </si>
  <si>
    <t>中压电缆产线中交联工序电能源消费量，单位kWh</t>
  </si>
  <si>
    <t>M线缆-中压电缆-交联</t>
  </si>
  <si>
    <t>中压电缆产线中交联工序产品产量</t>
  </si>
  <si>
    <t>中压电缆产线中交联工序产品产量，单位为km*mm2</t>
  </si>
  <si>
    <t>q线缆-低压电缆-拉丝Cu-电</t>
  </si>
  <si>
    <t>低压电缆产线中拉丝工序单位铜电耗</t>
  </si>
  <si>
    <t>低压电缆产线中拉丝工序单位铜电耗，单位为kWh/t</t>
  </si>
  <si>
    <t>Q线缆-低压电缆-拉丝Cu-电</t>
  </si>
  <si>
    <t>低压电缆产线中拉丝工序电能源消费量</t>
  </si>
  <si>
    <t>低压电缆产线中拉丝工序电能源消费量，单位kWh</t>
  </si>
  <si>
    <t>M线缆-低压电缆-拉丝Cu</t>
  </si>
  <si>
    <t>低压电缆产线中拉丝工序铜产量</t>
  </si>
  <si>
    <t>低压电缆产线中拉丝工序铜产量，单位为t</t>
  </si>
  <si>
    <t>q线缆-低压电缆-拉丝Al-电</t>
  </si>
  <si>
    <t>低压电缆产线中拉丝工序单位铝电耗</t>
  </si>
  <si>
    <t>低压电缆产线中拉丝工序单位铝电耗，单位为kWh/t</t>
  </si>
  <si>
    <t>Q线缆-低压电缆-拉丝Al-电</t>
  </si>
  <si>
    <t>M线缆-低压电缆-拉丝Al</t>
  </si>
  <si>
    <t>低压电缆产线中拉丝工序铝产量</t>
  </si>
  <si>
    <t>低压电缆产线中拉丝工序铝产量，单位为t</t>
  </si>
  <si>
    <t>q线缆-特种电缆-拉丝Cu-电</t>
  </si>
  <si>
    <t>特种电缆产线中拉丝工序单位铜电耗</t>
  </si>
  <si>
    <t>特种电缆产线中拉丝工序单位铜电耗，单位为kWh/t</t>
  </si>
  <si>
    <t>Q线缆-特种电缆-拉丝Cu-电</t>
  </si>
  <si>
    <t>特种电缆产线中拉丝工序电能源消费量</t>
  </si>
  <si>
    <t>特种电缆产线中拉丝工序电能源消费量，单位kWh</t>
  </si>
  <si>
    <t>M线缆-特种电缆-拉丝Cu</t>
  </si>
  <si>
    <t>特种电缆产线中拉丝工序铜产量</t>
  </si>
  <si>
    <t>特种电缆产线中拉丝工序铜产量，单位为t</t>
  </si>
  <si>
    <t>q线缆-特种电缆-拉丝Al-电</t>
  </si>
  <si>
    <t>特种电缆产线中拉丝工序单位铝电耗</t>
  </si>
  <si>
    <t>特种电缆产线中拉丝工序单位铝电耗，单位为kWh/t</t>
  </si>
  <si>
    <t>Q线缆-特种电缆-拉丝Al-电</t>
  </si>
  <si>
    <t>M线缆-特种电缆-拉丝Al</t>
  </si>
  <si>
    <t>特种电缆产线中拉丝工序铝产量</t>
  </si>
  <si>
    <t>特种电缆产线中拉丝工序铝产量，单位为t</t>
  </si>
  <si>
    <t>q线缆-装备电缆-拉丝Cu-电</t>
  </si>
  <si>
    <t>装备电缆产线中拉丝工序单位铜电耗</t>
  </si>
  <si>
    <t>装备电缆产线中拉丝工序单位铜电耗，单位为kWh/t</t>
  </si>
  <si>
    <t>Q线缆-装备电缆-拉丝Cu-电</t>
  </si>
  <si>
    <t>装备电缆产线中拉丝工序电能源消费量</t>
  </si>
  <si>
    <t>装备电缆产线中拉丝工序电能源消费量，单位kWh</t>
  </si>
  <si>
    <t>M线缆-装备电缆-拉丝Cu</t>
  </si>
  <si>
    <t>装备电缆产线中拉丝工序铜产量</t>
  </si>
  <si>
    <t>装备电缆产线中拉丝工序铜产量，单位为t</t>
  </si>
  <si>
    <t>q线缆-装备电缆-拉丝Al-电</t>
  </si>
  <si>
    <t>装备电缆产线中拉丝工序单位铝电耗</t>
  </si>
  <si>
    <t>装备电缆产线中拉丝工序单位铝电耗，单位为kWh/t</t>
  </si>
  <si>
    <t>Q线缆-装备电缆-拉丝Al-电</t>
  </si>
  <si>
    <t>M线缆-装备电缆-拉丝Al</t>
  </si>
  <si>
    <t>装备电缆产线中拉丝工序铝产量</t>
  </si>
  <si>
    <t>装备电缆产线中拉丝工序铝产量，单位为t</t>
  </si>
  <si>
    <t>q线缆-橡套电缆-拉丝Cu-电</t>
  </si>
  <si>
    <t>橡套电缆产线中拉丝工序单位铜电耗</t>
  </si>
  <si>
    <t>橡套电缆产线中拉丝工序单位铜电耗，单位为kWh/t</t>
  </si>
  <si>
    <t>Q线缆-橡套电缆-拉丝Cu-电</t>
  </si>
  <si>
    <t>橡套电缆产线中拉丝工序电能源消费量</t>
  </si>
  <si>
    <t>橡套电缆产线中拉丝工序电能源消费量，单位kWh</t>
  </si>
  <si>
    <t>M线缆-橡套电缆-拉丝Cu</t>
  </si>
  <si>
    <t>橡套电缆产线中拉丝工序铜产量</t>
  </si>
  <si>
    <t>橡套电缆产线中拉丝工序铜产量，单位为t</t>
  </si>
  <si>
    <t>q线缆-橡套电缆-拉丝Al-电</t>
  </si>
  <si>
    <t>橡套电缆产线中拉丝工序单位铝电耗</t>
  </si>
  <si>
    <t>橡套电缆产线中拉丝工序单位铝电耗，单位为kWh/t</t>
  </si>
  <si>
    <t>Q线缆-橡套电缆-拉丝Al-电</t>
  </si>
  <si>
    <t>M线缆-橡套电缆-拉丝Al</t>
  </si>
  <si>
    <t>橡套电缆产线中拉丝工序铝产量</t>
  </si>
  <si>
    <t>橡套电缆产线中拉丝工序铝产量，单位为t</t>
  </si>
  <si>
    <t>e变-特高压-器身干燥</t>
  </si>
  <si>
    <t>变压器特高压产线器身干燥工序单位产品能耗</t>
  </si>
  <si>
    <t>变压器特高压产线器身干燥工序单位产品能耗，单位为tce/万kVA</t>
  </si>
  <si>
    <t>E变-特高压-器身干燥</t>
  </si>
  <si>
    <t>变压器特高压产线器身干燥工序综合能源消费量</t>
  </si>
  <si>
    <t>分子 ｜ 工序 / 产线综合能源消费量</t>
  </si>
  <si>
    <t>变压器特高压产线器身干燥工序综合能源消费量，单位tce</t>
  </si>
  <si>
    <t>M变-特高压-器身干燥</t>
  </si>
  <si>
    <t>变压器特高压产线器身干燥工序产品产量</t>
  </si>
  <si>
    <t>变压器特高压产线器身干燥工序产品产量，单位为万kVA</t>
  </si>
  <si>
    <t>q变-特高压-器身干燥-电</t>
  </si>
  <si>
    <t>变压器特高压产线器身干燥工序中单位产品电耗</t>
  </si>
  <si>
    <t>变压器特高压产线器身干燥工序中单位产品电耗，单位为kWh/万kVA</t>
  </si>
  <si>
    <t>Q变-特高压-器身干燥-电</t>
  </si>
  <si>
    <t>变压器特高压产线器身干燥工序中电能源消费量</t>
  </si>
  <si>
    <t>变压器特高压产线器身干燥工序中电能源消费量，单位kWh</t>
  </si>
  <si>
    <t>q变-特高压-器身干燥-蒸汽</t>
  </si>
  <si>
    <t>变压器特高压产线器身干燥工序中单位产品蒸汽耗</t>
  </si>
  <si>
    <t>变压器特高压产线器身干燥工序中单位产品蒸汽耗，单位为t/万kVA</t>
  </si>
  <si>
    <t>Q变-特高压-器身干燥-蒸汽</t>
  </si>
  <si>
    <t>变压器特高压产线器身干燥工序中蒸汽能源消费量</t>
  </si>
  <si>
    <t>分子 ｜ 工序 / 产线蒸汽消费量</t>
  </si>
  <si>
    <t>变压器特高压产线器身干燥工序中蒸汽能源消费量，单位t</t>
  </si>
  <si>
    <t>e变-特高压-试验</t>
  </si>
  <si>
    <t>变压器特高压产线试验工序单位产品能耗</t>
  </si>
  <si>
    <t>变压器特高压产线试验工序单位产品能耗，单位为tce/万kVA</t>
  </si>
  <si>
    <t>E变-特高压-试验</t>
  </si>
  <si>
    <t>变压器特高压产线试验工序综合能源消费量</t>
  </si>
  <si>
    <t>变压器特高压产线试验工序综合能源消费量，单位tce</t>
  </si>
  <si>
    <t>M变-特高压-试验</t>
  </si>
  <si>
    <t>变压器特高压产线试验工序产品产量</t>
  </si>
  <si>
    <t>变压器特高压产线试验工序产品产量，单位为万kVA</t>
  </si>
  <si>
    <t>q变-特高压-试验-电</t>
  </si>
  <si>
    <t>变压器特高压产线试验工序中单位产品电耗</t>
  </si>
  <si>
    <t>变压器特高压产线试验工序中单位产品电耗，单位为kWh/万kVA</t>
  </si>
  <si>
    <t>Q变-特高压-试验-电</t>
  </si>
  <si>
    <t>变压器特高压产线试验工序中电能源消费量</t>
  </si>
  <si>
    <t>变压器特高压产线试验工序中电能源消费量，单位kWh</t>
  </si>
  <si>
    <t>e变-超高压-器身干燥</t>
  </si>
  <si>
    <t>变压器超高压产线器身干燥工序单位产品能耗</t>
  </si>
  <si>
    <t>变压器超高压产线器身干燥工序单位产品能耗，单位为tce/万kVA</t>
  </si>
  <si>
    <t>E变-超高压-器身干燥</t>
  </si>
  <si>
    <t>变压器超高压产线器身干燥工序综合能源消费量</t>
  </si>
  <si>
    <t>变压器超高压产线器身干燥工序综合能源消费量，单位tce</t>
  </si>
  <si>
    <t>M变-超高压-器身干燥</t>
  </si>
  <si>
    <t>变压器超高压产线器身干燥工序产品产量</t>
  </si>
  <si>
    <t>变压器超高压产线器身干燥工序产品产量，单位为万kVA</t>
  </si>
  <si>
    <t>q变-超高压-器身干燥-电</t>
  </si>
  <si>
    <t>变压器超高压产线器身干燥工序中单位产品电耗</t>
  </si>
  <si>
    <t>变压器超高压产线器身干燥工序中单位产品电耗，单位为kWh/万kVA</t>
  </si>
  <si>
    <t>Q变-超高压-器身干燥-电</t>
  </si>
  <si>
    <t>变压器超高压产线器身干燥工序中电能源消费量</t>
  </si>
  <si>
    <t>变压器超高压产线器身干燥工序中电能源消费量，单位kWh</t>
  </si>
  <si>
    <t>q变-超高压-器身干燥-蒸汽</t>
  </si>
  <si>
    <t>变压器超高压产线器身干燥工序中单位产品蒸汽耗</t>
  </si>
  <si>
    <t>变压器超高压产线器身干燥工序中单位产品蒸汽耗，单位为t/万kVA</t>
  </si>
  <si>
    <t>Q变-超高压-器身干燥-蒸汽</t>
  </si>
  <si>
    <t>变压器超高压产线器身干燥工序中蒸汽能源消费量</t>
  </si>
  <si>
    <t>变压器超高压产线器身干燥工序中蒸汽能源消费量，单位t</t>
  </si>
  <si>
    <t>e变-超高压-试验</t>
  </si>
  <si>
    <t>变压器超高压产线试验工序单位产品能耗</t>
  </si>
  <si>
    <t>变压器超高压产线试验工序单位产品能耗，单位为tce/万kVA</t>
  </si>
  <si>
    <t>E变-超高压-试验</t>
  </si>
  <si>
    <t>变压器超高压产线试验工序综合能源消费量</t>
  </si>
  <si>
    <t>变压器超高压产线试验工序综合能源消费量，单位tce</t>
  </si>
  <si>
    <t>M变-超高压-试验</t>
  </si>
  <si>
    <t>变压器超高压产线试验工序产品产量</t>
  </si>
  <si>
    <t>变压器超高压产线试验工序产品产量，单位为万kVA</t>
  </si>
  <si>
    <t>q变-超高压-试验-电</t>
  </si>
  <si>
    <t>变压器超高压产线试验工序中单位产品电耗</t>
  </si>
  <si>
    <t>变压器超高压产线试验工序中单位产品电耗，单位为kWh/万kVA</t>
  </si>
  <si>
    <t>Q变-超高压-试验-电</t>
  </si>
  <si>
    <t>变压器超高压产线试验工序中电能源消费量</t>
  </si>
  <si>
    <t>变压器超高压产线试验工序中电能源消费量，单位kWh</t>
  </si>
  <si>
    <t>e变-高压-器身干燥</t>
  </si>
  <si>
    <t>变压器高压产线器身干燥工序单位产品能耗</t>
  </si>
  <si>
    <t>变压器高压产线器身干燥工序单位产品能耗，单位为tce/万kVA</t>
  </si>
  <si>
    <t>E变-高压-器身干燥</t>
  </si>
  <si>
    <t>变压器高压产线器身干燥工序综合能源消费量</t>
  </si>
  <si>
    <t>变压器高压产线器身干燥工序综合能源消费量，单位tce</t>
  </si>
  <si>
    <t>M变-高压-器身干燥</t>
  </si>
  <si>
    <t>变压器高压产线器身干燥工序产品产量</t>
  </si>
  <si>
    <t>变压器高压产线器身干燥工序产品产量，单位为万kVA</t>
  </si>
  <si>
    <t>q变-高压-器身干燥-电</t>
  </si>
  <si>
    <t>变压器高压产线器身干燥工序中单位产品电耗</t>
  </si>
  <si>
    <t>变压器高压产线器身干燥工序中单位产品电耗，单位为kWh/万kVA</t>
  </si>
  <si>
    <t>Q变-高压-器身干燥-电</t>
  </si>
  <si>
    <t>变压器高压产线器身干燥工序中电能源消费量</t>
  </si>
  <si>
    <t>变压器高压产线器身干燥工序中电能源消费量，单位kWh</t>
  </si>
  <si>
    <t>q变-高压-器身干燥-蒸汽</t>
  </si>
  <si>
    <t>变压器高压产线器身干燥工序中单位产品蒸汽耗</t>
  </si>
  <si>
    <t>变压器高压产线器身干燥工序中单位产品蒸汽耗，单位为t/万kVA</t>
  </si>
  <si>
    <t>Q变-高压-器身干燥-蒸汽</t>
  </si>
  <si>
    <t>变压器高压产线器身干燥工序中蒸汽能源消费量</t>
  </si>
  <si>
    <t>变压器高压产线器身干燥工序中蒸汽能源消费量，单位t</t>
  </si>
  <si>
    <t>e变-高压-试验</t>
  </si>
  <si>
    <t>变压器高压产线试验工序单位产品能耗</t>
  </si>
  <si>
    <t>变压器高压产线试验工序单位产品能耗，单位为tce/万kVA</t>
  </si>
  <si>
    <t>E变-高压-试验</t>
  </si>
  <si>
    <t>变压器高压产线试验工序综合能源消费量</t>
  </si>
  <si>
    <t>变压器高压产线试验工序综合能源消费量，单位tce</t>
  </si>
  <si>
    <t>M变-高压-试验</t>
  </si>
  <si>
    <t>变压器高压产线试验工序产品产量</t>
  </si>
  <si>
    <t>变压器高压产线试验工序产品产量，单位为万kVA</t>
  </si>
  <si>
    <t>q变-高压-试验-电</t>
  </si>
  <si>
    <t>变压器高压产线试验工序中单位产品电耗</t>
  </si>
  <si>
    <t>变压器高压产线试验工序中单位产品电耗，单位为kWh/万kVA</t>
  </si>
  <si>
    <t>Q变-高压-试验-电</t>
  </si>
  <si>
    <t>变压器高压产线试验工序中电能源消费量</t>
  </si>
  <si>
    <t>变压器高压产线试验工序中电能源消费量，单位kWh</t>
  </si>
  <si>
    <t>e变-配变箱变-器身干燥</t>
  </si>
  <si>
    <t>变压器配变箱变产线器身干燥工序单位产品能耗</t>
  </si>
  <si>
    <t>变压器配变箱变产线器身干燥工序单位产品能耗，单位为tce/万kVA</t>
  </si>
  <si>
    <t>E变-配变箱变-器身干燥</t>
  </si>
  <si>
    <t>变压器配变箱变产线器身干燥工序综合能源消费量</t>
  </si>
  <si>
    <t>变压器配变箱变产线器身干燥工序综合能源消费量，单位tce</t>
  </si>
  <si>
    <t>M变-配变箱变-器身干燥</t>
  </si>
  <si>
    <t>变压器配变箱变产线器身干燥工序产品产量</t>
  </si>
  <si>
    <t>变压器配变箱变产线器身干燥工序产品产量，单位为万kVA</t>
  </si>
  <si>
    <t>q变-配变箱变-器身干燥-电</t>
  </si>
  <si>
    <t>变压器配变箱变产线器身干燥工序中单位产品电耗</t>
  </si>
  <si>
    <t>变压器配变箱变产线器身干燥工序中单位产品电耗，单位为kWh/万kVA</t>
  </si>
  <si>
    <t>Q变-配变箱变-器身干燥-电</t>
  </si>
  <si>
    <t>变压器配变箱变产线器身干燥工序中电能源消费量</t>
  </si>
  <si>
    <t>变压器配变箱变产线器身干燥工序中电能源消费量，单位kWh</t>
  </si>
  <si>
    <t>e变-配变箱变-试验</t>
  </si>
  <si>
    <t>变压器配变箱变产线试验工序单位产品能耗</t>
  </si>
  <si>
    <t>变压器配变箱变产线试验工序单位产品能耗，单位为tce/万kVA</t>
  </si>
  <si>
    <t>E变-配变箱变-试验</t>
  </si>
  <si>
    <t>变压器配变箱变产线试验工序综合能源消费量</t>
  </si>
  <si>
    <t>变压器配变箱变产线试验工序综合能源消费量，单位tce</t>
  </si>
  <si>
    <t>M变-配变箱变-试验</t>
  </si>
  <si>
    <t>变压器配变箱变产线试验工序产品产量</t>
  </si>
  <si>
    <t>变压器配变箱变产线试验工序产品产量，单位为万kVA</t>
  </si>
  <si>
    <t>q变-配变箱变-试验-电</t>
  </si>
  <si>
    <t>变压器配变箱变产线试验工序中单位产品电耗</t>
  </si>
  <si>
    <t>变压器配变箱变产线试验工序中单位产品电耗，单位为kWh/万kVA</t>
  </si>
  <si>
    <t>Q变-配变箱变-试验-电</t>
  </si>
  <si>
    <t>变压器配变箱变产线试验工序中电能源消费量</t>
  </si>
  <si>
    <t>变压器配变箱变产线试验工序中电能源消费量，单位kWh</t>
  </si>
  <si>
    <t>e变-配变中特-器身干燥</t>
  </si>
  <si>
    <t>变压器配变中特产线器身干燥工序单位产品能耗</t>
  </si>
  <si>
    <t>变压器配变中特产线器身干燥工序单位产品能耗，单位为tce/万kVA</t>
  </si>
  <si>
    <t>E变-配变中特-器身干燥</t>
  </si>
  <si>
    <t>变压器配变中特产线器身干燥工序综合能源消费量</t>
  </si>
  <si>
    <t>变压器配变中特产线器身干燥工序综合能源消费量，单位tce</t>
  </si>
  <si>
    <t>M变-配变中特-器身干燥</t>
  </si>
  <si>
    <t>变压器配变中特产线器身干燥工序产品产量</t>
  </si>
  <si>
    <t>变压器配变中特产线器身干燥工序产品产量，单位为万kVA</t>
  </si>
  <si>
    <t>q变-配变中特-器身干燥-电</t>
  </si>
  <si>
    <t>变压器配变中特产线器身干燥工序中单位产品电耗</t>
  </si>
  <si>
    <t>变压器配变中特产线器身干燥工序中单位产品电耗，单位为kWh/万kVA</t>
  </si>
  <si>
    <t>Q变-配变中特-器身干燥-电</t>
  </si>
  <si>
    <t>变压器配变中特产线器身干燥工序中电能源消费量</t>
  </si>
  <si>
    <t>变压器配变中特产线器身干燥工序中电能源消费量，单位kWh</t>
  </si>
  <si>
    <t>e变-配变中特-试验</t>
  </si>
  <si>
    <t>变压器配变中特产线试验工序单位产品能耗</t>
  </si>
  <si>
    <t>变压器配变中特产线试验工序单位产品能耗，单位为tce/万kVA</t>
  </si>
  <si>
    <t>E变-配变中特-试验</t>
  </si>
  <si>
    <t>变压器配变中特产线试验工序综合能源消费量</t>
  </si>
  <si>
    <t>变压器配变中特产线试验工序综合能源消费量，单位tce</t>
  </si>
  <si>
    <t>M变-配变中特-试验</t>
  </si>
  <si>
    <t>变压器配变中特产线试验工序产品产量</t>
  </si>
  <si>
    <t>变压器配变中特产线试验工序产品产量，单位为万kVA</t>
  </si>
  <si>
    <t>q变-配变中特-试验-电</t>
  </si>
  <si>
    <t>变压器配变中特产线试验工序中单位产品电耗</t>
  </si>
  <si>
    <t>变压器配变中特产线试验工序中单位产品电耗，单位为kWh/万kVA</t>
  </si>
  <si>
    <t>Q变-配变中特-试验-电</t>
  </si>
  <si>
    <t>变压器配变中特产线试验工序中电能源消费量</t>
  </si>
  <si>
    <t>变压器配变中特产线试验工序中电能源消费量，单位kWh</t>
  </si>
  <si>
    <t>e变-配变油变-器身干燥</t>
  </si>
  <si>
    <t>变压器配变油变产线器身干燥工序单位产品能耗</t>
  </si>
  <si>
    <t>变压器配变油变产线器身干燥工序单位产品能耗，单位为tce/万kVA</t>
  </si>
  <si>
    <t>E变-配变油变-器身干燥</t>
  </si>
  <si>
    <t>变压器配变油变产线器身干燥工序综合能源消费量</t>
  </si>
  <si>
    <t>变压器配变油变产线器身干燥工序综合能源消费量，单位tce</t>
  </si>
  <si>
    <t>M变-配变油变-器身干燥</t>
  </si>
  <si>
    <t>变压器配变油变产线器身干燥工序产品产量</t>
  </si>
  <si>
    <t>变压器配变油变产线器身干燥工序产品产量，单位为万kVA</t>
  </si>
  <si>
    <t>q变-配变油变-器身干燥-电</t>
  </si>
  <si>
    <t>变压器配变油变产线器身干燥工序中单位产品电耗</t>
  </si>
  <si>
    <t>变压器配变油变产线器身干燥工序中单位产品电耗，单位为kWh/万kVA</t>
  </si>
  <si>
    <t>Q变-配变油变-器身干燥-电</t>
  </si>
  <si>
    <t>变压器配变油变产线器身干燥工序中电能源消费量</t>
  </si>
  <si>
    <t>变压器配变油变产线器身干燥工序中电能源消费量，单位kWh</t>
  </si>
  <si>
    <t>e变-配变油变-试验</t>
  </si>
  <si>
    <t>变压器配变油变产线试验工序单位产品能耗</t>
  </si>
  <si>
    <t>变压器配变油变产线试验工序单位产品能耗，单位为tce/万kVA</t>
  </si>
  <si>
    <t>E变-配变油变-试验</t>
  </si>
  <si>
    <t>变压器配变油变产线试验工序综合能源消费量</t>
  </si>
  <si>
    <t>变压器配变油变产线试验工序综合能源消费量，单位tce</t>
  </si>
  <si>
    <t>M变-配变油变-试验</t>
  </si>
  <si>
    <t>变压器配变油变产线试验工序产品产量</t>
  </si>
  <si>
    <t>变压器配变油变产线试验工序产品产量，单位为万kVA</t>
  </si>
  <si>
    <t>q变-配变油变-试验-电</t>
  </si>
  <si>
    <t>变压器配变油变产线试验工序中单位产品电耗</t>
  </si>
  <si>
    <t>变压器配变油变产线试验工序中单位产品电耗，单位为kWh/万kVA</t>
  </si>
  <si>
    <t>Q变-配变油变-试验-电</t>
  </si>
  <si>
    <t>变压器配变油变产线试验工序中电能源消费量</t>
  </si>
  <si>
    <t>变压器配变油变产线试验工序中电能源消费量，单位kWh</t>
  </si>
  <si>
    <t>e变-配变干变-浇注固化</t>
  </si>
  <si>
    <t>变压器配变干变产线浇注固化工序单位产品能耗</t>
  </si>
  <si>
    <t>变压器配变干变产线浇注固化工序单位产品能耗，单位为tce/万kVA</t>
  </si>
  <si>
    <t>E变-配变干变-浇注固化</t>
  </si>
  <si>
    <t>变压器配变干变产线浇注固化工序综合能源消费量</t>
  </si>
  <si>
    <t>变压器配变干变产线浇注固化工序综合能源消费量，单位tce</t>
  </si>
  <si>
    <t>M变-配变干变-浇注固化</t>
  </si>
  <si>
    <t>变压器配变干变产线浇注固化工序产品产量</t>
  </si>
  <si>
    <t>变压器配变干变产线浇注固化工序产品产量，单位为万kVA</t>
  </si>
  <si>
    <t>q变-配变干变-浇注固化-电</t>
  </si>
  <si>
    <t>变压器配变干变产线浇注固化工序中单位产品电耗</t>
  </si>
  <si>
    <t>变压器配变干变产线浇注固化工序中单位产品电耗，单位为kWh/万kVA</t>
  </si>
  <si>
    <t>Q变-配变干变-浇注固化-电</t>
  </si>
  <si>
    <t>变压器配变干变产线浇注固化工序中电能源消费量</t>
  </si>
  <si>
    <t>变压器配变干变产线浇注固化工序中电能源消费量，单位kWh</t>
  </si>
  <si>
    <t>e变-配变干变-试验</t>
  </si>
  <si>
    <t>变压器配变干变产线试验工序单位产品能耗</t>
  </si>
  <si>
    <t>变压器配变干变产线试验工序单位产品能耗，单位为tce/万kVA</t>
  </si>
  <si>
    <t>E变-配变干变-试验</t>
  </si>
  <si>
    <t>变压器配变干变产线试验工序综合能源消费量</t>
  </si>
  <si>
    <t>变压器配变干变产线试验工序综合能源消费量，单位tce</t>
  </si>
  <si>
    <t>M变-配变干变-试验</t>
  </si>
  <si>
    <t>变压器配变干变产线试验工序产品产量</t>
  </si>
  <si>
    <t>变压器配变干变产线试验工序产品产量，单位为万kVA</t>
  </si>
  <si>
    <t>q变-配变干变-试验-电</t>
  </si>
  <si>
    <t>变压器配变干变产线试验工序中单位产品电耗</t>
  </si>
  <si>
    <t>变压器配变干变产线试验工序中单位产品电耗，单位为kWh/万kVA</t>
  </si>
  <si>
    <t>Q变-配变干变-试验-电</t>
  </si>
  <si>
    <t>变压器配变干变产线试验工序中电能源消费量</t>
  </si>
  <si>
    <t>变压器配变干变产线试验工序中电能源消费量，单位kWh</t>
  </si>
  <si>
    <t>u柜-加工-电</t>
  </si>
  <si>
    <t>中低压开关柜钣金加工工序中单位产值电耗</t>
  </si>
  <si>
    <t>中低压开关柜钣金加工工序中单位产值电耗，单位为kWh/万元</t>
  </si>
  <si>
    <t>Q柜-加工-电</t>
  </si>
  <si>
    <t>中低压开关柜钣金加工工序中电能源消费量</t>
  </si>
  <si>
    <t>中低压开关柜钣金加工工序中电能源消费量，单位kWh</t>
  </si>
  <si>
    <t>G柜-加工</t>
  </si>
  <si>
    <t>中低压开关柜钣金加工工序产品产值</t>
  </si>
  <si>
    <t>分母 ｜ 工序产值</t>
  </si>
  <si>
    <t>中低压开关柜钣金加工工序产品产值，单位为万元</t>
  </si>
  <si>
    <t>u柜-喷涂-电</t>
  </si>
  <si>
    <t>中低压开关柜钣金喷涂工序中单位产品产值电耗</t>
  </si>
  <si>
    <t>中低压开关柜钣金喷涂工序中单位产品产值电耗，单位为kWh/万元</t>
  </si>
  <si>
    <t>Q柜-喷涂-电</t>
  </si>
  <si>
    <t>中低压开关柜钣金喷涂工序中电能源消费量</t>
  </si>
  <si>
    <t>中低压开关柜钣金喷涂工序中电能源消费量，单位kWh</t>
  </si>
  <si>
    <t>G柜-喷涂</t>
  </si>
  <si>
    <t>中低压开关柜钣金喷涂工序产品产值</t>
  </si>
  <si>
    <t>中低压开关柜钣金喷涂工序产品产值，单位为万元</t>
  </si>
  <si>
    <t>u套-干燥-电</t>
  </si>
  <si>
    <t>套管干燥工序单位产值电耗</t>
  </si>
  <si>
    <t>套管干燥工序单位产值电耗，单位为kWh/万元</t>
  </si>
  <si>
    <t>Q套-干燥-电</t>
  </si>
  <si>
    <t>套管干燥工序电能源消费量</t>
  </si>
  <si>
    <t>套管干燥工序电能源消费量，单位kWh</t>
  </si>
  <si>
    <t>G套-干燥</t>
  </si>
  <si>
    <t>套管干燥工序产品产值</t>
  </si>
  <si>
    <t>套管干燥工序产品产值，单位为万元</t>
  </si>
  <si>
    <t>u套-卷制-电</t>
  </si>
  <si>
    <t>套管卷制工序单位产值电耗</t>
  </si>
  <si>
    <t>套管卷制工序单位产值电耗，单位为kWh/万元</t>
  </si>
  <si>
    <t>Q套-卷制-电</t>
  </si>
  <si>
    <t>套管卷制工序电能源消费量</t>
  </si>
  <si>
    <t>套管卷制工序电能源消费量，单位kWh</t>
  </si>
  <si>
    <t>G套-卷制</t>
  </si>
  <si>
    <t>套管卷制工序产品产值</t>
  </si>
  <si>
    <t>套管卷制工序产品产值，单位为万元</t>
  </si>
  <si>
    <t>u套-试验-电</t>
  </si>
  <si>
    <t>套管试验工序单位产值电耗</t>
  </si>
  <si>
    <t>套管试验工序单位产值电耗，单位为kWh/万元</t>
  </si>
  <si>
    <t>Q套-试验-电</t>
  </si>
  <si>
    <t>套管试验工序电能源消费量</t>
  </si>
  <si>
    <t>套管试验工序电能源消费量，单位kWh</t>
  </si>
  <si>
    <t>G套-试验</t>
  </si>
  <si>
    <t>套管试验工序产品产值</t>
  </si>
  <si>
    <t>套管试验工序产品产值，单位为万元</t>
  </si>
  <si>
    <t>g互-干燥</t>
  </si>
  <si>
    <t>互感器干燥工序单位产值能耗</t>
  </si>
  <si>
    <t>互感器干燥工序单位产值能耗，单位为tce/万元</t>
  </si>
  <si>
    <t>E互-干燥</t>
  </si>
  <si>
    <t>互感器干燥工序综合能源消费量</t>
  </si>
  <si>
    <t>互感器干燥工序综合能源消费量，单位tce</t>
  </si>
  <si>
    <t>G互-干燥</t>
  </si>
  <si>
    <t>互感器干燥工序产品产值</t>
  </si>
  <si>
    <t>互感器干燥工序产品产值，单位为万元</t>
  </si>
  <si>
    <t>u互-干燥-电</t>
  </si>
  <si>
    <t>互感器干燥工序单位产值电耗</t>
  </si>
  <si>
    <t>互感器干燥工序单位产值电耗，单位为kWh/万元</t>
  </si>
  <si>
    <t>Q互-干燥-电</t>
  </si>
  <si>
    <t>互感器干燥工序电能源消费量</t>
  </si>
  <si>
    <t>互感器干燥工序电能源消费量，单位kWh</t>
  </si>
  <si>
    <t>u互-干燥-蒸汽</t>
  </si>
  <si>
    <t>互感器干燥工序单位产值蒸汽消耗</t>
  </si>
  <si>
    <t>互感器干燥工序单位产值蒸汽消耗，单位为t/万元</t>
  </si>
  <si>
    <t>Q互-干燥-蒸汽</t>
  </si>
  <si>
    <t>互感器干燥工序蒸汽能源消费量</t>
  </si>
  <si>
    <t>互感器干燥工序蒸汽能源消费量，单位t</t>
  </si>
  <si>
    <t>u互-试验-电</t>
  </si>
  <si>
    <t>互感器试验工序单位产值电耗</t>
  </si>
  <si>
    <t>互感器试验工序单位产值电耗，单位为kWh/万元</t>
  </si>
  <si>
    <t>Q互-试验-电</t>
  </si>
  <si>
    <t>互感器试验工序电能源消费量</t>
  </si>
  <si>
    <t>互感器试验工序电能源消费量，单位kWh</t>
  </si>
  <si>
    <t>G互-试验</t>
  </si>
  <si>
    <t>互感器试验工序产品产值</t>
  </si>
  <si>
    <t>互感器试验工序产品产值，单位为万元</t>
  </si>
  <si>
    <t>u二次-贴片-电</t>
  </si>
  <si>
    <t>二次-SMT贴片工序单位产值电耗</t>
  </si>
  <si>
    <t>二次-SMT贴片工序单位产值电耗，单位为kWh/万元</t>
  </si>
  <si>
    <t>Q二次-贴片-电</t>
  </si>
  <si>
    <t>二次-SMT贴片工序电能源消费量</t>
  </si>
  <si>
    <t>二次-SMT贴片工序电能源消费量，单位kWh</t>
  </si>
  <si>
    <t>G二次-贴片</t>
  </si>
  <si>
    <t>二次-SMT贴片工序产品产值</t>
  </si>
  <si>
    <t>二次-SMT贴片工序产品产值，单位为万元</t>
  </si>
  <si>
    <t>u二次-高温-电</t>
  </si>
  <si>
    <t>二次-高温老化工序单位产值电耗</t>
  </si>
  <si>
    <t>二次-高温老化工序单位产值电耗，单位为kWh/万元</t>
  </si>
  <si>
    <t>Q二次-高温-电</t>
  </si>
  <si>
    <t>二次-高温老化工序电能源消费量</t>
  </si>
  <si>
    <t>二次-高温老化工序电能源消费量，单位kWh</t>
  </si>
  <si>
    <t>G二次-高温</t>
  </si>
  <si>
    <t>二次-高温老化工序产品产值</t>
  </si>
  <si>
    <t>二次-高温老化工序产品产值，单位为万元</t>
  </si>
  <si>
    <t>u二次-波峰焊-电</t>
  </si>
  <si>
    <t>二次-波峰焊工序单位产值电耗</t>
  </si>
  <si>
    <t>二次-波峰焊工序单位产值电耗，单位为kWh/万元</t>
  </si>
  <si>
    <t>Q二次-波峰焊-电</t>
  </si>
  <si>
    <t>二次-波峰焊工序电能源消费量</t>
  </si>
  <si>
    <t>二次-波峰焊工序电能源消费量，单位kWh</t>
  </si>
  <si>
    <t>G二次-波峰焊</t>
  </si>
  <si>
    <t>二次-波峰焊工序产品产值</t>
  </si>
  <si>
    <t>二次-波峰焊工序产品产值，单位为万元</t>
  </si>
  <si>
    <t>q容-卷绕-电</t>
  </si>
  <si>
    <t>电容器芯子卷绕工序中单位产品电耗</t>
  </si>
  <si>
    <t>电容器芯子卷绕工序中单位产品电耗，单位为kWh/kvar</t>
  </si>
  <si>
    <t>Q容-卷绕-电</t>
  </si>
  <si>
    <t>电容器芯子卷绕工序中电能源消费量</t>
  </si>
  <si>
    <t>电容器芯子卷绕工序中电能源消费量，单位kWh</t>
  </si>
  <si>
    <t>M容-卷绕</t>
  </si>
  <si>
    <t>电容器芯子卷绕工序产品产量</t>
  </si>
  <si>
    <t>电容器芯子卷绕工序产品产量，单位为kvar</t>
  </si>
  <si>
    <t>q容-真空-电</t>
  </si>
  <si>
    <t>电容器真空浸渍工序中单位产品电耗</t>
  </si>
  <si>
    <t>电容器真空浸渍工序中单位产品电耗，单位为kWh/kvar</t>
  </si>
  <si>
    <t>Q容-真空-电</t>
  </si>
  <si>
    <t>电容器真空浸渍工序中电能源消费量</t>
  </si>
  <si>
    <t>电容器真空浸渍工序中电能源消费量，单位kWh</t>
  </si>
  <si>
    <t>M容-真空</t>
  </si>
  <si>
    <t>电容器真空浸渍工序产品产量</t>
  </si>
  <si>
    <t>电容器真空浸渍工序产品产量，单位为kvar</t>
  </si>
  <si>
    <t>q容-喷漆-电</t>
  </si>
  <si>
    <t>电容器喷漆工序中单位产品电耗</t>
  </si>
  <si>
    <t>电容器喷漆工序中单位产品电耗，单位为kWh/kvar</t>
  </si>
  <si>
    <t>Q容-喷漆-电</t>
  </si>
  <si>
    <t>电容器喷漆工序中电能源消费量</t>
  </si>
  <si>
    <t>电容器喷漆工序中电能源消费量，单位kWh</t>
  </si>
  <si>
    <t>M容-喷漆</t>
  </si>
  <si>
    <t>电容器喷漆工序产品产量</t>
  </si>
  <si>
    <t>电容器喷漆工序产品产量，单位为kvar</t>
  </si>
  <si>
    <t>q容-试验-电</t>
  </si>
  <si>
    <t>电容器试验工序中单位产品电耗</t>
  </si>
  <si>
    <t>电容器试验工序中单位产品电耗，单位为kWh/kvar</t>
  </si>
  <si>
    <t>Q容-试验-电</t>
  </si>
  <si>
    <t>电容器试验工序中电能源消费量</t>
  </si>
  <si>
    <t>电容器试验工序中电能源消费量，单位kWh</t>
  </si>
  <si>
    <t>M容-试验</t>
  </si>
  <si>
    <t>电容器试验工序产品产量</t>
  </si>
  <si>
    <t>电容器试验工序产品产量，单位为kvar</t>
  </si>
  <si>
    <t>u抗-固化-电</t>
  </si>
  <si>
    <t>干式电抗器固化工序单位产值电耗</t>
  </si>
  <si>
    <t>干式电抗器固化工序单位产值电耗，单位为kWh/万元</t>
  </si>
  <si>
    <t>Q抗-固化-电</t>
  </si>
  <si>
    <t>干式电抗器固化工序电能源消费量</t>
  </si>
  <si>
    <t>干式电抗器固化工序电能源消费量，单位kWh</t>
  </si>
  <si>
    <t>G抗-固化</t>
  </si>
  <si>
    <t>干式电抗器固化工序产品产值</t>
  </si>
  <si>
    <t>干式电抗器固化工序产品产值，单位为万元</t>
  </si>
  <si>
    <t>u抗-试验-电</t>
  </si>
  <si>
    <t>干式电抗器试验工序单位产值电耗</t>
  </si>
  <si>
    <t>干式电抗器试验工序单位产值电耗，单位为kWh/万元</t>
  </si>
  <si>
    <t>Q抗-试验-电</t>
  </si>
  <si>
    <t>干式电抗器试验工序电能源消费量</t>
  </si>
  <si>
    <t>干式电抗器试验工序电能源消费量，单位kWh</t>
  </si>
  <si>
    <t>G抗-试验</t>
  </si>
  <si>
    <t>干式电抗器试验工序产品产值</t>
  </si>
  <si>
    <t>干式电抗器试验工序产品产值，单位为万元</t>
  </si>
  <si>
    <t>uGIL-螺旋焊管-电</t>
  </si>
  <si>
    <t>GIL螺旋焊管生产工序单位产值电耗</t>
  </si>
  <si>
    <t>GIL螺旋焊管生产工序单位产值电耗，单位为kWh/万元</t>
  </si>
  <si>
    <t>QGIL-螺旋焊管-电</t>
  </si>
  <si>
    <t>GIL螺旋焊管生产工序电能源消费量</t>
  </si>
  <si>
    <t>GIL螺旋焊管生产工序电能源消费量，单位kWh</t>
  </si>
  <si>
    <t>GGIL-螺旋焊管</t>
  </si>
  <si>
    <t>GIL螺旋焊管生产工序产品产值</t>
  </si>
  <si>
    <t>GIL螺旋焊管生产工序产品产值，单位为万元</t>
  </si>
  <si>
    <t>uGIL-测试-电</t>
  </si>
  <si>
    <t>GIL测试工序单位产值电耗</t>
  </si>
  <si>
    <t>GIL测试工序单位产值电耗，单位为kWh/万元</t>
  </si>
  <si>
    <t>QGIL-测试-电</t>
  </si>
  <si>
    <t>GIL测试工序电能源消费量</t>
  </si>
  <si>
    <t>GIL测试工序电能源消费量，单位kWh</t>
  </si>
  <si>
    <t>GGIL-测试</t>
  </si>
  <si>
    <t>GIL测试工序产品产值</t>
  </si>
  <si>
    <t>GIL测试工序产品产值，单位为万元</t>
  </si>
  <si>
    <t>uGIL-绝缘-电</t>
  </si>
  <si>
    <t>GIL绝缘子生产工序单位产值电耗</t>
  </si>
  <si>
    <t>GIL绝缘子生产工序单位产值电耗，单位为kWh/万元</t>
  </si>
  <si>
    <t>QGIL-绝缘-电</t>
  </si>
  <si>
    <t>GIL绝缘子生产工序电能源消费量</t>
  </si>
  <si>
    <t>GIL绝缘子生产工序电能源消费量，单位kWh</t>
  </si>
  <si>
    <t>GGIL-绝缘</t>
  </si>
  <si>
    <t>GIL绝缘子生产工序产品产值</t>
  </si>
  <si>
    <t>GIL绝缘子生产工序产品产值，单位为万元</t>
  </si>
  <si>
    <t>uGIS-真空-电</t>
  </si>
  <si>
    <t>GIS抽真空工序单位产值电耗</t>
  </si>
  <si>
    <t>GIS抽真空工序单位产值电耗，单位为kWh/万元</t>
  </si>
  <si>
    <t>QGIS-真空-电</t>
  </si>
  <si>
    <t>GIS抽真空工序电能源消费量</t>
  </si>
  <si>
    <t>GIS抽真空工序电能源消费量，单位kWh</t>
  </si>
  <si>
    <t>GGIS-真空</t>
  </si>
  <si>
    <t>GIS抽真空工序产品产值</t>
  </si>
  <si>
    <t>GIS抽真空工序产品产值，单位为万元</t>
  </si>
  <si>
    <t>uGIS-干燥-电</t>
  </si>
  <si>
    <t>GIS绝缘件干燥工序单位产值电耗</t>
  </si>
  <si>
    <t>GIS绝缘件干燥工序单位产值电耗，单位为kWh/万元</t>
  </si>
  <si>
    <t>QGIS-干燥-电</t>
  </si>
  <si>
    <t>GIS绝缘件干燥工序电能源消费量</t>
  </si>
  <si>
    <t>GIS绝缘件干燥工序电能源消费量，单位kWh</t>
  </si>
  <si>
    <t>GGIS-干燥</t>
  </si>
  <si>
    <t>GIS绝缘件干燥工序产品产值</t>
  </si>
  <si>
    <t>GIS绝缘件干燥工序产品产值，单位为万元</t>
  </si>
  <si>
    <t>uGIS-试验-电</t>
  </si>
  <si>
    <t>GIS工频耐压试验工序单位产值电耗</t>
  </si>
  <si>
    <t>GIS工频耐压试验工序单位产值电耗，单位为kWh/万元</t>
  </si>
  <si>
    <t>QGIS-试验-电</t>
  </si>
  <si>
    <t>GIS工频耐压试验工序电能源消费量</t>
  </si>
  <si>
    <t>GIS工频耐压试验工序电能源消费量，单位kWh</t>
  </si>
  <si>
    <t>GGIS-试验</t>
  </si>
  <si>
    <t>GIS工频耐压试验工序产品产值</t>
  </si>
  <si>
    <t>GIS工频耐压试验工序产品产值，单位为万元</t>
  </si>
  <si>
    <t>uGIS-除湿-电</t>
  </si>
  <si>
    <t>GIS空调恒温除湿工序单位产值电耗</t>
  </si>
  <si>
    <t>GIS空调恒温除湿工序单位产值电耗，单位为kWh/万元</t>
  </si>
  <si>
    <t>QGIS-除湿-电</t>
  </si>
  <si>
    <t>GIS空调恒温除湿工序电能源消费量</t>
  </si>
  <si>
    <t>GIS空调恒温除湿工序电能源消费量，单位kWh</t>
  </si>
  <si>
    <t>GGIS-除湿</t>
  </si>
  <si>
    <t>GIS空调恒温除湿工序产品产值</t>
  </si>
  <si>
    <t>GIS空调恒温除湿工序产品产值，单位为万元</t>
  </si>
  <si>
    <t>q非晶-退火-电</t>
  </si>
  <si>
    <t>非晶合金铁心退火工序中单位产品电耗</t>
  </si>
  <si>
    <t>非晶合金铁心退火工序中单位产品电耗，单位为kWh/t</t>
  </si>
  <si>
    <t>Q非晶-退火-电</t>
  </si>
  <si>
    <t>非晶合金铁心退火工序中电能源消费量</t>
  </si>
  <si>
    <t>非晶合金铁心退火工序中电能源消费量，单位kWh</t>
  </si>
  <si>
    <t>M非晶-退火</t>
  </si>
  <si>
    <t>非晶合金铁心退火工序产品产量</t>
  </si>
  <si>
    <t>非晶合金铁心退火工序产品产量，单位为t</t>
  </si>
  <si>
    <t>q硅钢-纵剪-电</t>
  </si>
  <si>
    <t>硅钢铁心纵剪工序中单位产品电耗</t>
  </si>
  <si>
    <t>硅钢铁心纵剪工序中单位产品电耗，单位为kWh/t</t>
  </si>
  <si>
    <t>Q硅钢-纵剪-电</t>
  </si>
  <si>
    <t>硅钢铁心纵剪工序中电能源消费量</t>
  </si>
  <si>
    <t>硅钢铁心纵剪工序中电能源消费量，单位kWh</t>
  </si>
  <si>
    <t>M硅钢-纵剪</t>
  </si>
  <si>
    <t>硅钢铁心纵剪工序产品产量</t>
  </si>
  <si>
    <t>硅钢铁心纵剪工序产品产量，单位为t</t>
  </si>
  <si>
    <t>q硅钢-中型叠装-电</t>
  </si>
  <si>
    <t>硅钢铁心中型叠装工序中单位产品电耗</t>
  </si>
  <si>
    <t>硅钢铁心中型叠装工序中单位产品电耗，单位为kWh/t</t>
  </si>
  <si>
    <t>Q硅钢-中型叠装-电</t>
  </si>
  <si>
    <t>硅钢铁心中型叠装工序中电能源消费量</t>
  </si>
  <si>
    <t>硅钢铁心中型叠装工序中电能源消费量，单位kWh</t>
  </si>
  <si>
    <t>M硅钢-中型叠装</t>
  </si>
  <si>
    <t>硅钢铁心中型叠装工序产品产量</t>
  </si>
  <si>
    <t>硅钢铁心中型叠装工序产品产量，单位为t</t>
  </si>
  <si>
    <t>q硅钢-大型叠装-电</t>
  </si>
  <si>
    <t>硅钢铁心大型叠装工序中单位产品电耗</t>
  </si>
  <si>
    <t>硅钢铁心大型叠装工序中单位产品电耗，单位为kWh/t</t>
  </si>
  <si>
    <t>Q硅钢-大型叠装-电</t>
  </si>
  <si>
    <t>硅钢铁心大型叠装工序中电能源消费量</t>
  </si>
  <si>
    <t>硅钢铁心大型叠装工序中电能源消费量，单位kWh</t>
  </si>
  <si>
    <t>M硅钢-大型叠装</t>
  </si>
  <si>
    <t>硅钢铁心大型叠装工序产品产量</t>
  </si>
  <si>
    <t>硅钢铁心大型叠装工序产品产量，单位为t</t>
  </si>
  <si>
    <t>来源编码</t>
  </si>
  <si>
    <t>数据源系统</t>
  </si>
  <si>
    <t>归属方</t>
  </si>
  <si>
    <t>提供数据内容</t>
  </si>
  <si>
    <t>对接方式</t>
  </si>
  <si>
    <t>责任方</t>
  </si>
  <si>
    <t>SRC-01</t>
  </si>
  <si>
    <t>集控中心（能碳管控平台）</t>
  </si>
  <si>
    <t>电装（集团）</t>
  </si>
  <si>
    <t>各能源品种计量数据、能耗指标计算结果、手工录入数据（绿电 / 绿证、工业增加值、用水量、装备台账）</t>
  </si>
  <si>
    <t>平台内部</t>
  </si>
  <si>
    <t>指标计算与展示主平台，集控类指标的权威数据源</t>
  </si>
  <si>
    <t>SRC-02</t>
  </si>
  <si>
    <t>产品碳足迹值、开展碳足迹分析的产品种类明细、生产-能源绑定关系</t>
  </si>
  <si>
    <t>支撑 IND-001、IND-002，并回流绑定关系至集控中心</t>
  </si>
  <si>
    <t>SRC-03</t>
  </si>
  <si>
    <t>关键工序、车间用能数据（电 / 蒸汽 / 天然气 / 热力）</t>
  </si>
  <si>
    <t>边缘采集 → 集控中心</t>
  </si>
  <si>
    <t>工序级指标的唯一数据入口，需完成部署与联调</t>
  </si>
  <si>
    <t>SRC-04</t>
  </si>
  <si>
    <t>产品型号、产品种类、订单产量、入库公里数与截面、物料数据、生产工单、主要产品类别总数</t>
  </si>
  <si>
    <t>标准接口</t>
  </si>
  <si>
    <t>日 / 月度</t>
  </si>
  <si>
    <t>各项目公司 / 电装信息化</t>
  </si>
  <si>
    <t>产量与产品主数据的来源</t>
  </si>
  <si>
    <t>SRC-05</t>
  </si>
  <si>
    <t>部分项目公司</t>
  </si>
  <si>
    <t>生产工单、工序产量、工序产值（如 GIS 抽真空 / 干燥 / 试验 / 除湿工序产值）</t>
  </si>
  <si>
    <t>SRC-06</t>
  </si>
  <si>
    <t>线缆产值（颗粒度到产线）</t>
  </si>
  <si>
    <t>IND-010 单位产值能耗的分母来源之一</t>
  </si>
  <si>
    <t>SRC-07</t>
  </si>
  <si>
    <t>变压器产值（颗粒度到项目公司）</t>
  </si>
  <si>
    <t>SRC-08</t>
  </si>
  <si>
    <t>集团</t>
  </si>
  <si>
    <t>组织主数据（经营单位 / 项目公司编码与名称、产业分类）</t>
  </si>
  <si>
    <t>组织维度的统一口径</t>
  </si>
  <si>
    <t>SRC-09</t>
  </si>
  <si>
    <t>绿电 / 绿证量、天然气 / 柴油 / 汽油 / 煤油（无法自动采集时）、工业增加值、用水量、节能装备台账</t>
  </si>
  <si>
    <t>月度 / 增量更新</t>
  </si>
  <si>
    <t>自动采集不覆盖项的手工兜底通道</t>
  </si>
  <si>
    <t>SRC-10</t>
  </si>
  <si>
    <t>省级电网 / 生态环境主管部门公布口径</t>
  </si>
  <si>
    <t>外部</t>
  </si>
  <si>
    <t>省级电力平均二氧化碳排放因子、所在省平均发电煤耗</t>
  </si>
  <si>
    <t>外部引用</t>
  </si>
  <si>
    <t>年度</t>
  </si>
  <si>
    <t>计算系数（FAC-002、FAC-009）的维护依据</t>
  </si>
  <si>
    <t>字典编码</t>
  </si>
  <si>
    <t>字典名称</t>
  </si>
  <si>
    <t>枚举值</t>
  </si>
  <si>
    <t>字典说明</t>
  </si>
  <si>
    <t>适用字段</t>
  </si>
  <si>
    <t>ORG-01</t>
  </si>
  <si>
    <t>经营单位</t>
  </si>
  <si>
    <t>沈变</t>
  </si>
  <si>
    <t>集团下 6 家经营单位（产业板块级）</t>
  </si>
  <si>
    <t>ORG-001 经营单位编码 / ORG-002 经营单位名称</t>
  </si>
  <si>
    <t>各经营单位下辖多个项目公司</t>
  </si>
  <si>
    <t>衡变</t>
  </si>
  <si>
    <t>新变</t>
  </si>
  <si>
    <t>鲁缆</t>
  </si>
  <si>
    <t>德缆</t>
  </si>
  <si>
    <t>新缆</t>
  </si>
  <si>
    <t>ORG-02</t>
  </si>
  <si>
    <t>项目公司</t>
  </si>
  <si>
    <t>沈变：沈变本部、和新套管、康嘉互感器</t>
  </si>
  <si>
    <t>各经营单位下属项目公司清单（指标覆盖范围与上报主体）</t>
  </si>
  <si>
    <t>ORG-003 项目公司编码 / ORG-004 项目公司名称</t>
  </si>
  <si>
    <t>原表覆盖范围列口径，共 6 家经营单位、22 个项目公司</t>
  </si>
  <si>
    <t>衡变：衡变本部、南京电研、云集电气、湖南电气、云集高压开关、新疆自控、特能建、合容电气、赛杰爱迪</t>
  </si>
  <si>
    <t>新变：新变超高压公司、新变天变公司、新变智能电气、新变京津冀智能科技、珠峰硅钢</t>
  </si>
  <si>
    <t>鲁缆：鲁缆本部、曙光公司</t>
  </si>
  <si>
    <t>德缆：德缆公司</t>
  </si>
  <si>
    <t>新缆：新疆电缆公司、新疆线缆厂</t>
  </si>
  <si>
    <t>ORG-03</t>
  </si>
  <si>
    <t>变压器</t>
  </si>
  <si>
    <t>项目公司所属产业分类，决定纳入的指标与工序范围</t>
  </si>
  <si>
    <t>ORG-005 产业板块</t>
  </si>
  <si>
    <t>对应工序指标的分产业设置</t>
  </si>
  <si>
    <t>套管</t>
  </si>
  <si>
    <t>互感器</t>
  </si>
  <si>
    <t>二次设备</t>
  </si>
  <si>
    <t>中低压开关柜</t>
  </si>
  <si>
    <t>GIS</t>
  </si>
  <si>
    <t>GIL</t>
  </si>
  <si>
    <t>电容电抗</t>
  </si>
  <si>
    <t>线缆</t>
  </si>
  <si>
    <t>铁心</t>
  </si>
  <si>
    <t>MD-01</t>
  </si>
  <si>
    <t>产线</t>
  </si>
  <si>
    <t>线缆-导线</t>
  </si>
  <si>
    <t>关键工序指标按产线划分的口径</t>
  </si>
  <si>
    <t>MD-003 产线编码</t>
  </si>
  <si>
    <t>来源于原表指标名称中的产线括注</t>
  </si>
  <si>
    <t>线缆-布电线</t>
  </si>
  <si>
    <t>线缆-高压电缆</t>
  </si>
  <si>
    <t>线缆-中压电缆</t>
  </si>
  <si>
    <t>线缆-低压电缆</t>
  </si>
  <si>
    <t>线缆-特种电缆</t>
  </si>
  <si>
    <t>线缆-装备电缆</t>
  </si>
  <si>
    <t>线缆-橡套电缆</t>
  </si>
  <si>
    <t>变压器-特高压</t>
  </si>
  <si>
    <t>变压器-超高压</t>
  </si>
  <si>
    <t>变压器-高压</t>
  </si>
  <si>
    <t>变压器-配变箱变</t>
  </si>
  <si>
    <t>变压器-配变中特</t>
  </si>
  <si>
    <t>变压器-配变油变</t>
  </si>
  <si>
    <t>变压器-配变干变</t>
  </si>
  <si>
    <t>开关-中低压开关柜</t>
  </si>
  <si>
    <t>变压器-套管</t>
  </si>
  <si>
    <t>变压器-互感器</t>
  </si>
  <si>
    <t>二次</t>
  </si>
  <si>
    <t>电容电抗-电容</t>
  </si>
  <si>
    <t>电容电抗-干式电抗器</t>
  </si>
  <si>
    <t>变压器-非晶合金铁心</t>
  </si>
  <si>
    <t>变压器-硅钢铁心</t>
  </si>
  <si>
    <t>MD-02</t>
  </si>
  <si>
    <t>工序</t>
  </si>
  <si>
    <t>拉丝</t>
  </si>
  <si>
    <t>纳入能碳管控的高能耗关键工序</t>
  </si>
  <si>
    <t>MD-004 工序编码</t>
  </si>
  <si>
    <t>共 26 道工序，覆盖线缆、变压器、开关、套管、互感器、二次、电容电抗、GIL、GIS、铁心</t>
  </si>
  <si>
    <t>交联（干法）</t>
  </si>
  <si>
    <t>器身干燥</t>
  </si>
  <si>
    <t>试验</t>
  </si>
  <si>
    <t>浇注固化</t>
  </si>
  <si>
    <t>钣金加工</t>
  </si>
  <si>
    <t>钣金喷涂</t>
  </si>
  <si>
    <t>干燥</t>
  </si>
  <si>
    <t>卷制</t>
  </si>
  <si>
    <t>SMT 贴片</t>
  </si>
  <si>
    <t>高温老化</t>
  </si>
  <si>
    <t>波峰焊</t>
  </si>
  <si>
    <t>芯子卷绕</t>
  </si>
  <si>
    <t>真空浸渍</t>
  </si>
  <si>
    <t>喷漆</t>
  </si>
  <si>
    <t>固化</t>
  </si>
  <si>
    <t>螺旋焊管生产</t>
  </si>
  <si>
    <t>绝缘子生产</t>
  </si>
  <si>
    <t>抽真空</t>
  </si>
  <si>
    <t>绝缘件干燥</t>
  </si>
  <si>
    <t>工频耐压试验</t>
  </si>
  <si>
    <t>空调恒温除湿</t>
  </si>
  <si>
    <t>退火</t>
  </si>
  <si>
    <t>纵剪</t>
  </si>
  <si>
    <t>中型叠装</t>
  </si>
  <si>
    <t>大型叠装</t>
  </si>
  <si>
    <t>EN-01</t>
  </si>
  <si>
    <t>能源品种</t>
  </si>
  <si>
    <t>电力（市电）</t>
  </si>
  <si>
    <t>参与能耗与碳排放核算的能源品种</t>
  </si>
  <si>
    <t>EN-001~EN-029 各能源消耗量</t>
  </si>
  <si>
    <t>电力折标煤时使用当量值；绿电、绿证单独标识</t>
  </si>
  <si>
    <t>电力（绿电）</t>
  </si>
  <si>
    <t>天然气</t>
  </si>
  <si>
    <t>蒸汽</t>
  </si>
  <si>
    <t>热力</t>
  </si>
  <si>
    <t>柴油</t>
  </si>
  <si>
    <t>汽油</t>
  </si>
  <si>
    <t>煤油</t>
  </si>
  <si>
    <t>水</t>
  </si>
  <si>
    <t>EN-02</t>
  </si>
  <si>
    <t>非化石能源电力来源</t>
  </si>
  <si>
    <t>自建新能源自发自用</t>
  </si>
  <si>
    <t>非化石能源电力消费的凭证类型，决定计入分子还是物理认定量</t>
  </si>
  <si>
    <t>EN-003 绿电消费量 / EN-004 绿证购入量 / EN-005 物理认定量</t>
  </si>
  <si>
    <t>交易绿电、绿证计入非化石能源消费占比分子；仅自建消纳与直连计入物理认定量占比</t>
  </si>
  <si>
    <t>绿电直连（非自建）</t>
  </si>
  <si>
    <t>购买绿电</t>
  </si>
  <si>
    <t>购买绿证</t>
  </si>
  <si>
    <t>IND-01</t>
  </si>
  <si>
    <t>指标归属的管控中心：集控＝能耗与工序类，集采＝产品碳足迹类</t>
  </si>
  <si>
    <t>指标清单.所属中心</t>
  </si>
  <si>
    <t>集控 92 项、集采 2 项（IND-001、IND-002）</t>
  </si>
  <si>
    <t>IND-02</t>
  </si>
  <si>
    <t>指标的管理层级类别</t>
  </si>
  <si>
    <t>指标清单.指标类别</t>
  </si>
  <si>
    <t>工厂 11 项、产品 1 项、公司级 4 项、关键工序 78 项</t>
  </si>
  <si>
    <t>IND-03</t>
  </si>
  <si>
    <t>外部要求（应对 CBAM 及绿色招采）</t>
  </si>
  <si>
    <t>指标的外部 / 内部驱动来源，用于说明指标的合规用途</t>
  </si>
  <si>
    <t>指标清单.指标来源</t>
  </si>
  <si>
    <t>零碳工厂类 9 项、电装管理要求 78 项等</t>
  </si>
  <si>
    <t>ESG 要求</t>
  </si>
  <si>
    <t>IND-04</t>
  </si>
  <si>
    <t>指标层级（分区）</t>
  </si>
  <si>
    <t>原表三个指标分区，决定指标的统计颗粒度</t>
  </si>
  <si>
    <t>指标清单.指标层级</t>
  </si>
  <si>
    <t>整体 11 项、产品级 5 项、关键工序 78 项</t>
  </si>
  <si>
    <t>DM-01</t>
  </si>
  <si>
    <t>参数 / 指标的数据类型，开发时映射为字段类型与显示格式</t>
  </si>
  <si>
    <t>基础参数表.数据格式</t>
  </si>
  <si>
    <t>百分比类型以小数存储（如 0.85 = 85%）</t>
  </si>
  <si>
    <t>日期</t>
  </si>
  <si>
    <t>布尔</t>
  </si>
  <si>
    <t>DM-02</t>
  </si>
  <si>
    <t>数据的取得方式，决定接口 / 录入界面 / 计算引擎的开发范围</t>
  </si>
  <si>
    <t>基础参数表.获取方式</t>
  </si>
  <si>
    <t>自动采集优先，手工录入为兜底</t>
  </si>
  <si>
    <t>DM-03</t>
  </si>
  <si>
    <t>数据刷新与上报周期</t>
  </si>
  <si>
    <t>基础参数表.更新频率</t>
  </si>
  <si>
    <t>指标默认月度计算，部分指标年度重新汇算</t>
  </si>
  <si>
    <t>DM-04</t>
  </si>
  <si>
    <t>基础参数表内条目的分类，用于筛选与分组</t>
  </si>
  <si>
    <t>基础参数表.参数类别</t>
  </si>
  <si>
    <t>「指标」类为 94 项指标本身，其余为原子参数</t>
  </si>
  <si>
    <t>DM-05</t>
  </si>
  <si>
    <t>必填标识</t>
  </si>
  <si>
    <t>参数在指标计算中是否必须提供</t>
  </si>
  <si>
    <t>基础参数表.必填</t>
  </si>
  <si>
    <t>非必填参数仅在对应指标启用时录入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</si>
</sst>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0"/>
      <color rgb="FFFFFFFF"/>
      <name val="微软雅黑"/>
      <charset val="134"/>
    </font>
    <font>
      <sz val="10"/>
      <name val="微软雅黑"/>
      <charset val="134"/>
    </font>
    <font>
      <b/>
      <sz val="16"/>
      <color rgb="FFFFFFFF"/>
      <name val="微软雅黑"/>
      <charset val="134"/>
    </font>
    <font>
      <sz val="10"/>
      <color rgb="FF404040"/>
      <name val="微软雅黑"/>
      <charset val="134"/>
    </font>
    <font>
      <b/>
      <sz val="11"/>
      <color rgb="FF2F5597"/>
      <name val="微软雅黑"/>
      <charset val="134"/>
    </font>
    <font>
      <b/>
      <sz val="10"/>
      <name val="微软雅黑"/>
      <charset val="134"/>
    </font>
    <font>
      <sz val="10"/>
      <name val="Consola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4472C4"/>
        <bgColor indexed="64"/>
      </patternFill>
    </fill>
    <fill>
      <patternFill patternType="solid">
        <fgColor rgb="FF2F5597"/>
        <bgColor indexed="64"/>
      </patternFill>
    </fill>
    <fill>
      <patternFill patternType="solid">
        <fgColor rgb="FFFFF2CC"/>
        <bgColor indexed="64"/>
      </patternFill>
    </fill>
    <fill>
      <patternFill patternType="solid">
        <fgColor rgb="FFEDEDED"/>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8" borderId="7" applyNumberFormat="0" applyAlignment="0" applyProtection="0">
      <alignment vertical="center"/>
    </xf>
    <xf numFmtId="0" fontId="18" fillId="9" borderId="8" applyNumberFormat="0" applyAlignment="0" applyProtection="0">
      <alignment vertical="center"/>
    </xf>
    <xf numFmtId="0" fontId="19" fillId="9" borderId="7" applyNumberFormat="0" applyAlignment="0" applyProtection="0">
      <alignment vertical="center"/>
    </xf>
    <xf numFmtId="0" fontId="20" fillId="10"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22">
    <xf numFmtId="0" fontId="0" fillId="0" borderId="0" xfId="0"/>
    <xf numFmtId="0" fontId="0" fillId="0" borderId="0" xfId="0" applyAlignme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center" vertical="center"/>
    </xf>
    <xf numFmtId="0" fontId="2" fillId="0" borderId="1" xfId="0" applyFont="1" applyBorder="1" applyAlignment="1">
      <alignment horizontal="center" vertical="center" wrapText="1"/>
    </xf>
    <xf numFmtId="0" fontId="3" fillId="3" borderId="0" xfId="0" applyFont="1" applyFill="1"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xf numFmtId="0" fontId="6" fillId="4" borderId="1" xfId="0" applyFont="1" applyFill="1" applyBorder="1"/>
    <xf numFmtId="0" fontId="2" fillId="0" borderId="1" xfId="0" applyFont="1" applyBorder="1"/>
    <xf numFmtId="0" fontId="0" fillId="0" borderId="2" xfId="0" applyBorder="1"/>
    <xf numFmtId="0" fontId="0" fillId="0" borderId="3" xfId="0" applyBorder="1"/>
    <xf numFmtId="0" fontId="2" fillId="0" borderId="0" xfId="0" applyFont="1"/>
    <xf numFmtId="0" fontId="2" fillId="5" borderId="1" xfId="0" applyFont="1" applyFill="1" applyBorder="1"/>
    <xf numFmtId="0" fontId="4" fillId="0" borderId="0" xfId="0" applyFont="1" applyAlignment="1">
      <alignment horizontal="left" vertical="center" wrapText="1"/>
    </xf>
    <xf numFmtId="0" fontId="6" fillId="6" borderId="1" xfId="0" applyFont="1" applyFill="1" applyBorder="1" applyAlignment="1">
      <alignment horizontal="left" vertical="center" wrapText="1"/>
    </xf>
    <xf numFmtId="0" fontId="2" fillId="0" borderId="1" xfId="0" applyFont="1" applyBorder="1" applyAlignment="1">
      <alignment horizontal="left" vertical="top" wrapText="1"/>
    </xf>
    <xf numFmtId="0" fontId="6" fillId="0" borderId="1" xfId="0" applyFont="1" applyBorder="1"/>
    <xf numFmtId="0" fontId="7" fillId="0" borderId="1" xfId="0" applyFont="1" applyBorder="1" applyAlignment="1">
      <alignment horizontal="left" vertical="center" wrapText="1"/>
    </xf>
    <xf numFmtId="0" fontId="2"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DEEAF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4"/>
  <sheetViews>
    <sheetView topLeftCell="A5" workbookViewId="0">
      <selection activeCell="A1" sqref="A1:H1"/>
    </sheetView>
  </sheetViews>
  <sheetFormatPr defaultColWidth="9" defaultRowHeight="13.5" outlineLevelCol="7"/>
  <cols>
    <col min="1" max="1" width="26" customWidth="1"/>
    <col min="2" max="2" width="30" customWidth="1"/>
    <col min="3" max="3" width="22" customWidth="1"/>
    <col min="4" max="4" width="26" customWidth="1"/>
    <col min="5" max="5" width="18" customWidth="1"/>
    <col min="6" max="6" width="22" customWidth="1"/>
    <col min="7" max="8" width="18" customWidth="1"/>
  </cols>
  <sheetData>
    <row r="1" ht="32" customHeight="1" spans="1:8">
      <c r="A1" s="6" t="s">
        <v>0</v>
      </c>
    </row>
    <row r="2" ht="16.5" spans="1:8">
      <c r="A2" s="7" t="s">
        <v>1</v>
      </c>
    </row>
    <row r="3" ht="16.5" spans="1:8">
      <c r="A3" s="7" t="s">
        <v>2</v>
      </c>
    </row>
    <row r="5" ht="15" spans="1:8">
      <c r="A5" s="8" t="s">
        <v>3</v>
      </c>
    </row>
    <row r="6" ht="16.5" spans="1:8">
      <c r="A6" s="9" t="s">
        <v>4</v>
      </c>
      <c r="B6" s="10" t="s">
        <v>5</v>
      </c>
      <c r="C6" s="9" t="s">
        <v>6</v>
      </c>
      <c r="D6" s="11" t="str">
        <f>IF($B$6="","请输入查询键（编码或名称）",IF($B$7="","未找到匹配记录，请检查编码或名称","匹配成功"))</f>
        <v>匹配成功</v>
      </c>
      <c r="E6" s="12"/>
      <c r="F6" s="12"/>
      <c r="G6" s="12"/>
      <c r="H6" s="13"/>
    </row>
    <row r="7" ht="16.5" spans="1:8">
      <c r="A7" s="14" t="s">
        <v>7</v>
      </c>
      <c r="B7" s="15">
        <f>IF($B$6="","",IFERROR(MATCH($B$6,'02-基础参数表'!$B:$B,0),IFERROR(MATCH($B$6,'02-基础参数表'!$C:$C,0),"")))</f>
        <v>28</v>
      </c>
      <c r="D7" s="16" t="s">
        <v>8</v>
      </c>
    </row>
    <row r="8" ht="16.5" spans="1:8">
      <c r="A8" s="17" t="s">
        <v>9</v>
      </c>
      <c r="B8" s="18" t="str">
        <f>IF(OR($B$6="",$B$7=""),"",INDEX('02-基础参数表'!$A:$U,$B$7,2))</f>
        <v>EN-013</v>
      </c>
      <c r="C8" s="12"/>
      <c r="D8" s="12"/>
      <c r="E8" s="12"/>
      <c r="F8" s="12"/>
      <c r="G8" s="12"/>
      <c r="H8" s="13"/>
    </row>
    <row r="9" ht="16.5" spans="1:8">
      <c r="A9" s="17" t="s">
        <v>10</v>
      </c>
      <c r="B9" s="18" t="str">
        <f>IF(OR($B$6="",$B$7=""),"",INDEX('02-基础参数表'!$A:$U,$B$7,3))</f>
        <v>综合能源消费量</v>
      </c>
      <c r="C9" s="12"/>
      <c r="D9" s="12"/>
      <c r="E9" s="12"/>
      <c r="F9" s="12"/>
      <c r="G9" s="12"/>
      <c r="H9" s="13"/>
    </row>
    <row r="10" ht="16.5" spans="1:8">
      <c r="A10" s="17" t="s">
        <v>11</v>
      </c>
      <c r="B10" s="18" t="str">
        <f>IF(OR($B$6="",$B$7=""),"",INDEX('02-基础参数表'!$A:$U,$B$7,4))</f>
        <v>参数</v>
      </c>
      <c r="C10" s="12"/>
      <c r="D10" s="12"/>
      <c r="E10" s="12"/>
      <c r="F10" s="12"/>
      <c r="G10" s="12"/>
      <c r="H10" s="13"/>
    </row>
    <row r="11" ht="16.5" spans="1:8">
      <c r="A11" s="17" t="s">
        <v>12</v>
      </c>
      <c r="B11" s="18" t="str">
        <f>IF(OR($B$6="",$B$7=""),"",INDEX('02-基础参数表'!$A:$U,$B$7,5))</f>
        <v>E</v>
      </c>
      <c r="C11" s="12"/>
      <c r="D11" s="12"/>
      <c r="E11" s="12"/>
      <c r="F11" s="12"/>
      <c r="G11" s="12"/>
      <c r="H11" s="13"/>
    </row>
    <row r="12" ht="16.5" spans="1:8">
      <c r="A12" s="17" t="s">
        <v>13</v>
      </c>
      <c r="B12" s="18" t="str">
        <f>IF(OR($B$6="",$B$7=""),"",INDEX('02-基础参数表'!$A:$U,$B$7,6))</f>
        <v>能源数据</v>
      </c>
      <c r="C12" s="12"/>
      <c r="D12" s="12"/>
      <c r="E12" s="12"/>
      <c r="F12" s="12"/>
      <c r="G12" s="12"/>
      <c r="H12" s="13"/>
    </row>
    <row r="13" ht="30" customHeight="1" spans="1:8">
      <c r="A13" s="17" t="s">
        <v>14</v>
      </c>
      <c r="B13" s="18" t="str">
        <f>IF(OR($B$6="",$B$7=""),"",INDEX('02-基础参数表'!$A:$U,$B$7,7))</f>
        <v>统计期内组织综合能源消费总量，由各能源品种消耗量 × 折标准煤系数加总得到；电力按当量值折标</v>
      </c>
      <c r="C13" s="12"/>
      <c r="D13" s="12"/>
      <c r="E13" s="12"/>
      <c r="F13" s="12"/>
      <c r="G13" s="12"/>
      <c r="H13" s="13"/>
    </row>
    <row r="14" ht="16.5" spans="1:8">
      <c r="A14" s="17" t="s">
        <v>15</v>
      </c>
      <c r="B14" s="18" t="str">
        <f>IF(OR($B$6="",$B$7=""),"",INDEX('02-基础参数表'!$A:$U,$B$7,8))</f>
        <v>tce</v>
      </c>
      <c r="C14" s="12"/>
      <c r="D14" s="12"/>
      <c r="E14" s="12"/>
      <c r="F14" s="12"/>
      <c r="G14" s="12"/>
      <c r="H14" s="13"/>
    </row>
    <row r="15" ht="16.5" spans="1:8">
      <c r="A15" s="17" t="s">
        <v>16</v>
      </c>
      <c r="B15" s="18" t="str">
        <f>IF(OR($B$6="",$B$7=""),"",INDEX('02-基础参数表'!$A:$U,$B$7,9))</f>
        <v>数值（3 位小数）</v>
      </c>
      <c r="C15" s="12"/>
      <c r="D15" s="12"/>
      <c r="E15" s="12"/>
      <c r="F15" s="12"/>
      <c r="G15" s="12"/>
      <c r="H15" s="13"/>
    </row>
    <row r="16" ht="16.5" spans="1:8">
      <c r="A16" s="17" t="s">
        <v>17</v>
      </c>
      <c r="B16" s="18" t="str">
        <f>IF(OR($B$6="",$B$7=""),"",INDEX('02-基础参数表'!$A:$U,$B$7,10))</f>
        <v>3</v>
      </c>
      <c r="C16" s="12"/>
      <c r="D16" s="12"/>
      <c r="E16" s="12"/>
      <c r="F16" s="12"/>
      <c r="G16" s="12"/>
      <c r="H16" s="13"/>
    </row>
    <row r="17" ht="30" customHeight="1" spans="1:8">
      <c r="A17" s="17" t="s">
        <v>18</v>
      </c>
      <c r="B17" s="18" t="str">
        <f>IF(OR($B$6="",$B$7=""),"",INDEX('02-基础参数表'!$A:$U,$B$7,11))</f>
        <v>≥0</v>
      </c>
      <c r="C17" s="12"/>
      <c r="D17" s="12"/>
      <c r="E17" s="12"/>
      <c r="F17" s="12"/>
      <c r="G17" s="12"/>
      <c r="H17" s="13"/>
    </row>
    <row r="18" ht="16.5" spans="1:8">
      <c r="A18" s="17" t="s">
        <v>19</v>
      </c>
      <c r="B18" s="18" t="str">
        <f>IF(OR($B$6="",$B$7=""),"",INDEX('02-基础参数表'!$A:$U,$B$7,12))</f>
        <v>—</v>
      </c>
      <c r="C18" s="12"/>
      <c r="D18" s="12"/>
      <c r="E18" s="12"/>
      <c r="F18" s="12"/>
      <c r="G18" s="12"/>
      <c r="H18" s="13"/>
    </row>
    <row r="19" ht="16.5" spans="1:8">
      <c r="A19" s="17" t="s">
        <v>20</v>
      </c>
      <c r="B19" s="18" t="str">
        <f>IF(OR($B$6="",$B$7=""),"",INDEX('02-基础参数表'!$A:$U,$B$7,13))</f>
        <v>集控中心（系统自动计算）</v>
      </c>
      <c r="C19" s="12"/>
      <c r="D19" s="12"/>
      <c r="E19" s="12"/>
      <c r="F19" s="12"/>
      <c r="G19" s="12"/>
      <c r="H19" s="13"/>
    </row>
    <row r="20" ht="30" customHeight="1" spans="1:8">
      <c r="A20" s="17" t="s">
        <v>21</v>
      </c>
      <c r="B20" s="18" t="str">
        <f>IF(OR($B$6="",$B$7=""),"",INDEX('02-基础参数表'!$A:$U,$B$7,14))</f>
        <v>计算字段</v>
      </c>
      <c r="C20" s="12"/>
      <c r="D20" s="12"/>
      <c r="E20" s="12"/>
      <c r="F20" s="12"/>
      <c r="G20" s="12"/>
      <c r="H20" s="13"/>
    </row>
    <row r="21" ht="16.5" spans="1:8">
      <c r="A21" s="17" t="s">
        <v>22</v>
      </c>
      <c r="B21" s="18" t="str">
        <f>IF(OR($B$6="",$B$7=""),"",INDEX('02-基础参数表'!$A:$U,$B$7,15))</f>
        <v>计算</v>
      </c>
      <c r="C21" s="12"/>
      <c r="D21" s="12"/>
      <c r="E21" s="12"/>
      <c r="F21" s="12"/>
      <c r="G21" s="12"/>
      <c r="H21" s="13"/>
    </row>
    <row r="22" ht="16.5" spans="1:8">
      <c r="A22" s="17" t="s">
        <v>23</v>
      </c>
      <c r="B22" s="18" t="str">
        <f>IF(OR($B$6="",$B$7=""),"",INDEX('02-基础参数表'!$A:$U,$B$7,16))</f>
        <v>月度</v>
      </c>
      <c r="C22" s="12"/>
      <c r="D22" s="12"/>
      <c r="E22" s="12"/>
      <c r="F22" s="12"/>
      <c r="G22" s="12"/>
      <c r="H22" s="13"/>
    </row>
    <row r="23" ht="16.5" spans="1:8">
      <c r="A23" s="17" t="s">
        <v>24</v>
      </c>
      <c r="B23" s="18" t="str">
        <f>IF(OR($B$6="",$B$7=""),"",INDEX('02-基础参数表'!$A:$U,$B$7,17))</f>
        <v>是</v>
      </c>
      <c r="C23" s="12"/>
      <c r="D23" s="12"/>
      <c r="E23" s="12"/>
      <c r="F23" s="12"/>
      <c r="G23" s="12"/>
      <c r="H23" s="13"/>
    </row>
    <row r="24" ht="16.5" spans="1:8">
      <c r="A24" s="17" t="s">
        <v>25</v>
      </c>
      <c r="B24" s="18" t="str">
        <f>IF(OR($B$6="",$B$7=""),"",INDEX('02-基础参数表'!$A:$U,$B$7,18))</f>
        <v>电装（统一计算）</v>
      </c>
      <c r="C24" s="12"/>
      <c r="D24" s="12"/>
      <c r="E24" s="12"/>
      <c r="F24" s="12"/>
      <c r="G24" s="12"/>
      <c r="H24" s="13"/>
    </row>
    <row r="25" ht="16.5" spans="1:8">
      <c r="A25" s="17" t="s">
        <v>26</v>
      </c>
      <c r="B25" s="18" t="str">
        <f>IF(OR($B$6="",$B$7=""),"",INDEX('02-基础参数表'!$A:$U,$B$7,19))</f>
        <v>IND-003、IND-005、IND-008、IND-010、IND-012</v>
      </c>
      <c r="C25" s="12"/>
      <c r="D25" s="12"/>
      <c r="E25" s="12"/>
      <c r="F25" s="12"/>
      <c r="G25" s="12"/>
      <c r="H25" s="13"/>
    </row>
    <row r="26" ht="30" customHeight="1" spans="1:8">
      <c r="A26" s="17" t="s">
        <v>27</v>
      </c>
      <c r="B26" s="18" t="str">
        <f>IF(OR($B$6="",$B$7=""),"",INDEX('02-基础参数表'!$A:$U,$B$7,20))</f>
        <v>≥0</v>
      </c>
      <c r="C26" s="12"/>
      <c r="D26" s="12"/>
      <c r="E26" s="12"/>
      <c r="F26" s="12"/>
      <c r="G26" s="12"/>
      <c r="H26" s="13"/>
    </row>
    <row r="27" ht="30" customHeight="1" spans="1:8">
      <c r="A27" s="17" t="s">
        <v>28</v>
      </c>
      <c r="B27" s="18" t="str">
        <f>IF(OR($B$6="",$B$7=""),"",INDEX('02-基础参数表'!$A:$U,$B$7,21))</f>
        <v>电力折标使用当量值系数 FAC-001</v>
      </c>
      <c r="C27" s="12"/>
      <c r="D27" s="12"/>
      <c r="E27" s="12"/>
      <c r="F27" s="12"/>
      <c r="G27" s="12"/>
      <c r="H27" s="13"/>
    </row>
    <row r="30" ht="15" spans="1:8">
      <c r="A30" s="8" t="s">
        <v>29</v>
      </c>
    </row>
    <row r="31" ht="16.5" spans="1:8">
      <c r="A31" s="2" t="s">
        <v>30</v>
      </c>
      <c r="B31" s="2" t="s">
        <v>31</v>
      </c>
      <c r="C31" s="2" t="s">
        <v>32</v>
      </c>
      <c r="D31" s="2" t="s">
        <v>33</v>
      </c>
    </row>
    <row r="32" ht="16.5" spans="1:8">
      <c r="A32" s="18" t="s">
        <v>34</v>
      </c>
      <c r="B32" s="18" t="s">
        <v>35</v>
      </c>
      <c r="C32" s="13"/>
      <c r="D32" s="18" t="s">
        <v>36</v>
      </c>
    </row>
    <row r="33" ht="33" spans="1:8">
      <c r="A33" s="18" t="s">
        <v>37</v>
      </c>
      <c r="B33" s="18" t="s">
        <v>38</v>
      </c>
      <c r="C33" s="18" t="s">
        <v>39</v>
      </c>
      <c r="D33" s="18" t="s">
        <v>40</v>
      </c>
    </row>
    <row r="34" ht="49.5" spans="1:8">
      <c r="A34" s="18" t="s">
        <v>41</v>
      </c>
      <c r="B34" s="18" t="s">
        <v>42</v>
      </c>
      <c r="C34" s="18" t="s">
        <v>43</v>
      </c>
      <c r="D34" s="18" t="s">
        <v>44</v>
      </c>
    </row>
    <row r="35" ht="33" spans="1:8">
      <c r="A35" s="18" t="s">
        <v>45</v>
      </c>
      <c r="B35" s="18" t="s">
        <v>46</v>
      </c>
      <c r="C35" s="18" t="s">
        <v>47</v>
      </c>
      <c r="D35" s="18" t="s">
        <v>48</v>
      </c>
    </row>
    <row r="36" ht="33" spans="1:8">
      <c r="A36" s="18" t="s">
        <v>49</v>
      </c>
      <c r="B36" s="18" t="s">
        <v>50</v>
      </c>
      <c r="C36" s="18" t="s">
        <v>51</v>
      </c>
      <c r="D36" s="18" t="s">
        <v>52</v>
      </c>
    </row>
    <row r="37" ht="33" spans="1:8">
      <c r="A37" s="18" t="s">
        <v>53</v>
      </c>
      <c r="B37" s="18" t="s">
        <v>54</v>
      </c>
      <c r="C37" s="18" t="s">
        <v>55</v>
      </c>
      <c r="D37" s="18" t="s">
        <v>56</v>
      </c>
    </row>
    <row r="40" ht="15" spans="1:8">
      <c r="A40" s="8" t="s">
        <v>57</v>
      </c>
    </row>
    <row r="41" ht="16.5" spans="1:8">
      <c r="A41" s="19" t="s">
        <v>58</v>
      </c>
      <c r="B41" s="11" t="s">
        <v>59</v>
      </c>
      <c r="C41" s="11" t="s">
        <v>60</v>
      </c>
      <c r="D41" s="12"/>
      <c r="E41" s="12"/>
      <c r="F41" s="12"/>
      <c r="G41" s="12"/>
      <c r="H41" s="13"/>
    </row>
    <row r="42" ht="16.5" spans="1:8">
      <c r="A42" s="19" t="s">
        <v>61</v>
      </c>
      <c r="B42" s="11" t="s">
        <v>62</v>
      </c>
      <c r="C42" s="11" t="s">
        <v>63</v>
      </c>
      <c r="D42" s="12"/>
      <c r="E42" s="12"/>
      <c r="F42" s="12"/>
      <c r="G42" s="12"/>
      <c r="H42" s="13"/>
    </row>
    <row r="43" ht="16.5" spans="1:8">
      <c r="A43" s="19" t="s">
        <v>64</v>
      </c>
      <c r="B43" s="11" t="s">
        <v>65</v>
      </c>
      <c r="C43" s="11" t="s">
        <v>66</v>
      </c>
      <c r="D43" s="12"/>
      <c r="E43" s="12"/>
      <c r="F43" s="12"/>
      <c r="G43" s="12"/>
      <c r="H43" s="13"/>
    </row>
    <row r="44" ht="16.5" spans="1:8">
      <c r="A44" s="19" t="s">
        <v>67</v>
      </c>
      <c r="B44" s="11" t="s">
        <v>68</v>
      </c>
      <c r="C44" s="11" t="s">
        <v>69</v>
      </c>
      <c r="D44" s="12"/>
      <c r="E44" s="12"/>
      <c r="F44" s="12"/>
      <c r="G44" s="12"/>
      <c r="H44" s="13"/>
    </row>
    <row r="45" ht="16.5" spans="1:8">
      <c r="A45" s="19" t="s">
        <v>70</v>
      </c>
      <c r="B45" s="11" t="s">
        <v>71</v>
      </c>
      <c r="C45" s="11" t="s">
        <v>72</v>
      </c>
      <c r="D45" s="12"/>
      <c r="E45" s="12"/>
      <c r="F45" s="12"/>
      <c r="G45" s="12"/>
      <c r="H45" s="13"/>
    </row>
    <row r="46" ht="16.5" spans="1:8">
      <c r="A46" s="19" t="s">
        <v>73</v>
      </c>
      <c r="B46" s="11" t="s">
        <v>74</v>
      </c>
      <c r="C46" s="11" t="s">
        <v>75</v>
      </c>
      <c r="D46" s="12"/>
      <c r="E46" s="12"/>
      <c r="F46" s="12"/>
      <c r="G46" s="12"/>
      <c r="H46" s="13"/>
    </row>
    <row r="47" ht="16.5" spans="1:8">
      <c r="A47" s="19" t="s">
        <v>76</v>
      </c>
      <c r="B47" s="11" t="s">
        <v>77</v>
      </c>
      <c r="C47" s="11" t="s">
        <v>78</v>
      </c>
      <c r="D47" s="12"/>
      <c r="E47" s="12"/>
      <c r="F47" s="12"/>
      <c r="G47" s="12"/>
      <c r="H47" s="13"/>
    </row>
    <row r="48" ht="16.5" spans="1:8">
      <c r="A48" s="19" t="s">
        <v>79</v>
      </c>
      <c r="B48" s="11" t="s">
        <v>80</v>
      </c>
      <c r="C48" s="11" t="s">
        <v>81</v>
      </c>
      <c r="D48" s="12"/>
      <c r="E48" s="12"/>
      <c r="F48" s="12"/>
      <c r="G48" s="12"/>
      <c r="H48" s="13"/>
    </row>
    <row r="49" ht="16.5" spans="1:8">
      <c r="A49" s="19" t="s">
        <v>82</v>
      </c>
      <c r="B49" s="11" t="s">
        <v>83</v>
      </c>
      <c r="C49" s="11" t="s">
        <v>84</v>
      </c>
      <c r="D49" s="12"/>
      <c r="E49" s="12"/>
      <c r="F49" s="12"/>
      <c r="G49" s="12"/>
      <c r="H49" s="13"/>
    </row>
    <row r="50" ht="16.5" spans="1:8">
      <c r="A50" s="19" t="s">
        <v>85</v>
      </c>
      <c r="B50" s="11" t="s">
        <v>86</v>
      </c>
      <c r="C50" s="11" t="s">
        <v>87</v>
      </c>
      <c r="D50" s="12"/>
      <c r="E50" s="12"/>
      <c r="F50" s="12"/>
      <c r="G50" s="12"/>
      <c r="H50" s="13"/>
    </row>
    <row r="53" ht="15" spans="1:8">
      <c r="A53" s="8" t="s">
        <v>88</v>
      </c>
    </row>
    <row r="54" ht="16.5" spans="1:8">
      <c r="A54" s="11" t="s">
        <v>89</v>
      </c>
      <c r="B54" s="20" t="s">
        <v>90</v>
      </c>
      <c r="C54" s="12"/>
      <c r="D54" s="12"/>
      <c r="E54" s="12"/>
      <c r="F54" s="12"/>
      <c r="G54" s="12"/>
      <c r="H54" s="13"/>
    </row>
    <row r="55" ht="16.5" spans="1:8">
      <c r="A55" s="11" t="s">
        <v>91</v>
      </c>
      <c r="B55" s="20" t="s">
        <v>92</v>
      </c>
      <c r="C55" s="12"/>
      <c r="D55" s="12"/>
      <c r="E55" s="12"/>
      <c r="F55" s="12"/>
      <c r="G55" s="12"/>
      <c r="H55" s="13"/>
    </row>
    <row r="56" ht="16.5" spans="1:8">
      <c r="A56" s="11" t="s">
        <v>93</v>
      </c>
      <c r="B56" s="20" t="s">
        <v>94</v>
      </c>
      <c r="C56" s="12"/>
      <c r="D56" s="12"/>
      <c r="E56" s="12"/>
      <c r="F56" s="12"/>
      <c r="G56" s="12"/>
      <c r="H56" s="13"/>
    </row>
    <row r="57" ht="16.5" spans="1:8">
      <c r="A57" s="11" t="s">
        <v>95</v>
      </c>
      <c r="B57" s="20" t="s">
        <v>96</v>
      </c>
      <c r="C57" s="12"/>
      <c r="D57" s="12"/>
      <c r="E57" s="12"/>
      <c r="F57" s="12"/>
      <c r="G57" s="12"/>
      <c r="H57" s="13"/>
    </row>
    <row r="58" ht="16.5" spans="1:8">
      <c r="A58" s="11" t="s">
        <v>97</v>
      </c>
      <c r="B58" s="20" t="s">
        <v>98</v>
      </c>
      <c r="C58" s="12"/>
      <c r="D58" s="12"/>
      <c r="E58" s="12"/>
      <c r="F58" s="12"/>
      <c r="G58" s="12"/>
      <c r="H58" s="13"/>
    </row>
    <row r="59" ht="16.5" spans="1:8">
      <c r="A59" s="11" t="s">
        <v>99</v>
      </c>
      <c r="B59" s="20" t="s">
        <v>100</v>
      </c>
      <c r="C59" s="12"/>
      <c r="D59" s="12"/>
      <c r="E59" s="12"/>
      <c r="F59" s="12"/>
      <c r="G59" s="12"/>
      <c r="H59" s="13"/>
    </row>
    <row r="60" ht="16.5" spans="1:8">
      <c r="A60" s="11" t="s">
        <v>101</v>
      </c>
      <c r="B60" s="20" t="s">
        <v>102</v>
      </c>
      <c r="C60" s="12"/>
      <c r="D60" s="12"/>
      <c r="E60" s="12"/>
      <c r="F60" s="12"/>
      <c r="G60" s="12"/>
      <c r="H60" s="13"/>
    </row>
    <row r="61" ht="16.5" spans="1:8">
      <c r="A61" s="11" t="s">
        <v>103</v>
      </c>
      <c r="B61" s="20" t="s">
        <v>104</v>
      </c>
      <c r="C61" s="12"/>
      <c r="D61" s="12"/>
      <c r="E61" s="12"/>
      <c r="F61" s="12"/>
      <c r="G61" s="12"/>
      <c r="H61" s="13"/>
    </row>
    <row r="62" ht="16.5" spans="1:8">
      <c r="A62" s="11" t="s">
        <v>105</v>
      </c>
      <c r="B62" s="20" t="s">
        <v>106</v>
      </c>
      <c r="C62" s="12"/>
      <c r="D62" s="12"/>
      <c r="E62" s="12"/>
      <c r="F62" s="12"/>
      <c r="G62" s="12"/>
      <c r="H62" s="13"/>
    </row>
    <row r="63" ht="16.5" spans="1:8">
      <c r="A63" s="11" t="s">
        <v>107</v>
      </c>
      <c r="B63" s="20" t="s">
        <v>108</v>
      </c>
      <c r="C63" s="12"/>
      <c r="D63" s="12"/>
      <c r="E63" s="12"/>
      <c r="F63" s="12"/>
      <c r="G63" s="12"/>
      <c r="H63" s="13"/>
    </row>
    <row r="64" ht="16.5" spans="1:8">
      <c r="A64" s="11" t="s">
        <v>109</v>
      </c>
      <c r="B64" s="20" t="s">
        <v>110</v>
      </c>
      <c r="C64" s="12"/>
      <c r="D64" s="12"/>
      <c r="E64" s="12"/>
      <c r="F64" s="12"/>
      <c r="G64" s="12"/>
      <c r="H64" s="13"/>
    </row>
    <row r="65" ht="16.5" spans="1:8">
      <c r="A65" s="11" t="s">
        <v>111</v>
      </c>
      <c r="B65" s="20" t="s">
        <v>112</v>
      </c>
      <c r="C65" s="12"/>
      <c r="D65" s="12"/>
      <c r="E65" s="12"/>
      <c r="F65" s="12"/>
      <c r="G65" s="12"/>
      <c r="H65" s="13"/>
    </row>
    <row r="68" ht="15" spans="1:8">
      <c r="A68" s="8" t="s">
        <v>113</v>
      </c>
    </row>
    <row r="69" ht="28" customHeight="1" spans="1:8">
      <c r="A69" s="21" t="s">
        <v>114</v>
      </c>
    </row>
    <row r="70" ht="28" customHeight="1" spans="1:8">
      <c r="A70" s="21" t="s">
        <v>115</v>
      </c>
    </row>
    <row r="71" ht="28" customHeight="1" spans="1:8">
      <c r="A71" s="21" t="s">
        <v>116</v>
      </c>
    </row>
    <row r="72" ht="28" customHeight="1" spans="1:8">
      <c r="A72" s="21" t="s">
        <v>117</v>
      </c>
    </row>
    <row r="73" ht="28" customHeight="1" spans="1:8">
      <c r="A73" s="21" t="s">
        <v>118</v>
      </c>
    </row>
    <row r="74" ht="28" customHeight="1" spans="1:8">
      <c r="A74" s="21" t="s">
        <v>119</v>
      </c>
    </row>
  </sheetData>
  <mergeCells count="59">
    <mergeCell ref="A1:H1"/>
    <mergeCell ref="A2:H2"/>
    <mergeCell ref="A3:H3"/>
    <mergeCell ref="A5:H5"/>
    <mergeCell ref="D6:H6"/>
    <mergeCell ref="D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A30:H30"/>
    <mergeCell ref="B32:C32"/>
    <mergeCell ref="A40:H40"/>
    <mergeCell ref="C41:H41"/>
    <mergeCell ref="C42:H42"/>
    <mergeCell ref="C43:H43"/>
    <mergeCell ref="C44:H44"/>
    <mergeCell ref="C45:H45"/>
    <mergeCell ref="C46:H46"/>
    <mergeCell ref="C47:H47"/>
    <mergeCell ref="C48:H48"/>
    <mergeCell ref="C49:H49"/>
    <mergeCell ref="C50:H50"/>
    <mergeCell ref="A53:H53"/>
    <mergeCell ref="B54:H54"/>
    <mergeCell ref="B55:H55"/>
    <mergeCell ref="B56:H56"/>
    <mergeCell ref="B57:H57"/>
    <mergeCell ref="B58:H58"/>
    <mergeCell ref="B59:H59"/>
    <mergeCell ref="B60:H60"/>
    <mergeCell ref="B61:H61"/>
    <mergeCell ref="B62:H62"/>
    <mergeCell ref="B63:H63"/>
    <mergeCell ref="B64:H64"/>
    <mergeCell ref="B65:H65"/>
    <mergeCell ref="A68:H68"/>
    <mergeCell ref="A69:H69"/>
    <mergeCell ref="A70:H70"/>
    <mergeCell ref="A71:H71"/>
    <mergeCell ref="A72:H72"/>
    <mergeCell ref="A73:H73"/>
    <mergeCell ref="A74:H74"/>
  </mergeCells>
  <dataValidations count="1">
    <dataValidation type="list" allowBlank="1" sqref="B6">
      <formula1>'02-基础参数表'!$B$2:$B$192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2"/>
  <sheetViews>
    <sheetView workbookViewId="0">
      <pane xSplit="3" ySplit="1" topLeftCell="G3" activePane="bottomRight" state="frozen"/>
      <selection/>
      <selection pane="topRight"/>
      <selection pane="bottomLeft"/>
      <selection pane="bottomRight" activeCell="H15" sqref="H15"/>
    </sheetView>
  </sheetViews>
  <sheetFormatPr defaultColWidth="9" defaultRowHeight="13.5"/>
  <cols>
    <col min="1" max="1" width="6" style="1" customWidth="1"/>
    <col min="2" max="2" width="12" style="1" customWidth="1"/>
    <col min="3" max="3" width="26" style="1" customWidth="1"/>
    <col min="4" max="4" width="8" style="1" customWidth="1"/>
    <col min="5" max="5" width="16" style="1" customWidth="1"/>
    <col min="6" max="6" width="14" style="1" customWidth="1"/>
    <col min="7" max="7" width="62" style="1" customWidth="1"/>
    <col min="8" max="8" width="18" style="1" customWidth="1"/>
    <col min="9" max="9" width="15" style="1" customWidth="1"/>
    <col min="10" max="10" width="8" style="1" customWidth="1"/>
    <col min="11" max="11" width="26" style="1" customWidth="1"/>
    <col min="12" max="12" width="18" style="1" customWidth="1"/>
    <col min="13" max="14" width="28" style="1" customWidth="1"/>
    <col min="15" max="16" width="18" style="1" customWidth="1"/>
    <col min="17" max="17" width="7" style="1" customWidth="1"/>
    <col min="18" max="18" width="20" style="1" customWidth="1"/>
    <col min="19" max="19" width="34" style="1" customWidth="1"/>
    <col min="20" max="20" width="24" style="1" customWidth="1"/>
    <col min="21" max="21" width="62" style="1" customWidth="1"/>
    <col min="22" max="16384" width="9" style="1"/>
  </cols>
  <sheetData>
    <row r="1" ht="16.5" spans="1:21">
      <c r="A1" s="2" t="s">
        <v>120</v>
      </c>
      <c r="B1" s="2" t="s">
        <v>9</v>
      </c>
      <c r="C1" s="2" t="s">
        <v>10</v>
      </c>
      <c r="D1" s="2" t="s">
        <v>121</v>
      </c>
      <c r="E1" s="2" t="s">
        <v>12</v>
      </c>
      <c r="F1" s="2" t="s">
        <v>13</v>
      </c>
      <c r="G1" s="2" t="s">
        <v>14</v>
      </c>
      <c r="H1" s="2" t="s">
        <v>15</v>
      </c>
      <c r="I1" s="2" t="s">
        <v>16</v>
      </c>
      <c r="J1" s="2" t="s">
        <v>17</v>
      </c>
      <c r="K1" s="2" t="s">
        <v>18</v>
      </c>
      <c r="L1" s="2" t="s">
        <v>19</v>
      </c>
      <c r="M1" s="2" t="s">
        <v>20</v>
      </c>
      <c r="N1" s="2" t="s">
        <v>21</v>
      </c>
      <c r="O1" s="2" t="s">
        <v>22</v>
      </c>
      <c r="P1" s="2" t="s">
        <v>23</v>
      </c>
      <c r="Q1" s="2" t="s">
        <v>122</v>
      </c>
      <c r="R1" s="2" t="s">
        <v>25</v>
      </c>
      <c r="S1" s="2" t="s">
        <v>26</v>
      </c>
      <c r="T1" s="2" t="s">
        <v>27</v>
      </c>
      <c r="U1" s="2" t="s">
        <v>28</v>
      </c>
    </row>
    <row r="2" ht="16.5" spans="1:21">
      <c r="A2" s="3">
        <v>1</v>
      </c>
      <c r="B2" s="3" t="s">
        <v>123</v>
      </c>
      <c r="C2" s="3" t="s">
        <v>124</v>
      </c>
      <c r="D2" s="3" t="s">
        <v>125</v>
      </c>
      <c r="E2" s="3" t="s">
        <v>126</v>
      </c>
      <c r="F2" s="3" t="s">
        <v>74</v>
      </c>
      <c r="G2" s="3" t="s">
        <v>127</v>
      </c>
      <c r="H2" s="3" t="s">
        <v>128</v>
      </c>
      <c r="I2" s="3" t="s">
        <v>129</v>
      </c>
      <c r="J2" s="3" t="s">
        <v>130</v>
      </c>
      <c r="K2" s="3" t="s">
        <v>131</v>
      </c>
      <c r="L2" s="3" t="s">
        <v>132</v>
      </c>
      <c r="M2" s="3" t="s">
        <v>133</v>
      </c>
      <c r="N2" s="3" t="s">
        <v>134</v>
      </c>
      <c r="O2" s="3" t="s">
        <v>135</v>
      </c>
      <c r="P2" s="3" t="s">
        <v>136</v>
      </c>
      <c r="Q2" s="3" t="s">
        <v>137</v>
      </c>
      <c r="R2" s="3" t="s">
        <v>138</v>
      </c>
      <c r="S2" s="3" t="s">
        <v>139</v>
      </c>
      <c r="T2" s="3" t="s">
        <v>131</v>
      </c>
      <c r="U2" s="3" t="s">
        <v>140</v>
      </c>
    </row>
    <row r="3" ht="16.5" spans="1:21">
      <c r="A3" s="3">
        <v>2</v>
      </c>
      <c r="B3" s="3" t="s">
        <v>141</v>
      </c>
      <c r="C3" s="3" t="s">
        <v>142</v>
      </c>
      <c r="D3" s="3" t="s">
        <v>125</v>
      </c>
      <c r="E3" s="3" t="s">
        <v>143</v>
      </c>
      <c r="F3" s="3" t="s">
        <v>74</v>
      </c>
      <c r="G3" s="3" t="s">
        <v>144</v>
      </c>
      <c r="H3" s="3" t="s">
        <v>128</v>
      </c>
      <c r="I3" s="3" t="s">
        <v>129</v>
      </c>
      <c r="J3" s="3" t="s">
        <v>130</v>
      </c>
      <c r="K3" s="3" t="s">
        <v>131</v>
      </c>
      <c r="L3" s="3" t="s">
        <v>132</v>
      </c>
      <c r="M3" s="3" t="s">
        <v>145</v>
      </c>
      <c r="N3" s="3" t="s">
        <v>134</v>
      </c>
      <c r="O3" s="3" t="s">
        <v>135</v>
      </c>
      <c r="P3" s="3" t="s">
        <v>136</v>
      </c>
      <c r="Q3" s="3" t="s">
        <v>137</v>
      </c>
      <c r="R3" s="3" t="s">
        <v>138</v>
      </c>
      <c r="S3" s="3" t="s">
        <v>146</v>
      </c>
      <c r="T3" s="3" t="s">
        <v>131</v>
      </c>
      <c r="U3" s="3" t="s">
        <v>147</v>
      </c>
    </row>
    <row r="4" ht="16.5" spans="1:21">
      <c r="A4" s="3">
        <v>3</v>
      </c>
      <c r="B4" s="3" t="s">
        <v>148</v>
      </c>
      <c r="C4" s="3" t="s">
        <v>149</v>
      </c>
      <c r="D4" s="3" t="s">
        <v>125</v>
      </c>
      <c r="E4" s="3" t="s">
        <v>150</v>
      </c>
      <c r="F4" s="3" t="s">
        <v>74</v>
      </c>
      <c r="G4" s="3" t="s">
        <v>151</v>
      </c>
      <c r="H4" s="3" t="s">
        <v>128</v>
      </c>
      <c r="I4" s="3" t="s">
        <v>129</v>
      </c>
      <c r="J4" s="3" t="s">
        <v>130</v>
      </c>
      <c r="K4" s="3" t="s">
        <v>131</v>
      </c>
      <c r="L4" s="3" t="s">
        <v>152</v>
      </c>
      <c r="M4" s="3" t="s">
        <v>145</v>
      </c>
      <c r="N4" s="3" t="s">
        <v>134</v>
      </c>
      <c r="O4" s="3" t="s">
        <v>135</v>
      </c>
      <c r="P4" s="3" t="s">
        <v>136</v>
      </c>
      <c r="Q4" s="3" t="s">
        <v>153</v>
      </c>
      <c r="R4" s="3" t="s">
        <v>138</v>
      </c>
      <c r="S4" s="3" t="s">
        <v>146</v>
      </c>
      <c r="T4" s="3" t="s">
        <v>131</v>
      </c>
      <c r="U4" s="3" t="s">
        <v>154</v>
      </c>
    </row>
    <row r="5" ht="16.5" spans="1:21">
      <c r="A5" s="3">
        <v>4</v>
      </c>
      <c r="B5" s="3" t="s">
        <v>155</v>
      </c>
      <c r="C5" s="3" t="s">
        <v>156</v>
      </c>
      <c r="D5" s="3" t="s">
        <v>125</v>
      </c>
      <c r="E5" s="3" t="s">
        <v>157</v>
      </c>
      <c r="F5" s="3" t="s">
        <v>74</v>
      </c>
      <c r="G5" s="3" t="s">
        <v>158</v>
      </c>
      <c r="H5" s="3" t="s">
        <v>128</v>
      </c>
      <c r="I5" s="3" t="s">
        <v>129</v>
      </c>
      <c r="J5" s="3" t="s">
        <v>130</v>
      </c>
      <c r="K5" s="3" t="s">
        <v>131</v>
      </c>
      <c r="L5" s="3" t="s">
        <v>132</v>
      </c>
      <c r="M5" s="3" t="s">
        <v>145</v>
      </c>
      <c r="N5" s="3" t="s">
        <v>134</v>
      </c>
      <c r="O5" s="3" t="s">
        <v>135</v>
      </c>
      <c r="P5" s="3" t="s">
        <v>136</v>
      </c>
      <c r="Q5" s="3" t="s">
        <v>137</v>
      </c>
      <c r="R5" s="3" t="s">
        <v>138</v>
      </c>
      <c r="S5" s="3" t="s">
        <v>146</v>
      </c>
      <c r="T5" s="3" t="s">
        <v>131</v>
      </c>
      <c r="U5" s="3" t="s">
        <v>159</v>
      </c>
    </row>
    <row r="6" ht="16.5" spans="1:21">
      <c r="A6" s="3">
        <v>5</v>
      </c>
      <c r="B6" s="3" t="s">
        <v>160</v>
      </c>
      <c r="C6" s="3" t="s">
        <v>161</v>
      </c>
      <c r="D6" s="3" t="s">
        <v>125</v>
      </c>
      <c r="E6" s="3" t="s">
        <v>162</v>
      </c>
      <c r="F6" s="3" t="s">
        <v>74</v>
      </c>
      <c r="G6" s="3" t="s">
        <v>163</v>
      </c>
      <c r="H6" s="3" t="s">
        <v>128</v>
      </c>
      <c r="I6" s="3" t="s">
        <v>129</v>
      </c>
      <c r="J6" s="3" t="s">
        <v>130</v>
      </c>
      <c r="K6" s="3" t="s">
        <v>131</v>
      </c>
      <c r="L6" s="3" t="s">
        <v>152</v>
      </c>
      <c r="M6" s="3" t="s">
        <v>145</v>
      </c>
      <c r="N6" s="3" t="s">
        <v>134</v>
      </c>
      <c r="O6" s="3" t="s">
        <v>135</v>
      </c>
      <c r="P6" s="3" t="s">
        <v>136</v>
      </c>
      <c r="Q6" s="3" t="s">
        <v>153</v>
      </c>
      <c r="R6" s="3" t="s">
        <v>138</v>
      </c>
      <c r="S6" s="3" t="s">
        <v>146</v>
      </c>
      <c r="T6" s="3" t="s">
        <v>131</v>
      </c>
      <c r="U6" s="3" t="s">
        <v>164</v>
      </c>
    </row>
    <row r="7" ht="16.5" spans="1:21">
      <c r="A7" s="3">
        <v>6</v>
      </c>
      <c r="B7" s="3" t="s">
        <v>165</v>
      </c>
      <c r="C7" s="3" t="s">
        <v>166</v>
      </c>
      <c r="D7" s="3" t="s">
        <v>125</v>
      </c>
      <c r="E7" s="3" t="s">
        <v>167</v>
      </c>
      <c r="F7" s="3" t="s">
        <v>74</v>
      </c>
      <c r="G7" s="3" t="s">
        <v>168</v>
      </c>
      <c r="H7" s="3" t="s">
        <v>128</v>
      </c>
      <c r="I7" s="3" t="s">
        <v>129</v>
      </c>
      <c r="J7" s="3" t="s">
        <v>130</v>
      </c>
      <c r="K7" s="3" t="s">
        <v>131</v>
      </c>
      <c r="L7" s="3" t="s">
        <v>132</v>
      </c>
      <c r="M7" s="3" t="s">
        <v>145</v>
      </c>
      <c r="N7" s="3" t="s">
        <v>134</v>
      </c>
      <c r="O7" s="3" t="s">
        <v>135</v>
      </c>
      <c r="P7" s="3" t="s">
        <v>136</v>
      </c>
      <c r="Q7" s="3" t="s">
        <v>137</v>
      </c>
      <c r="R7" s="3" t="s">
        <v>138</v>
      </c>
      <c r="S7" s="3" t="s">
        <v>146</v>
      </c>
      <c r="T7" s="3" t="s">
        <v>131</v>
      </c>
      <c r="U7" s="3" t="s">
        <v>169</v>
      </c>
    </row>
    <row r="8" ht="16.5" spans="1:21">
      <c r="A8" s="3">
        <v>7</v>
      </c>
      <c r="B8" s="3" t="s">
        <v>170</v>
      </c>
      <c r="C8" s="3" t="s">
        <v>171</v>
      </c>
      <c r="D8" s="3" t="s">
        <v>125</v>
      </c>
      <c r="E8" s="3" t="s">
        <v>172</v>
      </c>
      <c r="F8" s="3" t="s">
        <v>74</v>
      </c>
      <c r="G8" s="3" t="s">
        <v>173</v>
      </c>
      <c r="H8" s="3" t="s">
        <v>128</v>
      </c>
      <c r="I8" s="3" t="s">
        <v>129</v>
      </c>
      <c r="J8" s="3" t="s">
        <v>130</v>
      </c>
      <c r="K8" s="3" t="s">
        <v>131</v>
      </c>
      <c r="L8" s="3" t="s">
        <v>152</v>
      </c>
      <c r="M8" s="3" t="s">
        <v>145</v>
      </c>
      <c r="N8" s="3" t="s">
        <v>134</v>
      </c>
      <c r="O8" s="3" t="s">
        <v>135</v>
      </c>
      <c r="P8" s="3" t="s">
        <v>136</v>
      </c>
      <c r="Q8" s="3" t="s">
        <v>153</v>
      </c>
      <c r="R8" s="3" t="s">
        <v>138</v>
      </c>
      <c r="S8" s="3" t="s">
        <v>146</v>
      </c>
      <c r="T8" s="3" t="s">
        <v>131</v>
      </c>
      <c r="U8" s="3" t="s">
        <v>174</v>
      </c>
    </row>
    <row r="9" ht="33" spans="1:21">
      <c r="A9" s="3">
        <v>8</v>
      </c>
      <c r="B9" s="3" t="s">
        <v>175</v>
      </c>
      <c r="C9" s="3" t="s">
        <v>176</v>
      </c>
      <c r="D9" s="3" t="s">
        <v>125</v>
      </c>
      <c r="E9" s="3" t="s">
        <v>177</v>
      </c>
      <c r="F9" s="3" t="s">
        <v>74</v>
      </c>
      <c r="G9" s="3" t="s">
        <v>178</v>
      </c>
      <c r="H9" s="3" t="s">
        <v>128</v>
      </c>
      <c r="I9" s="3" t="s">
        <v>129</v>
      </c>
      <c r="J9" s="3" t="s">
        <v>130</v>
      </c>
      <c r="K9" s="3" t="s">
        <v>131</v>
      </c>
      <c r="L9" s="3" t="s">
        <v>152</v>
      </c>
      <c r="M9" s="3" t="s">
        <v>145</v>
      </c>
      <c r="N9" s="3" t="s">
        <v>134</v>
      </c>
      <c r="O9" s="3" t="s">
        <v>135</v>
      </c>
      <c r="P9" s="3" t="s">
        <v>136</v>
      </c>
      <c r="Q9" s="3" t="s">
        <v>153</v>
      </c>
      <c r="R9" s="3" t="s">
        <v>138</v>
      </c>
      <c r="S9" s="3" t="s">
        <v>146</v>
      </c>
      <c r="T9" s="3" t="s">
        <v>131</v>
      </c>
      <c r="U9" s="3" t="s">
        <v>154</v>
      </c>
    </row>
    <row r="10" ht="33" spans="1:21">
      <c r="A10" s="3">
        <v>9</v>
      </c>
      <c r="B10" s="3" t="s">
        <v>179</v>
      </c>
      <c r="C10" s="3" t="s">
        <v>180</v>
      </c>
      <c r="D10" s="3" t="s">
        <v>125</v>
      </c>
      <c r="E10" s="3" t="s">
        <v>181</v>
      </c>
      <c r="F10" s="3" t="s">
        <v>74</v>
      </c>
      <c r="G10" s="3" t="s">
        <v>182</v>
      </c>
      <c r="H10" s="3" t="s">
        <v>183</v>
      </c>
      <c r="I10" s="3" t="s">
        <v>184</v>
      </c>
      <c r="J10" s="3" t="s">
        <v>185</v>
      </c>
      <c r="K10" s="3" t="s">
        <v>131</v>
      </c>
      <c r="L10" s="3" t="s">
        <v>132</v>
      </c>
      <c r="M10" s="3" t="s">
        <v>186</v>
      </c>
      <c r="N10" s="3" t="s">
        <v>187</v>
      </c>
      <c r="O10" s="3" t="s">
        <v>188</v>
      </c>
      <c r="P10" s="3" t="s">
        <v>189</v>
      </c>
      <c r="Q10" s="3" t="s">
        <v>137</v>
      </c>
      <c r="R10" s="3" t="s">
        <v>190</v>
      </c>
      <c r="S10" s="3" t="s">
        <v>191</v>
      </c>
      <c r="T10" s="3" t="s">
        <v>131</v>
      </c>
      <c r="U10" s="3" t="s">
        <v>192</v>
      </c>
    </row>
    <row r="11" ht="16.5" spans="1:21">
      <c r="A11" s="3">
        <v>10</v>
      </c>
      <c r="B11" s="3" t="s">
        <v>193</v>
      </c>
      <c r="C11" s="3" t="s">
        <v>194</v>
      </c>
      <c r="D11" s="3" t="s">
        <v>125</v>
      </c>
      <c r="E11" s="3" t="s">
        <v>195</v>
      </c>
      <c r="F11" s="3" t="s">
        <v>74</v>
      </c>
      <c r="G11" s="3" t="s">
        <v>196</v>
      </c>
      <c r="H11" s="3" t="s">
        <v>197</v>
      </c>
      <c r="I11" s="3" t="s">
        <v>198</v>
      </c>
      <c r="J11" s="3" t="s">
        <v>152</v>
      </c>
      <c r="K11" s="3" t="s">
        <v>131</v>
      </c>
      <c r="L11" s="3" t="s">
        <v>132</v>
      </c>
      <c r="M11" s="3" t="s">
        <v>186</v>
      </c>
      <c r="N11" s="3" t="s">
        <v>199</v>
      </c>
      <c r="O11" s="3" t="s">
        <v>188</v>
      </c>
      <c r="P11" s="3" t="s">
        <v>136</v>
      </c>
      <c r="Q11" s="3" t="s">
        <v>137</v>
      </c>
      <c r="R11" s="3" t="s">
        <v>190</v>
      </c>
      <c r="S11" s="3" t="s">
        <v>200</v>
      </c>
      <c r="T11" s="3" t="s">
        <v>201</v>
      </c>
      <c r="U11" s="3" t="s">
        <v>202</v>
      </c>
    </row>
    <row r="12" ht="16.5" spans="1:21">
      <c r="A12" s="3">
        <v>11</v>
      </c>
      <c r="B12" s="3" t="s">
        <v>203</v>
      </c>
      <c r="C12" s="3" t="s">
        <v>204</v>
      </c>
      <c r="D12" s="3" t="s">
        <v>125</v>
      </c>
      <c r="E12" s="3" t="s">
        <v>205</v>
      </c>
      <c r="F12" s="3" t="s">
        <v>74</v>
      </c>
      <c r="G12" s="3" t="s">
        <v>206</v>
      </c>
      <c r="H12" s="3" t="s">
        <v>197</v>
      </c>
      <c r="I12" s="3" t="s">
        <v>198</v>
      </c>
      <c r="J12" s="3" t="s">
        <v>152</v>
      </c>
      <c r="K12" s="3" t="s">
        <v>207</v>
      </c>
      <c r="L12" s="3" t="s">
        <v>132</v>
      </c>
      <c r="M12" s="3" t="s">
        <v>208</v>
      </c>
      <c r="N12" s="3" t="s">
        <v>209</v>
      </c>
      <c r="O12" s="3" t="s">
        <v>188</v>
      </c>
      <c r="P12" s="3" t="s">
        <v>136</v>
      </c>
      <c r="Q12" s="3" t="s">
        <v>137</v>
      </c>
      <c r="R12" s="3" t="s">
        <v>190</v>
      </c>
      <c r="S12" s="3" t="s">
        <v>200</v>
      </c>
      <c r="T12" s="3" t="s">
        <v>207</v>
      </c>
      <c r="U12" s="3" t="s">
        <v>210</v>
      </c>
    </row>
    <row r="13" ht="16.5" spans="1:21">
      <c r="A13" s="3">
        <v>12</v>
      </c>
      <c r="B13" s="3" t="s">
        <v>211</v>
      </c>
      <c r="C13" s="3" t="s">
        <v>212</v>
      </c>
      <c r="D13" s="3" t="s">
        <v>125</v>
      </c>
      <c r="E13" s="3" t="s">
        <v>132</v>
      </c>
      <c r="F13" s="3" t="s">
        <v>74</v>
      </c>
      <c r="G13" s="3" t="s">
        <v>213</v>
      </c>
      <c r="H13" s="3" t="s">
        <v>214</v>
      </c>
      <c r="I13" s="3" t="s">
        <v>215</v>
      </c>
      <c r="J13" s="3" t="s">
        <v>216</v>
      </c>
      <c r="K13" s="3" t="s">
        <v>131</v>
      </c>
      <c r="L13" s="3" t="s">
        <v>132</v>
      </c>
      <c r="M13" s="3" t="s">
        <v>145</v>
      </c>
      <c r="N13" s="3" t="s">
        <v>134</v>
      </c>
      <c r="O13" s="3" t="s">
        <v>135</v>
      </c>
      <c r="P13" s="3" t="s">
        <v>136</v>
      </c>
      <c r="Q13" s="3" t="s">
        <v>137</v>
      </c>
      <c r="R13" s="3" t="s">
        <v>138</v>
      </c>
      <c r="S13" s="3" t="s">
        <v>146</v>
      </c>
      <c r="T13" s="3" t="s">
        <v>131</v>
      </c>
      <c r="U13" s="3" t="s">
        <v>132</v>
      </c>
    </row>
    <row r="14" ht="16.5" spans="1:21">
      <c r="A14" s="3">
        <v>13</v>
      </c>
      <c r="B14" s="3" t="s">
        <v>217</v>
      </c>
      <c r="C14" s="3" t="s">
        <v>218</v>
      </c>
      <c r="D14" s="3" t="s">
        <v>125</v>
      </c>
      <c r="E14" s="3" t="s">
        <v>132</v>
      </c>
      <c r="F14" s="3" t="s">
        <v>74</v>
      </c>
      <c r="G14" s="3" t="s">
        <v>219</v>
      </c>
      <c r="H14" s="3" t="s">
        <v>220</v>
      </c>
      <c r="I14" s="3" t="s">
        <v>215</v>
      </c>
      <c r="J14" s="3" t="s">
        <v>216</v>
      </c>
      <c r="K14" s="3" t="s">
        <v>131</v>
      </c>
      <c r="L14" s="3" t="s">
        <v>132</v>
      </c>
      <c r="M14" s="3" t="s">
        <v>145</v>
      </c>
      <c r="N14" s="3" t="s">
        <v>134</v>
      </c>
      <c r="O14" s="3" t="s">
        <v>135</v>
      </c>
      <c r="P14" s="3" t="s">
        <v>136</v>
      </c>
      <c r="Q14" s="3" t="s">
        <v>137</v>
      </c>
      <c r="R14" s="3" t="s">
        <v>138</v>
      </c>
      <c r="S14" s="3" t="s">
        <v>146</v>
      </c>
      <c r="T14" s="3" t="s">
        <v>131</v>
      </c>
      <c r="U14" s="3" t="s">
        <v>132</v>
      </c>
    </row>
    <row r="15" ht="16.5" spans="1:21">
      <c r="A15" s="3">
        <v>14</v>
      </c>
      <c r="B15" s="3" t="s">
        <v>221</v>
      </c>
      <c r="C15" s="3" t="s">
        <v>222</v>
      </c>
      <c r="D15" s="3" t="s">
        <v>125</v>
      </c>
      <c r="E15" s="3" t="s">
        <v>132</v>
      </c>
      <c r="F15" s="3" t="s">
        <v>74</v>
      </c>
      <c r="G15" s="3" t="s">
        <v>223</v>
      </c>
      <c r="H15" s="3" t="s">
        <v>224</v>
      </c>
      <c r="I15" s="3" t="s">
        <v>129</v>
      </c>
      <c r="J15" s="3" t="s">
        <v>130</v>
      </c>
      <c r="K15" s="3" t="s">
        <v>131</v>
      </c>
      <c r="L15" s="3" t="s">
        <v>132</v>
      </c>
      <c r="M15" s="3" t="s">
        <v>145</v>
      </c>
      <c r="N15" s="3" t="s">
        <v>225</v>
      </c>
      <c r="O15" s="3" t="s">
        <v>226</v>
      </c>
      <c r="P15" s="3" t="s">
        <v>136</v>
      </c>
      <c r="Q15" s="3" t="s">
        <v>137</v>
      </c>
      <c r="R15" s="3" t="s">
        <v>190</v>
      </c>
      <c r="S15" s="3" t="s">
        <v>146</v>
      </c>
      <c r="T15" s="3" t="s">
        <v>131</v>
      </c>
      <c r="U15" s="3" t="s">
        <v>227</v>
      </c>
    </row>
    <row r="16" ht="33" spans="1:21">
      <c r="A16" s="3">
        <v>15</v>
      </c>
      <c r="B16" s="3" t="s">
        <v>228</v>
      </c>
      <c r="C16" s="3" t="s">
        <v>229</v>
      </c>
      <c r="D16" s="3" t="s">
        <v>125</v>
      </c>
      <c r="E16" s="3" t="s">
        <v>230</v>
      </c>
      <c r="F16" s="3" t="s">
        <v>65</v>
      </c>
      <c r="G16" s="3" t="s">
        <v>231</v>
      </c>
      <c r="H16" s="3" t="s">
        <v>232</v>
      </c>
      <c r="I16" s="3" t="s">
        <v>198</v>
      </c>
      <c r="J16" s="3" t="s">
        <v>152</v>
      </c>
      <c r="K16" s="3" t="s">
        <v>131</v>
      </c>
      <c r="L16" s="3" t="s">
        <v>132</v>
      </c>
      <c r="M16" s="3" t="s">
        <v>233</v>
      </c>
      <c r="N16" s="3" t="s">
        <v>234</v>
      </c>
      <c r="O16" s="3" t="s">
        <v>235</v>
      </c>
      <c r="P16" s="3" t="s">
        <v>236</v>
      </c>
      <c r="Q16" s="3" t="s">
        <v>137</v>
      </c>
      <c r="R16" s="3" t="s">
        <v>190</v>
      </c>
      <c r="S16" s="3" t="s">
        <v>237</v>
      </c>
      <c r="T16" s="3" t="s">
        <v>238</v>
      </c>
      <c r="U16" s="3" t="s">
        <v>239</v>
      </c>
    </row>
    <row r="17" ht="16.5" spans="1:21">
      <c r="A17" s="3">
        <v>16</v>
      </c>
      <c r="B17" s="3" t="s">
        <v>240</v>
      </c>
      <c r="C17" s="3" t="s">
        <v>241</v>
      </c>
      <c r="D17" s="3" t="s">
        <v>125</v>
      </c>
      <c r="E17" s="3" t="s">
        <v>132</v>
      </c>
      <c r="F17" s="3" t="s">
        <v>65</v>
      </c>
      <c r="G17" s="3" t="s">
        <v>242</v>
      </c>
      <c r="H17" s="3" t="s">
        <v>232</v>
      </c>
      <c r="I17" s="3" t="s">
        <v>198</v>
      </c>
      <c r="J17" s="3" t="s">
        <v>152</v>
      </c>
      <c r="K17" s="3" t="s">
        <v>131</v>
      </c>
      <c r="L17" s="3" t="s">
        <v>132</v>
      </c>
      <c r="M17" s="3" t="s">
        <v>233</v>
      </c>
      <c r="N17" s="3" t="s">
        <v>243</v>
      </c>
      <c r="O17" s="3" t="s">
        <v>235</v>
      </c>
      <c r="P17" s="3" t="s">
        <v>236</v>
      </c>
      <c r="Q17" s="3" t="s">
        <v>137</v>
      </c>
      <c r="R17" s="3" t="s">
        <v>190</v>
      </c>
      <c r="S17" s="3" t="s">
        <v>244</v>
      </c>
      <c r="T17" s="3" t="s">
        <v>131</v>
      </c>
      <c r="U17" s="3" t="s">
        <v>245</v>
      </c>
    </row>
    <row r="18" ht="16.5" spans="1:21">
      <c r="A18" s="3">
        <v>17</v>
      </c>
      <c r="B18" s="3" t="s">
        <v>246</v>
      </c>
      <c r="C18" s="3" t="s">
        <v>247</v>
      </c>
      <c r="D18" s="3" t="s">
        <v>125</v>
      </c>
      <c r="E18" s="3" t="s">
        <v>132</v>
      </c>
      <c r="F18" s="3" t="s">
        <v>65</v>
      </c>
      <c r="G18" s="3" t="s">
        <v>248</v>
      </c>
      <c r="H18" s="3" t="s">
        <v>232</v>
      </c>
      <c r="I18" s="3" t="s">
        <v>198</v>
      </c>
      <c r="J18" s="3" t="s">
        <v>152</v>
      </c>
      <c r="K18" s="3" t="s">
        <v>131</v>
      </c>
      <c r="L18" s="3" t="s">
        <v>132</v>
      </c>
      <c r="M18" s="3" t="s">
        <v>249</v>
      </c>
      <c r="N18" s="3" t="s">
        <v>250</v>
      </c>
      <c r="O18" s="3" t="s">
        <v>251</v>
      </c>
      <c r="P18" s="3" t="s">
        <v>136</v>
      </c>
      <c r="Q18" s="3" t="s">
        <v>137</v>
      </c>
      <c r="R18" s="3" t="s">
        <v>190</v>
      </c>
      <c r="S18" s="3" t="s">
        <v>252</v>
      </c>
      <c r="T18" s="3" t="s">
        <v>253</v>
      </c>
      <c r="U18" s="3" t="s">
        <v>254</v>
      </c>
    </row>
    <row r="19" ht="16.5" spans="1:21">
      <c r="A19" s="3">
        <v>18</v>
      </c>
      <c r="B19" s="3" t="s">
        <v>255</v>
      </c>
      <c r="C19" s="3" t="s">
        <v>256</v>
      </c>
      <c r="D19" s="3" t="s">
        <v>125</v>
      </c>
      <c r="E19" s="3" t="s">
        <v>132</v>
      </c>
      <c r="F19" s="3" t="s">
        <v>65</v>
      </c>
      <c r="G19" s="3" t="s">
        <v>257</v>
      </c>
      <c r="H19" s="3" t="s">
        <v>258</v>
      </c>
      <c r="I19" s="3" t="s">
        <v>198</v>
      </c>
      <c r="J19" s="3" t="s">
        <v>152</v>
      </c>
      <c r="K19" s="3" t="s">
        <v>131</v>
      </c>
      <c r="L19" s="3" t="s">
        <v>132</v>
      </c>
      <c r="M19" s="3" t="s">
        <v>249</v>
      </c>
      <c r="N19" s="3" t="s">
        <v>259</v>
      </c>
      <c r="O19" s="3" t="s">
        <v>251</v>
      </c>
      <c r="P19" s="3" t="s">
        <v>136</v>
      </c>
      <c r="Q19" s="3" t="s">
        <v>153</v>
      </c>
      <c r="R19" s="3" t="s">
        <v>190</v>
      </c>
      <c r="S19" s="3" t="s">
        <v>260</v>
      </c>
      <c r="T19" s="3" t="s">
        <v>131</v>
      </c>
      <c r="U19" s="3" t="s">
        <v>261</v>
      </c>
    </row>
    <row r="20" ht="16.5" spans="1:21">
      <c r="A20" s="3">
        <v>19</v>
      </c>
      <c r="B20" s="3" t="s">
        <v>262</v>
      </c>
      <c r="C20" s="3" t="s">
        <v>263</v>
      </c>
      <c r="D20" s="3" t="s">
        <v>125</v>
      </c>
      <c r="E20" s="3" t="s">
        <v>264</v>
      </c>
      <c r="F20" s="3" t="s">
        <v>65</v>
      </c>
      <c r="G20" s="3" t="s">
        <v>265</v>
      </c>
      <c r="H20" s="3" t="s">
        <v>232</v>
      </c>
      <c r="I20" s="3" t="s">
        <v>198</v>
      </c>
      <c r="J20" s="3" t="s">
        <v>152</v>
      </c>
      <c r="K20" s="3" t="s">
        <v>131</v>
      </c>
      <c r="L20" s="3" t="s">
        <v>132</v>
      </c>
      <c r="M20" s="3" t="s">
        <v>145</v>
      </c>
      <c r="N20" s="3" t="s">
        <v>266</v>
      </c>
      <c r="O20" s="3" t="s">
        <v>267</v>
      </c>
      <c r="P20" s="3" t="s">
        <v>136</v>
      </c>
      <c r="Q20" s="3" t="s">
        <v>137</v>
      </c>
      <c r="R20" s="3" t="s">
        <v>190</v>
      </c>
      <c r="S20" s="3" t="s">
        <v>268</v>
      </c>
      <c r="T20" s="3" t="s">
        <v>253</v>
      </c>
      <c r="U20" s="3" t="s">
        <v>269</v>
      </c>
    </row>
    <row r="21" ht="33" spans="1:21">
      <c r="A21" s="3">
        <v>20</v>
      </c>
      <c r="B21" s="3" t="s">
        <v>270</v>
      </c>
      <c r="C21" s="3" t="s">
        <v>271</v>
      </c>
      <c r="D21" s="3" t="s">
        <v>125</v>
      </c>
      <c r="E21" s="3" t="s">
        <v>272</v>
      </c>
      <c r="F21" s="3" t="s">
        <v>65</v>
      </c>
      <c r="G21" s="3" t="s">
        <v>273</v>
      </c>
      <c r="H21" s="3" t="s">
        <v>274</v>
      </c>
      <c r="I21" s="3" t="s">
        <v>198</v>
      </c>
      <c r="J21" s="3" t="s">
        <v>152</v>
      </c>
      <c r="K21" s="3" t="s">
        <v>131</v>
      </c>
      <c r="L21" s="3" t="s">
        <v>132</v>
      </c>
      <c r="M21" s="3" t="s">
        <v>275</v>
      </c>
      <c r="N21" s="3" t="s">
        <v>276</v>
      </c>
      <c r="O21" s="3" t="s">
        <v>277</v>
      </c>
      <c r="P21" s="3" t="s">
        <v>236</v>
      </c>
      <c r="Q21" s="3" t="s">
        <v>137</v>
      </c>
      <c r="R21" s="3" t="s">
        <v>190</v>
      </c>
      <c r="S21" s="3" t="s">
        <v>278</v>
      </c>
      <c r="T21" s="3" t="s">
        <v>131</v>
      </c>
      <c r="U21" s="3" t="s">
        <v>279</v>
      </c>
    </row>
    <row r="22" ht="33" spans="1:21">
      <c r="A22" s="3">
        <v>21</v>
      </c>
      <c r="B22" s="3" t="s">
        <v>280</v>
      </c>
      <c r="C22" s="3" t="s">
        <v>281</v>
      </c>
      <c r="D22" s="3" t="s">
        <v>125</v>
      </c>
      <c r="E22" s="3" t="s">
        <v>282</v>
      </c>
      <c r="F22" s="3" t="s">
        <v>65</v>
      </c>
      <c r="G22" s="3" t="s">
        <v>283</v>
      </c>
      <c r="H22" s="3" t="s">
        <v>284</v>
      </c>
      <c r="I22" s="3" t="s">
        <v>215</v>
      </c>
      <c r="J22" s="3" t="s">
        <v>216</v>
      </c>
      <c r="K22" s="3" t="s">
        <v>131</v>
      </c>
      <c r="L22" s="3" t="s">
        <v>132</v>
      </c>
      <c r="M22" s="3" t="s">
        <v>285</v>
      </c>
      <c r="N22" s="3" t="s">
        <v>286</v>
      </c>
      <c r="O22" s="3" t="s">
        <v>277</v>
      </c>
      <c r="P22" s="3" t="s">
        <v>236</v>
      </c>
      <c r="Q22" s="3" t="s">
        <v>137</v>
      </c>
      <c r="R22" s="3" t="s">
        <v>190</v>
      </c>
      <c r="S22" s="3" t="s">
        <v>287</v>
      </c>
      <c r="T22" s="3" t="s">
        <v>131</v>
      </c>
      <c r="U22" s="3" t="s">
        <v>288</v>
      </c>
    </row>
    <row r="23" ht="16.5" spans="1:21">
      <c r="A23" s="3">
        <v>22</v>
      </c>
      <c r="B23" s="3" t="s">
        <v>289</v>
      </c>
      <c r="C23" s="3" t="s">
        <v>290</v>
      </c>
      <c r="D23" s="3" t="s">
        <v>125</v>
      </c>
      <c r="E23" s="3" t="s">
        <v>132</v>
      </c>
      <c r="F23" s="3" t="s">
        <v>65</v>
      </c>
      <c r="G23" s="3" t="s">
        <v>291</v>
      </c>
      <c r="H23" s="3" t="s">
        <v>220</v>
      </c>
      <c r="I23" s="3" t="s">
        <v>215</v>
      </c>
      <c r="J23" s="3" t="s">
        <v>216</v>
      </c>
      <c r="K23" s="3" t="s">
        <v>131</v>
      </c>
      <c r="L23" s="3" t="s">
        <v>132</v>
      </c>
      <c r="M23" s="3" t="s">
        <v>145</v>
      </c>
      <c r="N23" s="3" t="s">
        <v>292</v>
      </c>
      <c r="O23" s="3" t="s">
        <v>135</v>
      </c>
      <c r="P23" s="3" t="s">
        <v>136</v>
      </c>
      <c r="Q23" s="3" t="s">
        <v>137</v>
      </c>
      <c r="R23" s="3" t="s">
        <v>190</v>
      </c>
      <c r="S23" s="3" t="s">
        <v>293</v>
      </c>
      <c r="T23" s="3" t="s">
        <v>131</v>
      </c>
      <c r="U23" s="3" t="s">
        <v>294</v>
      </c>
    </row>
    <row r="24" ht="33" spans="1:21">
      <c r="A24" s="3">
        <v>23</v>
      </c>
      <c r="B24" s="3" t="s">
        <v>295</v>
      </c>
      <c r="C24" s="3" t="s">
        <v>296</v>
      </c>
      <c r="D24" s="3" t="s">
        <v>125</v>
      </c>
      <c r="E24" s="3" t="s">
        <v>132</v>
      </c>
      <c r="F24" s="3" t="s">
        <v>65</v>
      </c>
      <c r="G24" s="3" t="s">
        <v>297</v>
      </c>
      <c r="H24" s="3" t="s">
        <v>220</v>
      </c>
      <c r="I24" s="3" t="s">
        <v>215</v>
      </c>
      <c r="J24" s="3" t="s">
        <v>216</v>
      </c>
      <c r="K24" s="3" t="s">
        <v>131</v>
      </c>
      <c r="L24" s="3" t="s">
        <v>132</v>
      </c>
      <c r="M24" s="3" t="s">
        <v>298</v>
      </c>
      <c r="N24" s="3" t="s">
        <v>299</v>
      </c>
      <c r="O24" s="3" t="s">
        <v>277</v>
      </c>
      <c r="P24" s="3" t="s">
        <v>136</v>
      </c>
      <c r="Q24" s="3" t="s">
        <v>137</v>
      </c>
      <c r="R24" s="3" t="s">
        <v>190</v>
      </c>
      <c r="S24" s="3" t="s">
        <v>300</v>
      </c>
      <c r="T24" s="3" t="s">
        <v>131</v>
      </c>
      <c r="U24" s="3" t="s">
        <v>132</v>
      </c>
    </row>
    <row r="25" ht="16.5" spans="1:21">
      <c r="A25" s="3">
        <v>24</v>
      </c>
      <c r="B25" s="3" t="s">
        <v>301</v>
      </c>
      <c r="C25" s="3" t="s">
        <v>302</v>
      </c>
      <c r="D25" s="3" t="s">
        <v>125</v>
      </c>
      <c r="E25" s="3" t="s">
        <v>132</v>
      </c>
      <c r="F25" s="3" t="s">
        <v>65</v>
      </c>
      <c r="G25" s="3" t="s">
        <v>303</v>
      </c>
      <c r="H25" s="3" t="s">
        <v>284</v>
      </c>
      <c r="I25" s="3" t="s">
        <v>129</v>
      </c>
      <c r="J25" s="3" t="s">
        <v>130</v>
      </c>
      <c r="K25" s="3" t="s">
        <v>131</v>
      </c>
      <c r="L25" s="3" t="s">
        <v>132</v>
      </c>
      <c r="M25" s="3" t="s">
        <v>249</v>
      </c>
      <c r="N25" s="3" t="s">
        <v>304</v>
      </c>
      <c r="O25" s="3" t="s">
        <v>251</v>
      </c>
      <c r="P25" s="3" t="s">
        <v>136</v>
      </c>
      <c r="Q25" s="3" t="s">
        <v>137</v>
      </c>
      <c r="R25" s="3" t="s">
        <v>190</v>
      </c>
      <c r="S25" s="3" t="s">
        <v>305</v>
      </c>
      <c r="T25" s="3" t="s">
        <v>131</v>
      </c>
      <c r="U25" s="3" t="s">
        <v>132</v>
      </c>
    </row>
    <row r="26" ht="16.5" spans="1:21">
      <c r="A26" s="3">
        <v>25</v>
      </c>
      <c r="B26" s="3" t="s">
        <v>306</v>
      </c>
      <c r="C26" s="3" t="s">
        <v>307</v>
      </c>
      <c r="D26" s="3" t="s">
        <v>125</v>
      </c>
      <c r="E26" s="3" t="s">
        <v>132</v>
      </c>
      <c r="F26" s="3" t="s">
        <v>65</v>
      </c>
      <c r="G26" s="3" t="s">
        <v>308</v>
      </c>
      <c r="H26" s="3" t="s">
        <v>284</v>
      </c>
      <c r="I26" s="3" t="s">
        <v>129</v>
      </c>
      <c r="J26" s="3" t="s">
        <v>130</v>
      </c>
      <c r="K26" s="3" t="s">
        <v>131</v>
      </c>
      <c r="L26" s="3" t="s">
        <v>132</v>
      </c>
      <c r="M26" s="3" t="s">
        <v>249</v>
      </c>
      <c r="N26" s="3" t="s">
        <v>304</v>
      </c>
      <c r="O26" s="3" t="s">
        <v>251</v>
      </c>
      <c r="P26" s="3" t="s">
        <v>136</v>
      </c>
      <c r="Q26" s="3" t="s">
        <v>137</v>
      </c>
      <c r="R26" s="3" t="s">
        <v>190</v>
      </c>
      <c r="S26" s="3" t="s">
        <v>305</v>
      </c>
      <c r="T26" s="3" t="s">
        <v>131</v>
      </c>
      <c r="U26" s="3" t="s">
        <v>132</v>
      </c>
    </row>
    <row r="27" ht="16.5" spans="1:21">
      <c r="A27" s="3">
        <v>26</v>
      </c>
      <c r="B27" s="3" t="s">
        <v>309</v>
      </c>
      <c r="C27" s="3" t="s">
        <v>310</v>
      </c>
      <c r="D27" s="3" t="s">
        <v>125</v>
      </c>
      <c r="E27" s="3" t="s">
        <v>132</v>
      </c>
      <c r="F27" s="3" t="s">
        <v>65</v>
      </c>
      <c r="G27" s="3" t="s">
        <v>311</v>
      </c>
      <c r="H27" s="3" t="s">
        <v>284</v>
      </c>
      <c r="I27" s="3" t="s">
        <v>129</v>
      </c>
      <c r="J27" s="3" t="s">
        <v>130</v>
      </c>
      <c r="K27" s="3" t="s">
        <v>131</v>
      </c>
      <c r="L27" s="3" t="s">
        <v>132</v>
      </c>
      <c r="M27" s="3" t="s">
        <v>249</v>
      </c>
      <c r="N27" s="3" t="s">
        <v>304</v>
      </c>
      <c r="O27" s="3" t="s">
        <v>251</v>
      </c>
      <c r="P27" s="3" t="s">
        <v>136</v>
      </c>
      <c r="Q27" s="3" t="s">
        <v>137</v>
      </c>
      <c r="R27" s="3" t="s">
        <v>190</v>
      </c>
      <c r="S27" s="3" t="s">
        <v>305</v>
      </c>
      <c r="T27" s="3" t="s">
        <v>131</v>
      </c>
      <c r="U27" s="3" t="s">
        <v>132</v>
      </c>
    </row>
    <row r="28" ht="33" spans="1:21">
      <c r="A28" s="3">
        <v>27</v>
      </c>
      <c r="B28" s="3" t="s">
        <v>5</v>
      </c>
      <c r="C28" s="3" t="s">
        <v>312</v>
      </c>
      <c r="D28" s="3" t="s">
        <v>125</v>
      </c>
      <c r="E28" s="3" t="s">
        <v>313</v>
      </c>
      <c r="F28" s="3" t="s">
        <v>65</v>
      </c>
      <c r="G28" s="3" t="s">
        <v>314</v>
      </c>
      <c r="H28" s="3" t="s">
        <v>315</v>
      </c>
      <c r="I28" s="3" t="s">
        <v>129</v>
      </c>
      <c r="J28" s="3" t="s">
        <v>130</v>
      </c>
      <c r="K28" s="3" t="s">
        <v>131</v>
      </c>
      <c r="L28" s="3" t="s">
        <v>132</v>
      </c>
      <c r="M28" s="3" t="s">
        <v>133</v>
      </c>
      <c r="N28" s="3" t="s">
        <v>134</v>
      </c>
      <c r="O28" s="3" t="s">
        <v>135</v>
      </c>
      <c r="P28" s="3" t="s">
        <v>136</v>
      </c>
      <c r="Q28" s="3" t="s">
        <v>137</v>
      </c>
      <c r="R28" s="3" t="s">
        <v>316</v>
      </c>
      <c r="S28" s="3" t="s">
        <v>317</v>
      </c>
      <c r="T28" s="3" t="s">
        <v>131</v>
      </c>
      <c r="U28" s="3" t="s">
        <v>318</v>
      </c>
    </row>
    <row r="29" ht="16.5" spans="1:21">
      <c r="A29" s="3">
        <v>28</v>
      </c>
      <c r="B29" s="3" t="s">
        <v>319</v>
      </c>
      <c r="C29" s="3" t="s">
        <v>320</v>
      </c>
      <c r="D29" s="3" t="s">
        <v>125</v>
      </c>
      <c r="E29" s="3" t="s">
        <v>321</v>
      </c>
      <c r="F29" s="3" t="s">
        <v>322</v>
      </c>
      <c r="G29" s="3" t="s">
        <v>323</v>
      </c>
      <c r="H29" s="3" t="s">
        <v>197</v>
      </c>
      <c r="I29" s="3" t="s">
        <v>198</v>
      </c>
      <c r="J29" s="3" t="s">
        <v>152</v>
      </c>
      <c r="K29" s="3" t="s">
        <v>324</v>
      </c>
      <c r="L29" s="3" t="s">
        <v>132</v>
      </c>
      <c r="M29" s="3" t="s">
        <v>145</v>
      </c>
      <c r="N29" s="3" t="s">
        <v>134</v>
      </c>
      <c r="O29" s="3" t="s">
        <v>135</v>
      </c>
      <c r="P29" s="3" t="s">
        <v>136</v>
      </c>
      <c r="Q29" s="3" t="s">
        <v>137</v>
      </c>
      <c r="R29" s="3" t="s">
        <v>138</v>
      </c>
      <c r="S29" s="3" t="s">
        <v>325</v>
      </c>
      <c r="T29" s="3" t="s">
        <v>326</v>
      </c>
      <c r="U29" s="3" t="s">
        <v>327</v>
      </c>
    </row>
    <row r="30" ht="33" spans="1:21">
      <c r="A30" s="3">
        <v>29</v>
      </c>
      <c r="B30" s="3" t="s">
        <v>328</v>
      </c>
      <c r="C30" s="3" t="s">
        <v>329</v>
      </c>
      <c r="D30" s="3" t="s">
        <v>125</v>
      </c>
      <c r="E30" s="3" t="s">
        <v>330</v>
      </c>
      <c r="F30" s="3" t="s">
        <v>65</v>
      </c>
      <c r="G30" s="3" t="s">
        <v>331</v>
      </c>
      <c r="H30" s="3" t="s">
        <v>332</v>
      </c>
      <c r="I30" s="3" t="s">
        <v>215</v>
      </c>
      <c r="J30" s="3" t="s">
        <v>216</v>
      </c>
      <c r="K30" s="3" t="s">
        <v>131</v>
      </c>
      <c r="L30" s="3" t="s">
        <v>132</v>
      </c>
      <c r="M30" s="3" t="s">
        <v>145</v>
      </c>
      <c r="N30" s="3" t="s">
        <v>333</v>
      </c>
      <c r="O30" s="3" t="s">
        <v>226</v>
      </c>
      <c r="P30" s="3" t="s">
        <v>136</v>
      </c>
      <c r="Q30" s="3" t="s">
        <v>137</v>
      </c>
      <c r="R30" s="3" t="s">
        <v>190</v>
      </c>
      <c r="S30" s="3" t="s">
        <v>325</v>
      </c>
      <c r="T30" s="3" t="s">
        <v>131</v>
      </c>
      <c r="U30" s="3" t="s">
        <v>334</v>
      </c>
    </row>
    <row r="31" ht="16.5" spans="1:21">
      <c r="A31" s="3">
        <v>30</v>
      </c>
      <c r="B31" s="3" t="s">
        <v>335</v>
      </c>
      <c r="C31" s="3" t="s">
        <v>336</v>
      </c>
      <c r="D31" s="3" t="s">
        <v>125</v>
      </c>
      <c r="E31" s="3" t="s">
        <v>337</v>
      </c>
      <c r="F31" s="3" t="s">
        <v>80</v>
      </c>
      <c r="G31" s="3" t="s">
        <v>338</v>
      </c>
      <c r="H31" s="3" t="s">
        <v>339</v>
      </c>
      <c r="I31" s="3" t="s">
        <v>184</v>
      </c>
      <c r="J31" s="3" t="s">
        <v>185</v>
      </c>
      <c r="K31" s="3" t="s">
        <v>207</v>
      </c>
      <c r="L31" s="3" t="s">
        <v>340</v>
      </c>
      <c r="M31" s="3" t="s">
        <v>341</v>
      </c>
      <c r="N31" s="3" t="s">
        <v>342</v>
      </c>
      <c r="O31" s="3" t="s">
        <v>343</v>
      </c>
      <c r="P31" s="3" t="s">
        <v>344</v>
      </c>
      <c r="Q31" s="3" t="s">
        <v>137</v>
      </c>
      <c r="R31" s="3" t="s">
        <v>138</v>
      </c>
      <c r="S31" s="3" t="s">
        <v>325</v>
      </c>
      <c r="T31" s="3" t="s">
        <v>207</v>
      </c>
      <c r="U31" s="3" t="s">
        <v>345</v>
      </c>
    </row>
    <row r="32" ht="16.5" spans="1:21">
      <c r="A32" s="3">
        <v>31</v>
      </c>
      <c r="B32" s="3" t="s">
        <v>346</v>
      </c>
      <c r="C32" s="3" t="s">
        <v>347</v>
      </c>
      <c r="D32" s="3" t="s">
        <v>125</v>
      </c>
      <c r="E32" s="3" t="s">
        <v>348</v>
      </c>
      <c r="F32" s="3" t="s">
        <v>65</v>
      </c>
      <c r="G32" s="3" t="s">
        <v>349</v>
      </c>
      <c r="H32" s="3" t="s">
        <v>315</v>
      </c>
      <c r="I32" s="3" t="s">
        <v>129</v>
      </c>
      <c r="J32" s="3" t="s">
        <v>130</v>
      </c>
      <c r="K32" s="3" t="s">
        <v>131</v>
      </c>
      <c r="L32" s="3" t="s">
        <v>132</v>
      </c>
      <c r="M32" s="3" t="s">
        <v>145</v>
      </c>
      <c r="N32" s="3" t="s">
        <v>350</v>
      </c>
      <c r="O32" s="3" t="s">
        <v>135</v>
      </c>
      <c r="P32" s="3" t="s">
        <v>136</v>
      </c>
      <c r="Q32" s="3" t="s">
        <v>137</v>
      </c>
      <c r="R32" s="3" t="s">
        <v>190</v>
      </c>
      <c r="S32" s="3" t="s">
        <v>260</v>
      </c>
      <c r="T32" s="3" t="s">
        <v>351</v>
      </c>
      <c r="U32" s="3" t="s">
        <v>352</v>
      </c>
    </row>
    <row r="33" ht="16.5" spans="1:21">
      <c r="A33" s="3">
        <v>32</v>
      </c>
      <c r="B33" s="3" t="s">
        <v>353</v>
      </c>
      <c r="C33" s="3" t="s">
        <v>354</v>
      </c>
      <c r="D33" s="3" t="s">
        <v>125</v>
      </c>
      <c r="E33" s="3" t="s">
        <v>355</v>
      </c>
      <c r="F33" s="3" t="s">
        <v>65</v>
      </c>
      <c r="G33" s="3" t="s">
        <v>356</v>
      </c>
      <c r="H33" s="3" t="s">
        <v>315</v>
      </c>
      <c r="I33" s="3" t="s">
        <v>129</v>
      </c>
      <c r="J33" s="3" t="s">
        <v>130</v>
      </c>
      <c r="K33" s="3" t="s">
        <v>131</v>
      </c>
      <c r="L33" s="3" t="s">
        <v>132</v>
      </c>
      <c r="M33" s="3" t="s">
        <v>145</v>
      </c>
      <c r="N33" s="3" t="s">
        <v>134</v>
      </c>
      <c r="O33" s="3" t="s">
        <v>135</v>
      </c>
      <c r="P33" s="3" t="s">
        <v>136</v>
      </c>
      <c r="Q33" s="3" t="s">
        <v>137</v>
      </c>
      <c r="R33" s="3" t="s">
        <v>138</v>
      </c>
      <c r="S33" s="3" t="s">
        <v>260</v>
      </c>
      <c r="T33" s="3" t="s">
        <v>131</v>
      </c>
      <c r="U33" s="3" t="s">
        <v>357</v>
      </c>
    </row>
    <row r="34" ht="33" spans="1:21">
      <c r="A34" s="3">
        <v>33</v>
      </c>
      <c r="B34" s="3" t="s">
        <v>358</v>
      </c>
      <c r="C34" s="3" t="s">
        <v>359</v>
      </c>
      <c r="D34" s="3" t="s">
        <v>125</v>
      </c>
      <c r="E34" s="3" t="s">
        <v>360</v>
      </c>
      <c r="F34" s="3" t="s">
        <v>65</v>
      </c>
      <c r="G34" s="3" t="s">
        <v>361</v>
      </c>
      <c r="H34" s="3" t="s">
        <v>315</v>
      </c>
      <c r="I34" s="3" t="s">
        <v>129</v>
      </c>
      <c r="J34" s="3" t="s">
        <v>130</v>
      </c>
      <c r="K34" s="3" t="s">
        <v>131</v>
      </c>
      <c r="L34" s="3" t="s">
        <v>132</v>
      </c>
      <c r="M34" s="3" t="s">
        <v>145</v>
      </c>
      <c r="N34" s="3" t="s">
        <v>134</v>
      </c>
      <c r="O34" s="3" t="s">
        <v>135</v>
      </c>
      <c r="P34" s="3" t="s">
        <v>136</v>
      </c>
      <c r="Q34" s="3" t="s">
        <v>137</v>
      </c>
      <c r="R34" s="3" t="s">
        <v>138</v>
      </c>
      <c r="S34" s="3" t="s">
        <v>260</v>
      </c>
      <c r="T34" s="3" t="s">
        <v>131</v>
      </c>
      <c r="U34" s="3" t="s">
        <v>362</v>
      </c>
    </row>
    <row r="35" ht="16.5" spans="1:21">
      <c r="A35" s="3">
        <v>34</v>
      </c>
      <c r="B35" s="3" t="s">
        <v>363</v>
      </c>
      <c r="C35" s="3" t="s">
        <v>364</v>
      </c>
      <c r="D35" s="3" t="s">
        <v>125</v>
      </c>
      <c r="E35" s="3" t="s">
        <v>365</v>
      </c>
      <c r="F35" s="3" t="s">
        <v>65</v>
      </c>
      <c r="G35" s="3" t="s">
        <v>366</v>
      </c>
      <c r="H35" s="3" t="s">
        <v>232</v>
      </c>
      <c r="I35" s="3" t="s">
        <v>198</v>
      </c>
      <c r="J35" s="3" t="s">
        <v>152</v>
      </c>
      <c r="K35" s="3" t="s">
        <v>131</v>
      </c>
      <c r="L35" s="3" t="s">
        <v>132</v>
      </c>
      <c r="M35" s="3" t="s">
        <v>145</v>
      </c>
      <c r="N35" s="3" t="s">
        <v>234</v>
      </c>
      <c r="O35" s="3" t="s">
        <v>235</v>
      </c>
      <c r="P35" s="3" t="s">
        <v>136</v>
      </c>
      <c r="Q35" s="3" t="s">
        <v>137</v>
      </c>
      <c r="R35" s="3" t="s">
        <v>190</v>
      </c>
      <c r="S35" s="3" t="s">
        <v>268</v>
      </c>
      <c r="T35" s="3" t="s">
        <v>131</v>
      </c>
      <c r="U35" s="3" t="s">
        <v>367</v>
      </c>
    </row>
    <row r="36" ht="33" spans="1:21">
      <c r="A36" s="3">
        <v>35</v>
      </c>
      <c r="B36" s="3" t="s">
        <v>368</v>
      </c>
      <c r="C36" s="3" t="s">
        <v>369</v>
      </c>
      <c r="D36" s="3" t="s">
        <v>125</v>
      </c>
      <c r="E36" s="3" t="s">
        <v>370</v>
      </c>
      <c r="F36" s="3" t="s">
        <v>65</v>
      </c>
      <c r="G36" s="3" t="s">
        <v>371</v>
      </c>
      <c r="H36" s="3" t="s">
        <v>232</v>
      </c>
      <c r="I36" s="3" t="s">
        <v>198</v>
      </c>
      <c r="J36" s="3" t="s">
        <v>152</v>
      </c>
      <c r="K36" s="3" t="s">
        <v>131</v>
      </c>
      <c r="L36" s="3" t="s">
        <v>132</v>
      </c>
      <c r="M36" s="3" t="s">
        <v>372</v>
      </c>
      <c r="N36" s="3" t="s">
        <v>373</v>
      </c>
      <c r="O36" s="3" t="s">
        <v>235</v>
      </c>
      <c r="P36" s="3" t="s">
        <v>236</v>
      </c>
      <c r="Q36" s="3" t="s">
        <v>137</v>
      </c>
      <c r="R36" s="3" t="s">
        <v>190</v>
      </c>
      <c r="S36" s="3" t="s">
        <v>374</v>
      </c>
      <c r="T36" s="3" t="s">
        <v>375</v>
      </c>
      <c r="U36" s="3" t="s">
        <v>376</v>
      </c>
    </row>
    <row r="37" ht="33" spans="1:21">
      <c r="A37" s="3">
        <v>36</v>
      </c>
      <c r="B37" s="3" t="s">
        <v>377</v>
      </c>
      <c r="C37" s="3" t="s">
        <v>378</v>
      </c>
      <c r="D37" s="3" t="s">
        <v>125</v>
      </c>
      <c r="E37" s="3" t="s">
        <v>379</v>
      </c>
      <c r="F37" s="3" t="s">
        <v>65</v>
      </c>
      <c r="G37" s="3" t="s">
        <v>380</v>
      </c>
      <c r="H37" s="3" t="s">
        <v>381</v>
      </c>
      <c r="I37" s="3" t="s">
        <v>215</v>
      </c>
      <c r="J37" s="3" t="s">
        <v>216</v>
      </c>
      <c r="K37" s="3" t="s">
        <v>131</v>
      </c>
      <c r="L37" s="3" t="s">
        <v>132</v>
      </c>
      <c r="M37" s="3" t="s">
        <v>372</v>
      </c>
      <c r="N37" s="3" t="s">
        <v>382</v>
      </c>
      <c r="O37" s="3" t="s">
        <v>235</v>
      </c>
      <c r="P37" s="3" t="s">
        <v>236</v>
      </c>
      <c r="Q37" s="3" t="s">
        <v>153</v>
      </c>
      <c r="R37" s="3" t="s">
        <v>190</v>
      </c>
      <c r="S37" s="3" t="s">
        <v>287</v>
      </c>
      <c r="T37" s="3" t="s">
        <v>131</v>
      </c>
      <c r="U37" s="3" t="s">
        <v>383</v>
      </c>
    </row>
    <row r="38" ht="16.5" spans="1:21">
      <c r="A38" s="3">
        <v>37</v>
      </c>
      <c r="B38" s="3" t="s">
        <v>384</v>
      </c>
      <c r="C38" s="3" t="s">
        <v>385</v>
      </c>
      <c r="D38" s="3" t="s">
        <v>125</v>
      </c>
      <c r="E38" s="3" t="s">
        <v>386</v>
      </c>
      <c r="F38" s="3" t="s">
        <v>65</v>
      </c>
      <c r="G38" s="3" t="s">
        <v>387</v>
      </c>
      <c r="H38" s="3" t="s">
        <v>274</v>
      </c>
      <c r="I38" s="3" t="s">
        <v>198</v>
      </c>
      <c r="J38" s="3" t="s">
        <v>152</v>
      </c>
      <c r="K38" s="3" t="s">
        <v>131</v>
      </c>
      <c r="L38" s="3" t="s">
        <v>132</v>
      </c>
      <c r="M38" s="3" t="s">
        <v>372</v>
      </c>
      <c r="N38" s="3" t="s">
        <v>388</v>
      </c>
      <c r="O38" s="3" t="s">
        <v>235</v>
      </c>
      <c r="P38" s="3" t="s">
        <v>236</v>
      </c>
      <c r="Q38" s="3" t="s">
        <v>153</v>
      </c>
      <c r="R38" s="3" t="s">
        <v>190</v>
      </c>
      <c r="S38" s="3" t="s">
        <v>389</v>
      </c>
      <c r="T38" s="3" t="s">
        <v>131</v>
      </c>
      <c r="U38" s="3" t="s">
        <v>132</v>
      </c>
    </row>
    <row r="39" ht="16.5" spans="1:21">
      <c r="A39" s="3">
        <v>38</v>
      </c>
      <c r="B39" s="3" t="s">
        <v>390</v>
      </c>
      <c r="C39" s="3" t="s">
        <v>391</v>
      </c>
      <c r="D39" s="3" t="s">
        <v>125</v>
      </c>
      <c r="E39" s="3" t="s">
        <v>392</v>
      </c>
      <c r="F39" s="3" t="s">
        <v>65</v>
      </c>
      <c r="G39" s="3" t="s">
        <v>393</v>
      </c>
      <c r="H39" s="3" t="s">
        <v>220</v>
      </c>
      <c r="I39" s="3" t="s">
        <v>215</v>
      </c>
      <c r="J39" s="3" t="s">
        <v>216</v>
      </c>
      <c r="K39" s="3" t="s">
        <v>131</v>
      </c>
      <c r="L39" s="3" t="s">
        <v>132</v>
      </c>
      <c r="M39" s="3" t="s">
        <v>372</v>
      </c>
      <c r="N39" s="3" t="s">
        <v>394</v>
      </c>
      <c r="O39" s="3" t="s">
        <v>235</v>
      </c>
      <c r="P39" s="3" t="s">
        <v>236</v>
      </c>
      <c r="Q39" s="3" t="s">
        <v>153</v>
      </c>
      <c r="R39" s="3" t="s">
        <v>190</v>
      </c>
      <c r="S39" s="3" t="s">
        <v>395</v>
      </c>
      <c r="T39" s="3" t="s">
        <v>131</v>
      </c>
      <c r="U39" s="3" t="s">
        <v>132</v>
      </c>
    </row>
    <row r="40" ht="33" spans="1:21">
      <c r="A40" s="3">
        <v>39</v>
      </c>
      <c r="B40" s="3" t="s">
        <v>396</v>
      </c>
      <c r="C40" s="3" t="s">
        <v>397</v>
      </c>
      <c r="D40" s="3" t="s">
        <v>125</v>
      </c>
      <c r="E40" s="3" t="s">
        <v>398</v>
      </c>
      <c r="F40" s="3" t="s">
        <v>65</v>
      </c>
      <c r="G40" s="3" t="s">
        <v>399</v>
      </c>
      <c r="H40" s="3" t="s">
        <v>315</v>
      </c>
      <c r="I40" s="3" t="s">
        <v>129</v>
      </c>
      <c r="J40" s="3" t="s">
        <v>130</v>
      </c>
      <c r="K40" s="3" t="s">
        <v>131</v>
      </c>
      <c r="L40" s="3" t="s">
        <v>132</v>
      </c>
      <c r="M40" s="3" t="s">
        <v>145</v>
      </c>
      <c r="N40" s="3" t="s">
        <v>134</v>
      </c>
      <c r="O40" s="3" t="s">
        <v>135</v>
      </c>
      <c r="P40" s="3" t="s">
        <v>136</v>
      </c>
      <c r="Q40" s="3" t="s">
        <v>137</v>
      </c>
      <c r="R40" s="3" t="s">
        <v>138</v>
      </c>
      <c r="S40" s="3" t="s">
        <v>400</v>
      </c>
      <c r="T40" s="3" t="s">
        <v>131</v>
      </c>
      <c r="U40" s="3" t="s">
        <v>401</v>
      </c>
    </row>
    <row r="41" ht="16.5" spans="1:21">
      <c r="A41" s="3">
        <v>40</v>
      </c>
      <c r="B41" s="3" t="s">
        <v>402</v>
      </c>
      <c r="C41" s="3" t="s">
        <v>403</v>
      </c>
      <c r="D41" s="3" t="s">
        <v>125</v>
      </c>
      <c r="E41" s="3" t="s">
        <v>404</v>
      </c>
      <c r="F41" s="3" t="s">
        <v>65</v>
      </c>
      <c r="G41" s="3" t="s">
        <v>405</v>
      </c>
      <c r="H41" s="3" t="s">
        <v>284</v>
      </c>
      <c r="I41" s="3" t="s">
        <v>215</v>
      </c>
      <c r="J41" s="3" t="s">
        <v>216</v>
      </c>
      <c r="K41" s="3" t="s">
        <v>131</v>
      </c>
      <c r="L41" s="3" t="s">
        <v>132</v>
      </c>
      <c r="M41" s="3" t="s">
        <v>406</v>
      </c>
      <c r="N41" s="3" t="s">
        <v>407</v>
      </c>
      <c r="O41" s="3" t="s">
        <v>408</v>
      </c>
      <c r="P41" s="3" t="s">
        <v>136</v>
      </c>
      <c r="Q41" s="3" t="s">
        <v>137</v>
      </c>
      <c r="R41" s="3" t="s">
        <v>190</v>
      </c>
      <c r="S41" s="3" t="s">
        <v>409</v>
      </c>
      <c r="T41" s="3" t="s">
        <v>131</v>
      </c>
      <c r="U41" s="3" t="s">
        <v>410</v>
      </c>
    </row>
    <row r="42" ht="16.5" spans="1:21">
      <c r="A42" s="3">
        <v>41</v>
      </c>
      <c r="B42" s="3" t="s">
        <v>411</v>
      </c>
      <c r="C42" s="3" t="s">
        <v>412</v>
      </c>
      <c r="D42" s="3" t="s">
        <v>125</v>
      </c>
      <c r="E42" s="3" t="s">
        <v>132</v>
      </c>
      <c r="F42" s="3" t="s">
        <v>65</v>
      </c>
      <c r="G42" s="3" t="s">
        <v>413</v>
      </c>
      <c r="H42" s="3" t="s">
        <v>284</v>
      </c>
      <c r="I42" s="3" t="s">
        <v>215</v>
      </c>
      <c r="J42" s="3" t="s">
        <v>216</v>
      </c>
      <c r="K42" s="3" t="s">
        <v>131</v>
      </c>
      <c r="L42" s="3" t="s">
        <v>132</v>
      </c>
      <c r="M42" s="3" t="s">
        <v>249</v>
      </c>
      <c r="N42" s="3" t="s">
        <v>414</v>
      </c>
      <c r="O42" s="3" t="s">
        <v>251</v>
      </c>
      <c r="P42" s="3" t="s">
        <v>136</v>
      </c>
      <c r="Q42" s="3" t="s">
        <v>137</v>
      </c>
      <c r="R42" s="3" t="s">
        <v>190</v>
      </c>
      <c r="S42" s="3" t="s">
        <v>415</v>
      </c>
      <c r="T42" s="3" t="s">
        <v>131</v>
      </c>
      <c r="U42" s="3" t="s">
        <v>132</v>
      </c>
    </row>
    <row r="43" ht="16.5" spans="1:21">
      <c r="A43" s="3">
        <v>42</v>
      </c>
      <c r="B43" s="3" t="s">
        <v>416</v>
      </c>
      <c r="C43" s="3" t="s">
        <v>417</v>
      </c>
      <c r="D43" s="3" t="s">
        <v>125</v>
      </c>
      <c r="E43" s="3" t="s">
        <v>132</v>
      </c>
      <c r="F43" s="3" t="s">
        <v>65</v>
      </c>
      <c r="G43" s="3" t="s">
        <v>418</v>
      </c>
      <c r="H43" s="3" t="s">
        <v>284</v>
      </c>
      <c r="I43" s="3" t="s">
        <v>215</v>
      </c>
      <c r="J43" s="3" t="s">
        <v>216</v>
      </c>
      <c r="K43" s="3" t="s">
        <v>131</v>
      </c>
      <c r="L43" s="3" t="s">
        <v>132</v>
      </c>
      <c r="M43" s="3" t="s">
        <v>249</v>
      </c>
      <c r="N43" s="3" t="s">
        <v>414</v>
      </c>
      <c r="O43" s="3" t="s">
        <v>251</v>
      </c>
      <c r="P43" s="3" t="s">
        <v>136</v>
      </c>
      <c r="Q43" s="3" t="s">
        <v>137</v>
      </c>
      <c r="R43" s="3" t="s">
        <v>190</v>
      </c>
      <c r="S43" s="3" t="s">
        <v>415</v>
      </c>
      <c r="T43" s="3" t="s">
        <v>131</v>
      </c>
      <c r="U43" s="3" t="s">
        <v>132</v>
      </c>
    </row>
    <row r="44" ht="16.5" spans="1:21">
      <c r="A44" s="3">
        <v>43</v>
      </c>
      <c r="B44" s="3" t="s">
        <v>419</v>
      </c>
      <c r="C44" s="3" t="s">
        <v>420</v>
      </c>
      <c r="D44" s="3" t="s">
        <v>125</v>
      </c>
      <c r="E44" s="3" t="s">
        <v>132</v>
      </c>
      <c r="F44" s="3" t="s">
        <v>65</v>
      </c>
      <c r="G44" s="3" t="s">
        <v>421</v>
      </c>
      <c r="H44" s="3" t="s">
        <v>284</v>
      </c>
      <c r="I44" s="3" t="s">
        <v>215</v>
      </c>
      <c r="J44" s="3" t="s">
        <v>216</v>
      </c>
      <c r="K44" s="3" t="s">
        <v>131</v>
      </c>
      <c r="L44" s="3" t="s">
        <v>132</v>
      </c>
      <c r="M44" s="3" t="s">
        <v>249</v>
      </c>
      <c r="N44" s="3" t="s">
        <v>422</v>
      </c>
      <c r="O44" s="3" t="s">
        <v>251</v>
      </c>
      <c r="P44" s="3" t="s">
        <v>136</v>
      </c>
      <c r="Q44" s="3" t="s">
        <v>153</v>
      </c>
      <c r="R44" s="3" t="s">
        <v>190</v>
      </c>
      <c r="S44" s="3" t="s">
        <v>415</v>
      </c>
      <c r="T44" s="3" t="s">
        <v>131</v>
      </c>
      <c r="U44" s="3" t="s">
        <v>423</v>
      </c>
    </row>
    <row r="45" ht="33" spans="1:21">
      <c r="A45" s="3">
        <v>44</v>
      </c>
      <c r="B45" s="3" t="s">
        <v>424</v>
      </c>
      <c r="C45" s="3" t="s">
        <v>425</v>
      </c>
      <c r="D45" s="3" t="s">
        <v>125</v>
      </c>
      <c r="E45" s="3" t="s">
        <v>426</v>
      </c>
      <c r="F45" s="3" t="s">
        <v>77</v>
      </c>
      <c r="G45" s="3" t="s">
        <v>427</v>
      </c>
      <c r="H45" s="3" t="s">
        <v>428</v>
      </c>
      <c r="I45" s="3" t="s">
        <v>215</v>
      </c>
      <c r="J45" s="3" t="s">
        <v>216</v>
      </c>
      <c r="K45" s="3" t="s">
        <v>131</v>
      </c>
      <c r="L45" s="3" t="s">
        <v>132</v>
      </c>
      <c r="M45" s="3" t="s">
        <v>249</v>
      </c>
      <c r="N45" s="3" t="s">
        <v>429</v>
      </c>
      <c r="O45" s="3" t="s">
        <v>430</v>
      </c>
      <c r="P45" s="3" t="s">
        <v>431</v>
      </c>
      <c r="Q45" s="3" t="s">
        <v>137</v>
      </c>
      <c r="R45" s="3" t="s">
        <v>190</v>
      </c>
      <c r="S45" s="3" t="s">
        <v>432</v>
      </c>
      <c r="T45" s="3" t="s">
        <v>433</v>
      </c>
      <c r="U45" s="3" t="s">
        <v>434</v>
      </c>
    </row>
    <row r="46" ht="16.5" spans="1:21">
      <c r="A46" s="3">
        <v>45</v>
      </c>
      <c r="B46" s="3" t="s">
        <v>435</v>
      </c>
      <c r="C46" s="3" t="s">
        <v>436</v>
      </c>
      <c r="D46" s="3" t="s">
        <v>125</v>
      </c>
      <c r="E46" s="3" t="s">
        <v>437</v>
      </c>
      <c r="F46" s="3" t="s">
        <v>77</v>
      </c>
      <c r="G46" s="3" t="s">
        <v>438</v>
      </c>
      <c r="H46" s="3" t="s">
        <v>428</v>
      </c>
      <c r="I46" s="3" t="s">
        <v>215</v>
      </c>
      <c r="J46" s="3" t="s">
        <v>216</v>
      </c>
      <c r="K46" s="3" t="s">
        <v>207</v>
      </c>
      <c r="L46" s="3" t="s">
        <v>132</v>
      </c>
      <c r="M46" s="3" t="s">
        <v>249</v>
      </c>
      <c r="N46" s="3" t="s">
        <v>429</v>
      </c>
      <c r="O46" s="3" t="s">
        <v>430</v>
      </c>
      <c r="P46" s="3" t="s">
        <v>431</v>
      </c>
      <c r="Q46" s="3" t="s">
        <v>137</v>
      </c>
      <c r="R46" s="3" t="s">
        <v>190</v>
      </c>
      <c r="S46" s="3" t="s">
        <v>432</v>
      </c>
      <c r="T46" s="3" t="s">
        <v>439</v>
      </c>
      <c r="U46" s="3" t="s">
        <v>132</v>
      </c>
    </row>
    <row r="47" ht="16.5" spans="1:21">
      <c r="A47" s="3">
        <v>46</v>
      </c>
      <c r="B47" s="3" t="s">
        <v>440</v>
      </c>
      <c r="C47" s="3" t="s">
        <v>441</v>
      </c>
      <c r="D47" s="3" t="s">
        <v>125</v>
      </c>
      <c r="E47" s="3" t="s">
        <v>132</v>
      </c>
      <c r="F47" s="3" t="s">
        <v>77</v>
      </c>
      <c r="G47" s="3" t="s">
        <v>442</v>
      </c>
      <c r="H47" s="3" t="s">
        <v>132</v>
      </c>
      <c r="I47" s="3" t="s">
        <v>443</v>
      </c>
      <c r="J47" s="3" t="s">
        <v>132</v>
      </c>
      <c r="K47" s="3" t="s">
        <v>132</v>
      </c>
      <c r="L47" s="3" t="s">
        <v>132</v>
      </c>
      <c r="M47" s="3" t="s">
        <v>249</v>
      </c>
      <c r="N47" s="3" t="s">
        <v>429</v>
      </c>
      <c r="O47" s="3" t="s">
        <v>444</v>
      </c>
      <c r="P47" s="3" t="s">
        <v>431</v>
      </c>
      <c r="Q47" s="3" t="s">
        <v>137</v>
      </c>
      <c r="R47" s="3" t="s">
        <v>190</v>
      </c>
      <c r="S47" s="3" t="s">
        <v>432</v>
      </c>
      <c r="T47" s="3" t="s">
        <v>445</v>
      </c>
      <c r="U47" s="3" t="s">
        <v>446</v>
      </c>
    </row>
    <row r="48" ht="16.5" spans="1:21">
      <c r="A48" s="3">
        <v>47</v>
      </c>
      <c r="B48" s="3" t="s">
        <v>447</v>
      </c>
      <c r="C48" s="3" t="s">
        <v>448</v>
      </c>
      <c r="D48" s="3" t="s">
        <v>125</v>
      </c>
      <c r="E48" s="3" t="s">
        <v>132</v>
      </c>
      <c r="F48" s="3" t="s">
        <v>77</v>
      </c>
      <c r="G48" s="3" t="s">
        <v>449</v>
      </c>
      <c r="H48" s="3" t="s">
        <v>132</v>
      </c>
      <c r="I48" s="3" t="s">
        <v>443</v>
      </c>
      <c r="J48" s="3" t="s">
        <v>132</v>
      </c>
      <c r="K48" s="3" t="s">
        <v>132</v>
      </c>
      <c r="L48" s="3" t="s">
        <v>132</v>
      </c>
      <c r="M48" s="3" t="s">
        <v>249</v>
      </c>
      <c r="N48" s="3" t="s">
        <v>429</v>
      </c>
      <c r="O48" s="3" t="s">
        <v>444</v>
      </c>
      <c r="P48" s="3" t="s">
        <v>431</v>
      </c>
      <c r="Q48" s="3" t="s">
        <v>137</v>
      </c>
      <c r="R48" s="3" t="s">
        <v>190</v>
      </c>
      <c r="S48" s="3" t="s">
        <v>432</v>
      </c>
      <c r="T48" s="3" t="s">
        <v>445</v>
      </c>
      <c r="U48" s="3" t="s">
        <v>450</v>
      </c>
    </row>
    <row r="49" ht="16.5" spans="1:21">
      <c r="A49" s="3">
        <v>48</v>
      </c>
      <c r="B49" s="3" t="s">
        <v>451</v>
      </c>
      <c r="C49" s="3" t="s">
        <v>452</v>
      </c>
      <c r="D49" s="3" t="s">
        <v>125</v>
      </c>
      <c r="E49" s="3" t="s">
        <v>132</v>
      </c>
      <c r="F49" s="3" t="s">
        <v>80</v>
      </c>
      <c r="G49" s="3" t="s">
        <v>453</v>
      </c>
      <c r="H49" s="3" t="s">
        <v>454</v>
      </c>
      <c r="I49" s="3" t="s">
        <v>184</v>
      </c>
      <c r="J49" s="3" t="s">
        <v>185</v>
      </c>
      <c r="K49" s="3" t="s">
        <v>207</v>
      </c>
      <c r="L49" s="3" t="s">
        <v>455</v>
      </c>
      <c r="M49" s="3" t="s">
        <v>341</v>
      </c>
      <c r="N49" s="3" t="s">
        <v>342</v>
      </c>
      <c r="O49" s="3" t="s">
        <v>343</v>
      </c>
      <c r="P49" s="3" t="s">
        <v>344</v>
      </c>
      <c r="Q49" s="3" t="s">
        <v>137</v>
      </c>
      <c r="R49" s="3" t="s">
        <v>138</v>
      </c>
      <c r="S49" s="3" t="s">
        <v>325</v>
      </c>
      <c r="T49" s="3" t="s">
        <v>207</v>
      </c>
      <c r="U49" s="3" t="s">
        <v>456</v>
      </c>
    </row>
    <row r="50" ht="33" spans="1:21">
      <c r="A50" s="3">
        <v>49</v>
      </c>
      <c r="B50" s="3" t="s">
        <v>457</v>
      </c>
      <c r="C50" s="3" t="s">
        <v>458</v>
      </c>
      <c r="D50" s="3" t="s">
        <v>125</v>
      </c>
      <c r="E50" s="3" t="s">
        <v>132</v>
      </c>
      <c r="F50" s="3" t="s">
        <v>80</v>
      </c>
      <c r="G50" s="3" t="s">
        <v>459</v>
      </c>
      <c r="H50" s="3" t="s">
        <v>454</v>
      </c>
      <c r="I50" s="3" t="s">
        <v>184</v>
      </c>
      <c r="J50" s="3" t="s">
        <v>185</v>
      </c>
      <c r="K50" s="3" t="s">
        <v>207</v>
      </c>
      <c r="L50" s="3" t="s">
        <v>460</v>
      </c>
      <c r="M50" s="3" t="s">
        <v>341</v>
      </c>
      <c r="N50" s="3" t="s">
        <v>342</v>
      </c>
      <c r="O50" s="3" t="s">
        <v>343</v>
      </c>
      <c r="P50" s="3" t="s">
        <v>344</v>
      </c>
      <c r="Q50" s="3" t="s">
        <v>137</v>
      </c>
      <c r="R50" s="3" t="s">
        <v>138</v>
      </c>
      <c r="S50" s="3" t="s">
        <v>461</v>
      </c>
      <c r="T50" s="3" t="s">
        <v>207</v>
      </c>
      <c r="U50" s="3" t="s">
        <v>462</v>
      </c>
    </row>
    <row r="51" ht="16.5" spans="1:21">
      <c r="A51" s="3">
        <v>50</v>
      </c>
      <c r="B51" s="3" t="s">
        <v>463</v>
      </c>
      <c r="C51" s="3" t="s">
        <v>464</v>
      </c>
      <c r="D51" s="3" t="s">
        <v>125</v>
      </c>
      <c r="E51" s="3" t="s">
        <v>132</v>
      </c>
      <c r="F51" s="3" t="s">
        <v>80</v>
      </c>
      <c r="G51" s="3" t="s">
        <v>465</v>
      </c>
      <c r="H51" s="3" t="s">
        <v>466</v>
      </c>
      <c r="I51" s="3" t="s">
        <v>184</v>
      </c>
      <c r="J51" s="3" t="s">
        <v>185</v>
      </c>
      <c r="K51" s="3" t="s">
        <v>207</v>
      </c>
      <c r="L51" s="3" t="s">
        <v>467</v>
      </c>
      <c r="M51" s="3" t="s">
        <v>341</v>
      </c>
      <c r="N51" s="3" t="s">
        <v>342</v>
      </c>
      <c r="O51" s="3" t="s">
        <v>343</v>
      </c>
      <c r="P51" s="3" t="s">
        <v>344</v>
      </c>
      <c r="Q51" s="3" t="s">
        <v>137</v>
      </c>
      <c r="R51" s="3" t="s">
        <v>138</v>
      </c>
      <c r="S51" s="3" t="s">
        <v>325</v>
      </c>
      <c r="T51" s="3" t="s">
        <v>207</v>
      </c>
      <c r="U51" s="3" t="s">
        <v>468</v>
      </c>
    </row>
    <row r="52" ht="16.5" spans="1:21">
      <c r="A52" s="3">
        <v>51</v>
      </c>
      <c r="B52" s="3" t="s">
        <v>469</v>
      </c>
      <c r="C52" s="3" t="s">
        <v>470</v>
      </c>
      <c r="D52" s="3" t="s">
        <v>125</v>
      </c>
      <c r="E52" s="3" t="s">
        <v>132</v>
      </c>
      <c r="F52" s="3" t="s">
        <v>80</v>
      </c>
      <c r="G52" s="3" t="s">
        <v>471</v>
      </c>
      <c r="H52" s="3" t="s">
        <v>472</v>
      </c>
      <c r="I52" s="3" t="s">
        <v>184</v>
      </c>
      <c r="J52" s="3" t="s">
        <v>185</v>
      </c>
      <c r="K52" s="3" t="s">
        <v>207</v>
      </c>
      <c r="L52" s="3" t="s">
        <v>473</v>
      </c>
      <c r="M52" s="3" t="s">
        <v>341</v>
      </c>
      <c r="N52" s="3" t="s">
        <v>342</v>
      </c>
      <c r="O52" s="3" t="s">
        <v>343</v>
      </c>
      <c r="P52" s="3" t="s">
        <v>344</v>
      </c>
      <c r="Q52" s="3" t="s">
        <v>137</v>
      </c>
      <c r="R52" s="3" t="s">
        <v>138</v>
      </c>
      <c r="S52" s="3" t="s">
        <v>293</v>
      </c>
      <c r="T52" s="3" t="s">
        <v>207</v>
      </c>
      <c r="U52" s="3" t="s">
        <v>474</v>
      </c>
    </row>
    <row r="53" ht="16.5" spans="1:21">
      <c r="A53" s="3">
        <v>52</v>
      </c>
      <c r="B53" s="3" t="s">
        <v>475</v>
      </c>
      <c r="C53" s="3" t="s">
        <v>476</v>
      </c>
      <c r="D53" s="3" t="s">
        <v>125</v>
      </c>
      <c r="E53" s="3" t="s">
        <v>132</v>
      </c>
      <c r="F53" s="3" t="s">
        <v>80</v>
      </c>
      <c r="G53" s="3" t="s">
        <v>477</v>
      </c>
      <c r="H53" s="3" t="s">
        <v>478</v>
      </c>
      <c r="I53" s="3" t="s">
        <v>184</v>
      </c>
      <c r="J53" s="3" t="s">
        <v>185</v>
      </c>
      <c r="K53" s="3" t="s">
        <v>207</v>
      </c>
      <c r="L53" s="3" t="s">
        <v>479</v>
      </c>
      <c r="M53" s="3" t="s">
        <v>341</v>
      </c>
      <c r="N53" s="3" t="s">
        <v>342</v>
      </c>
      <c r="O53" s="3" t="s">
        <v>343</v>
      </c>
      <c r="P53" s="3" t="s">
        <v>344</v>
      </c>
      <c r="Q53" s="3" t="s">
        <v>137</v>
      </c>
      <c r="R53" s="3" t="s">
        <v>138</v>
      </c>
      <c r="S53" s="3" t="s">
        <v>325</v>
      </c>
      <c r="T53" s="3" t="s">
        <v>207</v>
      </c>
      <c r="U53" s="3" t="s">
        <v>480</v>
      </c>
    </row>
    <row r="54" ht="16.5" spans="1:21">
      <c r="A54" s="3">
        <v>53</v>
      </c>
      <c r="B54" s="3" t="s">
        <v>481</v>
      </c>
      <c r="C54" s="3" t="s">
        <v>482</v>
      </c>
      <c r="D54" s="3" t="s">
        <v>125</v>
      </c>
      <c r="E54" s="3" t="s">
        <v>132</v>
      </c>
      <c r="F54" s="3" t="s">
        <v>80</v>
      </c>
      <c r="G54" s="3" t="s">
        <v>483</v>
      </c>
      <c r="H54" s="3" t="s">
        <v>484</v>
      </c>
      <c r="I54" s="3" t="s">
        <v>184</v>
      </c>
      <c r="J54" s="3" t="s">
        <v>185</v>
      </c>
      <c r="K54" s="3" t="s">
        <v>207</v>
      </c>
      <c r="L54" s="3" t="s">
        <v>485</v>
      </c>
      <c r="M54" s="3" t="s">
        <v>341</v>
      </c>
      <c r="N54" s="3" t="s">
        <v>342</v>
      </c>
      <c r="O54" s="3" t="s">
        <v>343</v>
      </c>
      <c r="P54" s="3" t="s">
        <v>344</v>
      </c>
      <c r="Q54" s="3" t="s">
        <v>137</v>
      </c>
      <c r="R54" s="3" t="s">
        <v>138</v>
      </c>
      <c r="S54" s="3" t="s">
        <v>325</v>
      </c>
      <c r="T54" s="3" t="s">
        <v>207</v>
      </c>
      <c r="U54" s="3" t="s">
        <v>486</v>
      </c>
    </row>
    <row r="55" ht="16.5" spans="1:21">
      <c r="A55" s="3">
        <v>54</v>
      </c>
      <c r="B55" s="3" t="s">
        <v>487</v>
      </c>
      <c r="C55" s="3" t="s">
        <v>488</v>
      </c>
      <c r="D55" s="3" t="s">
        <v>125</v>
      </c>
      <c r="E55" s="3" t="s">
        <v>132</v>
      </c>
      <c r="F55" s="3" t="s">
        <v>80</v>
      </c>
      <c r="G55" s="3" t="s">
        <v>489</v>
      </c>
      <c r="H55" s="3" t="s">
        <v>484</v>
      </c>
      <c r="I55" s="3" t="s">
        <v>184</v>
      </c>
      <c r="J55" s="3" t="s">
        <v>185</v>
      </c>
      <c r="K55" s="3" t="s">
        <v>207</v>
      </c>
      <c r="L55" s="3" t="s">
        <v>490</v>
      </c>
      <c r="M55" s="3" t="s">
        <v>341</v>
      </c>
      <c r="N55" s="3" t="s">
        <v>342</v>
      </c>
      <c r="O55" s="3" t="s">
        <v>343</v>
      </c>
      <c r="P55" s="3" t="s">
        <v>344</v>
      </c>
      <c r="Q55" s="3" t="s">
        <v>137</v>
      </c>
      <c r="R55" s="3" t="s">
        <v>138</v>
      </c>
      <c r="S55" s="3" t="s">
        <v>325</v>
      </c>
      <c r="T55" s="3" t="s">
        <v>207</v>
      </c>
      <c r="U55" s="3" t="s">
        <v>486</v>
      </c>
    </row>
    <row r="56" ht="16.5" spans="1:21">
      <c r="A56" s="3">
        <v>55</v>
      </c>
      <c r="B56" s="3" t="s">
        <v>491</v>
      </c>
      <c r="C56" s="3" t="s">
        <v>492</v>
      </c>
      <c r="D56" s="3" t="s">
        <v>125</v>
      </c>
      <c r="E56" s="3" t="s">
        <v>132</v>
      </c>
      <c r="F56" s="3" t="s">
        <v>80</v>
      </c>
      <c r="G56" s="3" t="s">
        <v>493</v>
      </c>
      <c r="H56" s="3" t="s">
        <v>484</v>
      </c>
      <c r="I56" s="3" t="s">
        <v>184</v>
      </c>
      <c r="J56" s="3" t="s">
        <v>185</v>
      </c>
      <c r="K56" s="3" t="s">
        <v>207</v>
      </c>
      <c r="L56" s="3" t="s">
        <v>490</v>
      </c>
      <c r="M56" s="3" t="s">
        <v>341</v>
      </c>
      <c r="N56" s="3" t="s">
        <v>342</v>
      </c>
      <c r="O56" s="3" t="s">
        <v>343</v>
      </c>
      <c r="P56" s="3" t="s">
        <v>344</v>
      </c>
      <c r="Q56" s="3" t="s">
        <v>137</v>
      </c>
      <c r="R56" s="3" t="s">
        <v>138</v>
      </c>
      <c r="S56" s="3" t="s">
        <v>325</v>
      </c>
      <c r="T56" s="3" t="s">
        <v>207</v>
      </c>
      <c r="U56" s="3" t="s">
        <v>486</v>
      </c>
    </row>
    <row r="57" ht="16.5" spans="1:21">
      <c r="A57" s="3">
        <v>56</v>
      </c>
      <c r="B57" s="3" t="s">
        <v>494</v>
      </c>
      <c r="C57" s="3" t="s">
        <v>495</v>
      </c>
      <c r="D57" s="3" t="s">
        <v>125</v>
      </c>
      <c r="E57" s="3" t="s">
        <v>132</v>
      </c>
      <c r="F57" s="3" t="s">
        <v>80</v>
      </c>
      <c r="G57" s="3" t="s">
        <v>496</v>
      </c>
      <c r="H57" s="3" t="s">
        <v>497</v>
      </c>
      <c r="I57" s="3" t="s">
        <v>184</v>
      </c>
      <c r="J57" s="3" t="s">
        <v>185</v>
      </c>
      <c r="K57" s="3" t="s">
        <v>207</v>
      </c>
      <c r="L57" s="3" t="s">
        <v>498</v>
      </c>
      <c r="M57" s="3" t="s">
        <v>341</v>
      </c>
      <c r="N57" s="3" t="s">
        <v>342</v>
      </c>
      <c r="O57" s="3" t="s">
        <v>343</v>
      </c>
      <c r="P57" s="3" t="s">
        <v>344</v>
      </c>
      <c r="Q57" s="3" t="s">
        <v>137</v>
      </c>
      <c r="R57" s="3" t="s">
        <v>138</v>
      </c>
      <c r="S57" s="3" t="s">
        <v>499</v>
      </c>
      <c r="T57" s="3" t="s">
        <v>207</v>
      </c>
      <c r="U57" s="3" t="s">
        <v>500</v>
      </c>
    </row>
    <row r="58" ht="16.5" spans="1:21">
      <c r="A58" s="3">
        <v>57</v>
      </c>
      <c r="B58" s="3" t="s">
        <v>501</v>
      </c>
      <c r="C58" s="3" t="s">
        <v>502</v>
      </c>
      <c r="D58" s="3" t="s">
        <v>125</v>
      </c>
      <c r="E58" s="3" t="s">
        <v>132</v>
      </c>
      <c r="F58" s="3" t="s">
        <v>80</v>
      </c>
      <c r="G58" s="3" t="s">
        <v>503</v>
      </c>
      <c r="H58" s="3" t="s">
        <v>504</v>
      </c>
      <c r="I58" s="3" t="s">
        <v>184</v>
      </c>
      <c r="J58" s="3" t="s">
        <v>185</v>
      </c>
      <c r="K58" s="3" t="s">
        <v>207</v>
      </c>
      <c r="L58" s="3" t="s">
        <v>505</v>
      </c>
      <c r="M58" s="3" t="s">
        <v>341</v>
      </c>
      <c r="N58" s="3" t="s">
        <v>342</v>
      </c>
      <c r="O58" s="3" t="s">
        <v>343</v>
      </c>
      <c r="P58" s="3" t="s">
        <v>344</v>
      </c>
      <c r="Q58" s="3" t="s">
        <v>137</v>
      </c>
      <c r="R58" s="3" t="s">
        <v>138</v>
      </c>
      <c r="S58" s="3" t="s">
        <v>146</v>
      </c>
      <c r="T58" s="3" t="s">
        <v>207</v>
      </c>
      <c r="U58" s="3" t="s">
        <v>506</v>
      </c>
    </row>
    <row r="59" ht="16.5" spans="1:21">
      <c r="A59" s="3">
        <v>58</v>
      </c>
      <c r="B59" s="3" t="s">
        <v>507</v>
      </c>
      <c r="C59" s="3" t="s">
        <v>508</v>
      </c>
      <c r="D59" s="3" t="s">
        <v>125</v>
      </c>
      <c r="E59" s="3" t="s">
        <v>132</v>
      </c>
      <c r="F59" s="3" t="s">
        <v>80</v>
      </c>
      <c r="G59" s="3" t="s">
        <v>509</v>
      </c>
      <c r="H59" s="3" t="s">
        <v>510</v>
      </c>
      <c r="I59" s="3" t="s">
        <v>184</v>
      </c>
      <c r="J59" s="3" t="s">
        <v>185</v>
      </c>
      <c r="K59" s="3" t="s">
        <v>207</v>
      </c>
      <c r="L59" s="3" t="s">
        <v>505</v>
      </c>
      <c r="M59" s="3" t="s">
        <v>341</v>
      </c>
      <c r="N59" s="3" t="s">
        <v>342</v>
      </c>
      <c r="O59" s="3" t="s">
        <v>343</v>
      </c>
      <c r="P59" s="3" t="s">
        <v>344</v>
      </c>
      <c r="Q59" s="3" t="s">
        <v>137</v>
      </c>
      <c r="R59" s="3" t="s">
        <v>138</v>
      </c>
      <c r="S59" s="3" t="s">
        <v>146</v>
      </c>
      <c r="T59" s="3" t="s">
        <v>207</v>
      </c>
      <c r="U59" s="3" t="s">
        <v>506</v>
      </c>
    </row>
    <row r="60" ht="33" spans="1:21">
      <c r="A60" s="3">
        <v>59</v>
      </c>
      <c r="B60" s="3" t="s">
        <v>511</v>
      </c>
      <c r="C60" s="3" t="s">
        <v>512</v>
      </c>
      <c r="D60" s="3" t="s">
        <v>125</v>
      </c>
      <c r="E60" s="3" t="s">
        <v>132</v>
      </c>
      <c r="F60" s="3" t="s">
        <v>80</v>
      </c>
      <c r="G60" s="3" t="s">
        <v>513</v>
      </c>
      <c r="H60" s="3" t="s">
        <v>514</v>
      </c>
      <c r="I60" s="3" t="s">
        <v>215</v>
      </c>
      <c r="J60" s="3" t="s">
        <v>216</v>
      </c>
      <c r="K60" s="3" t="s">
        <v>515</v>
      </c>
      <c r="L60" s="3" t="s">
        <v>516</v>
      </c>
      <c r="M60" s="3" t="s">
        <v>341</v>
      </c>
      <c r="N60" s="3" t="s">
        <v>342</v>
      </c>
      <c r="O60" s="3" t="s">
        <v>343</v>
      </c>
      <c r="P60" s="3" t="s">
        <v>344</v>
      </c>
      <c r="Q60" s="3" t="s">
        <v>137</v>
      </c>
      <c r="R60" s="3" t="s">
        <v>138</v>
      </c>
      <c r="S60" s="3" t="s">
        <v>146</v>
      </c>
      <c r="T60" s="3" t="s">
        <v>515</v>
      </c>
      <c r="U60" s="3" t="s">
        <v>506</v>
      </c>
    </row>
    <row r="61" ht="16.5" spans="1:21">
      <c r="A61" s="3">
        <v>60</v>
      </c>
      <c r="B61" s="3" t="s">
        <v>517</v>
      </c>
      <c r="C61" s="3" t="s">
        <v>518</v>
      </c>
      <c r="D61" s="3" t="s">
        <v>125</v>
      </c>
      <c r="E61" s="3" t="s">
        <v>132</v>
      </c>
      <c r="F61" s="3" t="s">
        <v>80</v>
      </c>
      <c r="G61" s="3" t="s">
        <v>519</v>
      </c>
      <c r="H61" s="3" t="s">
        <v>520</v>
      </c>
      <c r="I61" s="3" t="s">
        <v>184</v>
      </c>
      <c r="J61" s="3" t="s">
        <v>185</v>
      </c>
      <c r="K61" s="3" t="s">
        <v>207</v>
      </c>
      <c r="L61" s="3" t="s">
        <v>521</v>
      </c>
      <c r="M61" s="3" t="s">
        <v>341</v>
      </c>
      <c r="N61" s="3" t="s">
        <v>342</v>
      </c>
      <c r="O61" s="3" t="s">
        <v>343</v>
      </c>
      <c r="P61" s="3" t="s">
        <v>344</v>
      </c>
      <c r="Q61" s="3" t="s">
        <v>137</v>
      </c>
      <c r="R61" s="3" t="s">
        <v>138</v>
      </c>
      <c r="S61" s="3" t="s">
        <v>146</v>
      </c>
      <c r="T61" s="3" t="s">
        <v>207</v>
      </c>
      <c r="U61" s="3" t="s">
        <v>132</v>
      </c>
    </row>
    <row r="62" ht="33" spans="1:21">
      <c r="A62" s="3">
        <v>61</v>
      </c>
      <c r="B62" s="3" t="s">
        <v>191</v>
      </c>
      <c r="C62" s="3" t="s">
        <v>522</v>
      </c>
      <c r="D62" s="3" t="s">
        <v>83</v>
      </c>
      <c r="E62" s="3" t="s">
        <v>132</v>
      </c>
      <c r="F62" s="3" t="s">
        <v>523</v>
      </c>
      <c r="G62" s="3" t="s">
        <v>524</v>
      </c>
      <c r="H62" s="3" t="s">
        <v>525</v>
      </c>
      <c r="I62" s="3" t="s">
        <v>215</v>
      </c>
      <c r="J62" s="3" t="s">
        <v>216</v>
      </c>
      <c r="K62" s="3" t="s">
        <v>131</v>
      </c>
      <c r="L62" s="3" t="s">
        <v>132</v>
      </c>
      <c r="M62" s="3" t="s">
        <v>526</v>
      </c>
      <c r="N62" s="3" t="s">
        <v>527</v>
      </c>
      <c r="O62" s="3" t="s">
        <v>528</v>
      </c>
      <c r="P62" s="3" t="s">
        <v>136</v>
      </c>
      <c r="Q62" s="3" t="s">
        <v>137</v>
      </c>
      <c r="R62" s="3" t="s">
        <v>529</v>
      </c>
      <c r="S62" s="3" t="s">
        <v>132</v>
      </c>
      <c r="T62" s="3" t="s">
        <v>530</v>
      </c>
      <c r="U62" s="3" t="s">
        <v>531</v>
      </c>
    </row>
    <row r="63" ht="33" spans="1:21">
      <c r="A63" s="3">
        <v>62</v>
      </c>
      <c r="B63" s="3" t="s">
        <v>200</v>
      </c>
      <c r="C63" s="3" t="s">
        <v>532</v>
      </c>
      <c r="D63" s="3" t="s">
        <v>83</v>
      </c>
      <c r="E63" s="3" t="s">
        <v>533</v>
      </c>
      <c r="F63" s="3" t="s">
        <v>534</v>
      </c>
      <c r="G63" s="3" t="s">
        <v>535</v>
      </c>
      <c r="H63" s="3" t="s">
        <v>514</v>
      </c>
      <c r="I63" s="3" t="s">
        <v>536</v>
      </c>
      <c r="J63" s="3" t="s">
        <v>216</v>
      </c>
      <c r="K63" s="3" t="s">
        <v>131</v>
      </c>
      <c r="L63" s="3" t="s">
        <v>132</v>
      </c>
      <c r="M63" s="3" t="s">
        <v>526</v>
      </c>
      <c r="N63" s="3" t="s">
        <v>537</v>
      </c>
      <c r="O63" s="3" t="s">
        <v>528</v>
      </c>
      <c r="P63" s="3" t="s">
        <v>136</v>
      </c>
      <c r="Q63" s="3" t="s">
        <v>137</v>
      </c>
      <c r="R63" s="3" t="s">
        <v>529</v>
      </c>
      <c r="S63" s="3" t="s">
        <v>538</v>
      </c>
      <c r="T63" s="3" t="s">
        <v>530</v>
      </c>
      <c r="U63" s="3" t="s">
        <v>539</v>
      </c>
    </row>
    <row r="64" ht="33" spans="1:21">
      <c r="A64" s="3">
        <v>63</v>
      </c>
      <c r="B64" s="3" t="s">
        <v>325</v>
      </c>
      <c r="C64" s="3" t="s">
        <v>312</v>
      </c>
      <c r="D64" s="3" t="s">
        <v>83</v>
      </c>
      <c r="E64" s="3" t="s">
        <v>540</v>
      </c>
      <c r="F64" s="3" t="s">
        <v>534</v>
      </c>
      <c r="G64" s="3" t="s">
        <v>541</v>
      </c>
      <c r="H64" s="3" t="s">
        <v>315</v>
      </c>
      <c r="I64" s="3" t="s">
        <v>129</v>
      </c>
      <c r="J64" s="3" t="s">
        <v>130</v>
      </c>
      <c r="K64" s="3" t="s">
        <v>131</v>
      </c>
      <c r="L64" s="3" t="s">
        <v>132</v>
      </c>
      <c r="M64" s="3" t="s">
        <v>133</v>
      </c>
      <c r="N64" s="3" t="s">
        <v>542</v>
      </c>
      <c r="O64" s="3" t="s">
        <v>528</v>
      </c>
      <c r="P64" s="3" t="s">
        <v>136</v>
      </c>
      <c r="Q64" s="3" t="s">
        <v>137</v>
      </c>
      <c r="R64" s="3" t="s">
        <v>543</v>
      </c>
      <c r="S64" s="3" t="s">
        <v>544</v>
      </c>
      <c r="T64" s="3" t="s">
        <v>530</v>
      </c>
      <c r="U64" s="3" t="s">
        <v>539</v>
      </c>
    </row>
    <row r="65" ht="66" spans="1:21">
      <c r="A65" s="3">
        <v>64</v>
      </c>
      <c r="B65" s="3" t="s">
        <v>146</v>
      </c>
      <c r="C65" s="3" t="s">
        <v>545</v>
      </c>
      <c r="D65" s="3" t="s">
        <v>83</v>
      </c>
      <c r="E65" s="3" t="s">
        <v>546</v>
      </c>
      <c r="F65" s="3" t="s">
        <v>534</v>
      </c>
      <c r="G65" s="3" t="s">
        <v>547</v>
      </c>
      <c r="H65" s="3" t="s">
        <v>128</v>
      </c>
      <c r="I65" s="3" t="s">
        <v>129</v>
      </c>
      <c r="J65" s="3" t="s">
        <v>130</v>
      </c>
      <c r="K65" s="3" t="s">
        <v>131</v>
      </c>
      <c r="L65" s="3" t="s">
        <v>132</v>
      </c>
      <c r="M65" s="3" t="s">
        <v>133</v>
      </c>
      <c r="N65" s="3" t="s">
        <v>548</v>
      </c>
      <c r="O65" s="3" t="s">
        <v>528</v>
      </c>
      <c r="P65" s="3" t="s">
        <v>136</v>
      </c>
      <c r="Q65" s="3" t="s">
        <v>137</v>
      </c>
      <c r="R65" s="3" t="s">
        <v>543</v>
      </c>
      <c r="S65" s="3" t="s">
        <v>549</v>
      </c>
      <c r="T65" s="3" t="s">
        <v>530</v>
      </c>
      <c r="U65" s="3" t="s">
        <v>539</v>
      </c>
    </row>
    <row r="66" ht="33" spans="1:21">
      <c r="A66" s="3">
        <v>65</v>
      </c>
      <c r="B66" s="3" t="s">
        <v>461</v>
      </c>
      <c r="C66" s="3" t="s">
        <v>550</v>
      </c>
      <c r="D66" s="3" t="s">
        <v>83</v>
      </c>
      <c r="E66" s="3" t="s">
        <v>551</v>
      </c>
      <c r="F66" s="3" t="s">
        <v>534</v>
      </c>
      <c r="G66" s="3" t="s">
        <v>552</v>
      </c>
      <c r="H66" s="3" t="s">
        <v>553</v>
      </c>
      <c r="I66" s="3" t="s">
        <v>129</v>
      </c>
      <c r="J66" s="3" t="s">
        <v>130</v>
      </c>
      <c r="K66" s="3" t="s">
        <v>131</v>
      </c>
      <c r="L66" s="3" t="s">
        <v>132</v>
      </c>
      <c r="M66" s="3" t="s">
        <v>133</v>
      </c>
      <c r="N66" s="3" t="s">
        <v>554</v>
      </c>
      <c r="O66" s="3" t="s">
        <v>528</v>
      </c>
      <c r="P66" s="3" t="s">
        <v>136</v>
      </c>
      <c r="Q66" s="3" t="s">
        <v>137</v>
      </c>
      <c r="R66" s="3" t="s">
        <v>543</v>
      </c>
      <c r="S66" s="3" t="s">
        <v>555</v>
      </c>
      <c r="T66" s="3" t="s">
        <v>530</v>
      </c>
      <c r="U66" s="3" t="s">
        <v>539</v>
      </c>
    </row>
    <row r="67" ht="33" spans="1:21">
      <c r="A67" s="3">
        <v>66</v>
      </c>
      <c r="B67" s="3" t="s">
        <v>260</v>
      </c>
      <c r="C67" s="3" t="s">
        <v>556</v>
      </c>
      <c r="D67" s="3" t="s">
        <v>83</v>
      </c>
      <c r="E67" s="3" t="s">
        <v>557</v>
      </c>
      <c r="F67" s="3" t="s">
        <v>534</v>
      </c>
      <c r="G67" s="3" t="s">
        <v>558</v>
      </c>
      <c r="H67" s="3" t="s">
        <v>514</v>
      </c>
      <c r="I67" s="3" t="s">
        <v>536</v>
      </c>
      <c r="J67" s="3" t="s">
        <v>216</v>
      </c>
      <c r="K67" s="3" t="s">
        <v>131</v>
      </c>
      <c r="L67" s="3" t="s">
        <v>132</v>
      </c>
      <c r="M67" s="3" t="s">
        <v>133</v>
      </c>
      <c r="N67" s="3" t="s">
        <v>559</v>
      </c>
      <c r="O67" s="3" t="s">
        <v>528</v>
      </c>
      <c r="P67" s="3" t="s">
        <v>136</v>
      </c>
      <c r="Q67" s="3" t="s">
        <v>137</v>
      </c>
      <c r="R67" s="3" t="s">
        <v>543</v>
      </c>
      <c r="S67" s="3" t="s">
        <v>560</v>
      </c>
      <c r="T67" s="3" t="s">
        <v>530</v>
      </c>
      <c r="U67" s="3" t="s">
        <v>539</v>
      </c>
    </row>
    <row r="68" ht="33" spans="1:21">
      <c r="A68" s="3">
        <v>67</v>
      </c>
      <c r="B68" s="3" t="s">
        <v>268</v>
      </c>
      <c r="C68" s="3" t="s">
        <v>561</v>
      </c>
      <c r="D68" s="3" t="s">
        <v>83</v>
      </c>
      <c r="E68" s="3" t="s">
        <v>562</v>
      </c>
      <c r="F68" s="3" t="s">
        <v>534</v>
      </c>
      <c r="G68" s="3" t="s">
        <v>563</v>
      </c>
      <c r="H68" s="3" t="s">
        <v>514</v>
      </c>
      <c r="I68" s="3" t="s">
        <v>536</v>
      </c>
      <c r="J68" s="3" t="s">
        <v>216</v>
      </c>
      <c r="K68" s="3" t="s">
        <v>131</v>
      </c>
      <c r="L68" s="3" t="s">
        <v>132</v>
      </c>
      <c r="M68" s="3" t="s">
        <v>133</v>
      </c>
      <c r="N68" s="3" t="s">
        <v>564</v>
      </c>
      <c r="O68" s="3" t="s">
        <v>528</v>
      </c>
      <c r="P68" s="3" t="s">
        <v>136</v>
      </c>
      <c r="Q68" s="3" t="s">
        <v>137</v>
      </c>
      <c r="R68" s="3" t="s">
        <v>543</v>
      </c>
      <c r="S68" s="3" t="s">
        <v>565</v>
      </c>
      <c r="T68" s="3" t="s">
        <v>530</v>
      </c>
      <c r="U68" s="3" t="s">
        <v>539</v>
      </c>
    </row>
    <row r="69" ht="33" spans="1:21">
      <c r="A69" s="3">
        <v>68</v>
      </c>
      <c r="B69" s="3" t="s">
        <v>566</v>
      </c>
      <c r="C69" s="3" t="s">
        <v>567</v>
      </c>
      <c r="D69" s="3" t="s">
        <v>83</v>
      </c>
      <c r="E69" s="3" t="s">
        <v>568</v>
      </c>
      <c r="F69" s="3" t="s">
        <v>534</v>
      </c>
      <c r="G69" s="3" t="s">
        <v>569</v>
      </c>
      <c r="H69" s="3" t="s">
        <v>570</v>
      </c>
      <c r="I69" s="3" t="s">
        <v>129</v>
      </c>
      <c r="J69" s="3" t="s">
        <v>130</v>
      </c>
      <c r="K69" s="3" t="s">
        <v>131</v>
      </c>
      <c r="L69" s="3" t="s">
        <v>132</v>
      </c>
      <c r="M69" s="3" t="s">
        <v>133</v>
      </c>
      <c r="N69" s="3" t="s">
        <v>571</v>
      </c>
      <c r="O69" s="3" t="s">
        <v>528</v>
      </c>
      <c r="P69" s="3" t="s">
        <v>572</v>
      </c>
      <c r="Q69" s="3" t="s">
        <v>137</v>
      </c>
      <c r="R69" s="3" t="s">
        <v>543</v>
      </c>
      <c r="S69" s="3" t="s">
        <v>573</v>
      </c>
      <c r="T69" s="3" t="s">
        <v>530</v>
      </c>
      <c r="U69" s="3" t="s">
        <v>539</v>
      </c>
    </row>
    <row r="70" ht="49.5" spans="1:21">
      <c r="A70" s="3">
        <v>69</v>
      </c>
      <c r="B70" s="3" t="s">
        <v>432</v>
      </c>
      <c r="C70" s="3" t="s">
        <v>574</v>
      </c>
      <c r="D70" s="3" t="s">
        <v>83</v>
      </c>
      <c r="E70" s="3" t="s">
        <v>575</v>
      </c>
      <c r="F70" s="3" t="s">
        <v>534</v>
      </c>
      <c r="G70" s="3" t="s">
        <v>576</v>
      </c>
      <c r="H70" s="3" t="s">
        <v>514</v>
      </c>
      <c r="I70" s="3" t="s">
        <v>536</v>
      </c>
      <c r="J70" s="3" t="s">
        <v>216</v>
      </c>
      <c r="K70" s="3" t="s">
        <v>131</v>
      </c>
      <c r="L70" s="3" t="s">
        <v>132</v>
      </c>
      <c r="M70" s="3" t="s">
        <v>133</v>
      </c>
      <c r="N70" s="3" t="s">
        <v>577</v>
      </c>
      <c r="O70" s="3" t="s">
        <v>528</v>
      </c>
      <c r="P70" s="3" t="s">
        <v>136</v>
      </c>
      <c r="Q70" s="3" t="s">
        <v>137</v>
      </c>
      <c r="R70" s="3" t="s">
        <v>543</v>
      </c>
      <c r="S70" s="3" t="s">
        <v>578</v>
      </c>
      <c r="T70" s="3" t="s">
        <v>530</v>
      </c>
      <c r="U70" s="3" t="s">
        <v>539</v>
      </c>
    </row>
    <row r="71" ht="33" spans="1:21">
      <c r="A71" s="3">
        <v>70</v>
      </c>
      <c r="B71" s="3" t="s">
        <v>579</v>
      </c>
      <c r="C71" s="3" t="s">
        <v>580</v>
      </c>
      <c r="D71" s="3" t="s">
        <v>83</v>
      </c>
      <c r="E71" s="3" t="s">
        <v>581</v>
      </c>
      <c r="F71" s="3" t="s">
        <v>534</v>
      </c>
      <c r="G71" s="3" t="s">
        <v>582</v>
      </c>
      <c r="H71" s="3" t="s">
        <v>570</v>
      </c>
      <c r="I71" s="3" t="s">
        <v>129</v>
      </c>
      <c r="J71" s="3" t="s">
        <v>130</v>
      </c>
      <c r="K71" s="3" t="s">
        <v>131</v>
      </c>
      <c r="L71" s="3" t="s">
        <v>132</v>
      </c>
      <c r="M71" s="3" t="s">
        <v>133</v>
      </c>
      <c r="N71" s="3" t="s">
        <v>583</v>
      </c>
      <c r="O71" s="3" t="s">
        <v>528</v>
      </c>
      <c r="P71" s="3" t="s">
        <v>136</v>
      </c>
      <c r="Q71" s="3" t="s">
        <v>137</v>
      </c>
      <c r="R71" s="3" t="s">
        <v>543</v>
      </c>
      <c r="S71" s="3" t="s">
        <v>584</v>
      </c>
      <c r="T71" s="3" t="s">
        <v>530</v>
      </c>
      <c r="U71" s="3" t="s">
        <v>585</v>
      </c>
    </row>
    <row r="72" ht="33" spans="1:21">
      <c r="A72" s="3">
        <v>71</v>
      </c>
      <c r="B72" s="3" t="s">
        <v>415</v>
      </c>
      <c r="C72" s="3" t="s">
        <v>586</v>
      </c>
      <c r="D72" s="3" t="s">
        <v>83</v>
      </c>
      <c r="E72" s="3" t="s">
        <v>132</v>
      </c>
      <c r="F72" s="3" t="s">
        <v>534</v>
      </c>
      <c r="G72" s="3" t="s">
        <v>587</v>
      </c>
      <c r="H72" s="3" t="s">
        <v>284</v>
      </c>
      <c r="I72" s="3" t="s">
        <v>215</v>
      </c>
      <c r="J72" s="3" t="s">
        <v>216</v>
      </c>
      <c r="K72" s="3" t="s">
        <v>131</v>
      </c>
      <c r="L72" s="3" t="s">
        <v>132</v>
      </c>
      <c r="M72" s="3" t="s">
        <v>133</v>
      </c>
      <c r="N72" s="3" t="s">
        <v>527</v>
      </c>
      <c r="O72" s="3" t="s">
        <v>528</v>
      </c>
      <c r="P72" s="3" t="s">
        <v>136</v>
      </c>
      <c r="Q72" s="3" t="s">
        <v>137</v>
      </c>
      <c r="R72" s="3" t="s">
        <v>543</v>
      </c>
      <c r="S72" s="3" t="s">
        <v>132</v>
      </c>
      <c r="T72" s="3" t="s">
        <v>530</v>
      </c>
      <c r="U72" s="3" t="s">
        <v>588</v>
      </c>
    </row>
    <row r="73" ht="33" spans="1:21">
      <c r="A73" s="3">
        <v>72</v>
      </c>
      <c r="B73" s="3" t="s">
        <v>395</v>
      </c>
      <c r="C73" s="3" t="s">
        <v>589</v>
      </c>
      <c r="D73" s="3" t="s">
        <v>83</v>
      </c>
      <c r="E73" s="3" t="s">
        <v>590</v>
      </c>
      <c r="F73" s="3" t="s">
        <v>534</v>
      </c>
      <c r="G73" s="3" t="s">
        <v>591</v>
      </c>
      <c r="H73" s="3" t="s">
        <v>592</v>
      </c>
      <c r="I73" s="3" t="s">
        <v>129</v>
      </c>
      <c r="J73" s="3" t="s">
        <v>130</v>
      </c>
      <c r="K73" s="3" t="s">
        <v>131</v>
      </c>
      <c r="L73" s="3" t="s">
        <v>132</v>
      </c>
      <c r="M73" s="3" t="s">
        <v>133</v>
      </c>
      <c r="N73" s="3" t="s">
        <v>593</v>
      </c>
      <c r="O73" s="3" t="s">
        <v>528</v>
      </c>
      <c r="P73" s="3" t="s">
        <v>136</v>
      </c>
      <c r="Q73" s="3" t="s">
        <v>137</v>
      </c>
      <c r="R73" s="3" t="s">
        <v>543</v>
      </c>
      <c r="S73" s="3" t="s">
        <v>594</v>
      </c>
      <c r="T73" s="3" t="s">
        <v>530</v>
      </c>
      <c r="U73" s="3" t="s">
        <v>595</v>
      </c>
    </row>
    <row r="74" ht="33" spans="1:21">
      <c r="A74" s="3">
        <v>73</v>
      </c>
      <c r="B74" s="3" t="s">
        <v>596</v>
      </c>
      <c r="C74" s="3" t="s">
        <v>597</v>
      </c>
      <c r="D74" s="3" t="s">
        <v>83</v>
      </c>
      <c r="E74" s="3" t="s">
        <v>598</v>
      </c>
      <c r="F74" s="3" t="s">
        <v>599</v>
      </c>
      <c r="G74" s="3" t="s">
        <v>600</v>
      </c>
      <c r="H74" s="3" t="s">
        <v>601</v>
      </c>
      <c r="I74" s="3" t="s">
        <v>215</v>
      </c>
      <c r="J74" s="3" t="s">
        <v>216</v>
      </c>
      <c r="K74" s="3" t="s">
        <v>131</v>
      </c>
      <c r="L74" s="3" t="s">
        <v>132</v>
      </c>
      <c r="M74" s="3" t="s">
        <v>133</v>
      </c>
      <c r="N74" s="3" t="s">
        <v>602</v>
      </c>
      <c r="O74" s="3" t="s">
        <v>528</v>
      </c>
      <c r="P74" s="3" t="s">
        <v>136</v>
      </c>
      <c r="Q74" s="3" t="s">
        <v>137</v>
      </c>
      <c r="R74" s="3" t="s">
        <v>543</v>
      </c>
      <c r="S74" s="3" t="s">
        <v>603</v>
      </c>
      <c r="T74" s="3" t="s">
        <v>530</v>
      </c>
      <c r="U74" s="3" t="s">
        <v>595</v>
      </c>
    </row>
    <row r="75" ht="33" spans="1:21">
      <c r="A75" s="3">
        <v>74</v>
      </c>
      <c r="B75" s="3" t="s">
        <v>604</v>
      </c>
      <c r="C75" s="3" t="s">
        <v>605</v>
      </c>
      <c r="D75" s="3" t="s">
        <v>83</v>
      </c>
      <c r="E75" s="3" t="s">
        <v>606</v>
      </c>
      <c r="F75" s="3" t="s">
        <v>599</v>
      </c>
      <c r="G75" s="3" t="s">
        <v>607</v>
      </c>
      <c r="H75" s="3" t="s">
        <v>608</v>
      </c>
      <c r="I75" s="3" t="s">
        <v>215</v>
      </c>
      <c r="J75" s="3" t="s">
        <v>216</v>
      </c>
      <c r="K75" s="3" t="s">
        <v>131</v>
      </c>
      <c r="L75" s="3" t="s">
        <v>132</v>
      </c>
      <c r="M75" s="3" t="s">
        <v>133</v>
      </c>
      <c r="N75" s="3" t="s">
        <v>609</v>
      </c>
      <c r="O75" s="3" t="s">
        <v>528</v>
      </c>
      <c r="P75" s="3" t="s">
        <v>136</v>
      </c>
      <c r="Q75" s="3" t="s">
        <v>137</v>
      </c>
      <c r="R75" s="3" t="s">
        <v>543</v>
      </c>
      <c r="S75" s="3" t="s">
        <v>610</v>
      </c>
      <c r="T75" s="3" t="s">
        <v>530</v>
      </c>
      <c r="U75" s="3" t="s">
        <v>595</v>
      </c>
    </row>
    <row r="76" ht="33" spans="1:21">
      <c r="A76" s="3">
        <v>75</v>
      </c>
      <c r="B76" s="3" t="s">
        <v>389</v>
      </c>
      <c r="C76" s="3" t="s">
        <v>611</v>
      </c>
      <c r="D76" s="3" t="s">
        <v>83</v>
      </c>
      <c r="E76" s="3" t="s">
        <v>612</v>
      </c>
      <c r="F76" s="3" t="s">
        <v>599</v>
      </c>
      <c r="G76" s="3" t="s">
        <v>613</v>
      </c>
      <c r="H76" s="3" t="s">
        <v>614</v>
      </c>
      <c r="I76" s="3" t="s">
        <v>215</v>
      </c>
      <c r="J76" s="3" t="s">
        <v>216</v>
      </c>
      <c r="K76" s="3" t="s">
        <v>131</v>
      </c>
      <c r="L76" s="3" t="s">
        <v>132</v>
      </c>
      <c r="M76" s="3" t="s">
        <v>133</v>
      </c>
      <c r="N76" s="3" t="s">
        <v>615</v>
      </c>
      <c r="O76" s="3" t="s">
        <v>528</v>
      </c>
      <c r="P76" s="3" t="s">
        <v>136</v>
      </c>
      <c r="Q76" s="3" t="s">
        <v>137</v>
      </c>
      <c r="R76" s="3" t="s">
        <v>543</v>
      </c>
      <c r="S76" s="3" t="s">
        <v>616</v>
      </c>
      <c r="T76" s="3" t="s">
        <v>530</v>
      </c>
      <c r="U76" s="3" t="s">
        <v>595</v>
      </c>
    </row>
    <row r="77" ht="33" spans="1:21">
      <c r="A77" s="3">
        <v>76</v>
      </c>
      <c r="B77" s="3" t="s">
        <v>617</v>
      </c>
      <c r="C77" s="3" t="s">
        <v>618</v>
      </c>
      <c r="D77" s="3" t="s">
        <v>83</v>
      </c>
      <c r="E77" s="3" t="s">
        <v>619</v>
      </c>
      <c r="F77" s="3" t="s">
        <v>599</v>
      </c>
      <c r="G77" s="3" t="s">
        <v>620</v>
      </c>
      <c r="H77" s="3" t="s">
        <v>621</v>
      </c>
      <c r="I77" s="3" t="s">
        <v>215</v>
      </c>
      <c r="J77" s="3" t="s">
        <v>216</v>
      </c>
      <c r="K77" s="3" t="s">
        <v>131</v>
      </c>
      <c r="L77" s="3" t="s">
        <v>132</v>
      </c>
      <c r="M77" s="3" t="s">
        <v>133</v>
      </c>
      <c r="N77" s="3" t="s">
        <v>622</v>
      </c>
      <c r="O77" s="3" t="s">
        <v>528</v>
      </c>
      <c r="P77" s="3" t="s">
        <v>136</v>
      </c>
      <c r="Q77" s="3" t="s">
        <v>137</v>
      </c>
      <c r="R77" s="3" t="s">
        <v>543</v>
      </c>
      <c r="S77" s="3" t="s">
        <v>623</v>
      </c>
      <c r="T77" s="3" t="s">
        <v>530</v>
      </c>
      <c r="U77" s="3" t="s">
        <v>595</v>
      </c>
    </row>
    <row r="78" ht="66" spans="1:21">
      <c r="A78" s="3">
        <v>77</v>
      </c>
      <c r="B78" s="3" t="s">
        <v>624</v>
      </c>
      <c r="C78" s="3" t="s">
        <v>625</v>
      </c>
      <c r="D78" s="3" t="s">
        <v>83</v>
      </c>
      <c r="E78" s="3" t="s">
        <v>626</v>
      </c>
      <c r="F78" s="3" t="s">
        <v>627</v>
      </c>
      <c r="G78" s="3" t="s">
        <v>628</v>
      </c>
      <c r="H78" s="3" t="s">
        <v>629</v>
      </c>
      <c r="I78" s="3" t="s">
        <v>215</v>
      </c>
      <c r="J78" s="3" t="s">
        <v>216</v>
      </c>
      <c r="K78" s="3" t="s">
        <v>131</v>
      </c>
      <c r="L78" s="3" t="s">
        <v>132</v>
      </c>
      <c r="M78" s="3" t="s">
        <v>133</v>
      </c>
      <c r="N78" s="3" t="s">
        <v>630</v>
      </c>
      <c r="O78" s="3" t="s">
        <v>528</v>
      </c>
      <c r="P78" s="3" t="s">
        <v>136</v>
      </c>
      <c r="Q78" s="3" t="s">
        <v>137</v>
      </c>
      <c r="R78" s="3" t="s">
        <v>543</v>
      </c>
      <c r="S78" s="3" t="s">
        <v>631</v>
      </c>
      <c r="T78" s="3" t="s">
        <v>530</v>
      </c>
      <c r="U78" s="3" t="s">
        <v>595</v>
      </c>
    </row>
    <row r="79" ht="66" spans="1:21">
      <c r="A79" s="3">
        <v>78</v>
      </c>
      <c r="B79" s="3" t="s">
        <v>632</v>
      </c>
      <c r="C79" s="3" t="s">
        <v>633</v>
      </c>
      <c r="D79" s="3" t="s">
        <v>83</v>
      </c>
      <c r="E79" s="3" t="s">
        <v>634</v>
      </c>
      <c r="F79" s="3" t="s">
        <v>627</v>
      </c>
      <c r="G79" s="3" t="s">
        <v>635</v>
      </c>
      <c r="H79" s="3" t="s">
        <v>629</v>
      </c>
      <c r="I79" s="3" t="s">
        <v>215</v>
      </c>
      <c r="J79" s="3" t="s">
        <v>216</v>
      </c>
      <c r="K79" s="3" t="s">
        <v>131</v>
      </c>
      <c r="L79" s="3" t="s">
        <v>132</v>
      </c>
      <c r="M79" s="3" t="s">
        <v>133</v>
      </c>
      <c r="N79" s="3" t="s">
        <v>636</v>
      </c>
      <c r="O79" s="3" t="s">
        <v>528</v>
      </c>
      <c r="P79" s="3" t="s">
        <v>136</v>
      </c>
      <c r="Q79" s="3" t="s">
        <v>137</v>
      </c>
      <c r="R79" s="3" t="s">
        <v>543</v>
      </c>
      <c r="S79" s="3" t="s">
        <v>631</v>
      </c>
      <c r="T79" s="3" t="s">
        <v>530</v>
      </c>
      <c r="U79" s="3" t="s">
        <v>595</v>
      </c>
    </row>
    <row r="80" ht="66" spans="1:21">
      <c r="A80" s="3">
        <v>79</v>
      </c>
      <c r="B80" s="3" t="s">
        <v>637</v>
      </c>
      <c r="C80" s="3" t="s">
        <v>638</v>
      </c>
      <c r="D80" s="3" t="s">
        <v>83</v>
      </c>
      <c r="E80" s="3" t="s">
        <v>639</v>
      </c>
      <c r="F80" s="3" t="s">
        <v>627</v>
      </c>
      <c r="G80" s="3" t="s">
        <v>640</v>
      </c>
      <c r="H80" s="3" t="s">
        <v>629</v>
      </c>
      <c r="I80" s="3" t="s">
        <v>215</v>
      </c>
      <c r="J80" s="3" t="s">
        <v>216</v>
      </c>
      <c r="K80" s="3" t="s">
        <v>131</v>
      </c>
      <c r="L80" s="3" t="s">
        <v>132</v>
      </c>
      <c r="M80" s="3" t="s">
        <v>133</v>
      </c>
      <c r="N80" s="3" t="s">
        <v>641</v>
      </c>
      <c r="O80" s="3" t="s">
        <v>528</v>
      </c>
      <c r="P80" s="3" t="s">
        <v>136</v>
      </c>
      <c r="Q80" s="3" t="s">
        <v>137</v>
      </c>
      <c r="R80" s="3" t="s">
        <v>543</v>
      </c>
      <c r="S80" s="3" t="s">
        <v>631</v>
      </c>
      <c r="T80" s="3" t="s">
        <v>530</v>
      </c>
      <c r="U80" s="3" t="s">
        <v>595</v>
      </c>
    </row>
    <row r="81" ht="66" spans="1:21">
      <c r="A81" s="3">
        <v>80</v>
      </c>
      <c r="B81" s="3" t="s">
        <v>642</v>
      </c>
      <c r="C81" s="3" t="s">
        <v>643</v>
      </c>
      <c r="D81" s="3" t="s">
        <v>83</v>
      </c>
      <c r="E81" s="3" t="s">
        <v>644</v>
      </c>
      <c r="F81" s="3" t="s">
        <v>627</v>
      </c>
      <c r="G81" s="3" t="s">
        <v>645</v>
      </c>
      <c r="H81" s="3" t="s">
        <v>629</v>
      </c>
      <c r="I81" s="3" t="s">
        <v>215</v>
      </c>
      <c r="J81" s="3" t="s">
        <v>216</v>
      </c>
      <c r="K81" s="3" t="s">
        <v>131</v>
      </c>
      <c r="L81" s="3" t="s">
        <v>132</v>
      </c>
      <c r="M81" s="3" t="s">
        <v>133</v>
      </c>
      <c r="N81" s="3" t="s">
        <v>646</v>
      </c>
      <c r="O81" s="3" t="s">
        <v>528</v>
      </c>
      <c r="P81" s="3" t="s">
        <v>136</v>
      </c>
      <c r="Q81" s="3" t="s">
        <v>137</v>
      </c>
      <c r="R81" s="3" t="s">
        <v>543</v>
      </c>
      <c r="S81" s="3" t="s">
        <v>631</v>
      </c>
      <c r="T81" s="3" t="s">
        <v>530</v>
      </c>
      <c r="U81" s="3" t="s">
        <v>595</v>
      </c>
    </row>
    <row r="82" ht="82.5" spans="1:21">
      <c r="A82" s="3">
        <v>81</v>
      </c>
      <c r="B82" s="3" t="s">
        <v>647</v>
      </c>
      <c r="C82" s="3" t="s">
        <v>648</v>
      </c>
      <c r="D82" s="3" t="s">
        <v>83</v>
      </c>
      <c r="E82" s="3" t="s">
        <v>649</v>
      </c>
      <c r="F82" s="3" t="s">
        <v>627</v>
      </c>
      <c r="G82" s="3" t="s">
        <v>650</v>
      </c>
      <c r="H82" s="3" t="s">
        <v>629</v>
      </c>
      <c r="I82" s="3" t="s">
        <v>215</v>
      </c>
      <c r="J82" s="3" t="s">
        <v>216</v>
      </c>
      <c r="K82" s="3" t="s">
        <v>131</v>
      </c>
      <c r="L82" s="3" t="s">
        <v>132</v>
      </c>
      <c r="M82" s="3" t="s">
        <v>133</v>
      </c>
      <c r="N82" s="3" t="s">
        <v>651</v>
      </c>
      <c r="O82" s="3" t="s">
        <v>528</v>
      </c>
      <c r="P82" s="3" t="s">
        <v>136</v>
      </c>
      <c r="Q82" s="3" t="s">
        <v>137</v>
      </c>
      <c r="R82" s="3" t="s">
        <v>543</v>
      </c>
      <c r="S82" s="3" t="s">
        <v>631</v>
      </c>
      <c r="T82" s="3" t="s">
        <v>530</v>
      </c>
      <c r="U82" s="3" t="s">
        <v>595</v>
      </c>
    </row>
    <row r="83" ht="82.5" spans="1:21">
      <c r="A83" s="3">
        <v>82</v>
      </c>
      <c r="B83" s="3" t="s">
        <v>652</v>
      </c>
      <c r="C83" s="3" t="s">
        <v>653</v>
      </c>
      <c r="D83" s="3" t="s">
        <v>83</v>
      </c>
      <c r="E83" s="3" t="s">
        <v>654</v>
      </c>
      <c r="F83" s="3" t="s">
        <v>627</v>
      </c>
      <c r="G83" s="3" t="s">
        <v>655</v>
      </c>
      <c r="H83" s="3" t="s">
        <v>629</v>
      </c>
      <c r="I83" s="3" t="s">
        <v>215</v>
      </c>
      <c r="J83" s="3" t="s">
        <v>216</v>
      </c>
      <c r="K83" s="3" t="s">
        <v>131</v>
      </c>
      <c r="L83" s="3" t="s">
        <v>132</v>
      </c>
      <c r="M83" s="3" t="s">
        <v>133</v>
      </c>
      <c r="N83" s="3" t="s">
        <v>656</v>
      </c>
      <c r="O83" s="3" t="s">
        <v>528</v>
      </c>
      <c r="P83" s="3" t="s">
        <v>136</v>
      </c>
      <c r="Q83" s="3" t="s">
        <v>137</v>
      </c>
      <c r="R83" s="3" t="s">
        <v>543</v>
      </c>
      <c r="S83" s="3" t="s">
        <v>631</v>
      </c>
      <c r="T83" s="3" t="s">
        <v>530</v>
      </c>
      <c r="U83" s="3" t="s">
        <v>595</v>
      </c>
    </row>
    <row r="84" ht="66" spans="1:21">
      <c r="A84" s="3">
        <v>83</v>
      </c>
      <c r="B84" s="3" t="s">
        <v>657</v>
      </c>
      <c r="C84" s="3" t="s">
        <v>658</v>
      </c>
      <c r="D84" s="3" t="s">
        <v>83</v>
      </c>
      <c r="E84" s="3" t="s">
        <v>659</v>
      </c>
      <c r="F84" s="3" t="s">
        <v>627</v>
      </c>
      <c r="G84" s="3" t="s">
        <v>660</v>
      </c>
      <c r="H84" s="3" t="s">
        <v>661</v>
      </c>
      <c r="I84" s="3" t="s">
        <v>215</v>
      </c>
      <c r="J84" s="3" t="s">
        <v>216</v>
      </c>
      <c r="K84" s="3" t="s">
        <v>131</v>
      </c>
      <c r="L84" s="3" t="s">
        <v>132</v>
      </c>
      <c r="M84" s="3" t="s">
        <v>133</v>
      </c>
      <c r="N84" s="3" t="s">
        <v>662</v>
      </c>
      <c r="O84" s="3" t="s">
        <v>528</v>
      </c>
      <c r="P84" s="3" t="s">
        <v>136</v>
      </c>
      <c r="Q84" s="3" t="s">
        <v>137</v>
      </c>
      <c r="R84" s="3" t="s">
        <v>543</v>
      </c>
      <c r="S84" s="3" t="s">
        <v>631</v>
      </c>
      <c r="T84" s="3" t="s">
        <v>530</v>
      </c>
      <c r="U84" s="3" t="s">
        <v>595</v>
      </c>
    </row>
    <row r="85" ht="82.5" spans="1:21">
      <c r="A85" s="3">
        <v>84</v>
      </c>
      <c r="B85" s="3" t="s">
        <v>663</v>
      </c>
      <c r="C85" s="3" t="s">
        <v>664</v>
      </c>
      <c r="D85" s="3" t="s">
        <v>83</v>
      </c>
      <c r="E85" s="3" t="s">
        <v>665</v>
      </c>
      <c r="F85" s="3" t="s">
        <v>627</v>
      </c>
      <c r="G85" s="3" t="s">
        <v>666</v>
      </c>
      <c r="H85" s="3" t="s">
        <v>629</v>
      </c>
      <c r="I85" s="3" t="s">
        <v>215</v>
      </c>
      <c r="J85" s="3" t="s">
        <v>216</v>
      </c>
      <c r="K85" s="3" t="s">
        <v>131</v>
      </c>
      <c r="L85" s="3" t="s">
        <v>132</v>
      </c>
      <c r="M85" s="3" t="s">
        <v>133</v>
      </c>
      <c r="N85" s="3" t="s">
        <v>667</v>
      </c>
      <c r="O85" s="3" t="s">
        <v>528</v>
      </c>
      <c r="P85" s="3" t="s">
        <v>136</v>
      </c>
      <c r="Q85" s="3" t="s">
        <v>137</v>
      </c>
      <c r="R85" s="3" t="s">
        <v>543</v>
      </c>
      <c r="S85" s="3" t="s">
        <v>631</v>
      </c>
      <c r="T85" s="3" t="s">
        <v>530</v>
      </c>
      <c r="U85" s="3" t="s">
        <v>595</v>
      </c>
    </row>
    <row r="86" ht="82.5" spans="1:21">
      <c r="A86" s="3">
        <v>85</v>
      </c>
      <c r="B86" s="3" t="s">
        <v>668</v>
      </c>
      <c r="C86" s="3" t="s">
        <v>669</v>
      </c>
      <c r="D86" s="3" t="s">
        <v>83</v>
      </c>
      <c r="E86" s="3" t="s">
        <v>670</v>
      </c>
      <c r="F86" s="3" t="s">
        <v>627</v>
      </c>
      <c r="G86" s="3" t="s">
        <v>671</v>
      </c>
      <c r="H86" s="3" t="s">
        <v>629</v>
      </c>
      <c r="I86" s="3" t="s">
        <v>215</v>
      </c>
      <c r="J86" s="3" t="s">
        <v>216</v>
      </c>
      <c r="K86" s="3" t="s">
        <v>131</v>
      </c>
      <c r="L86" s="3" t="s">
        <v>132</v>
      </c>
      <c r="M86" s="3" t="s">
        <v>133</v>
      </c>
      <c r="N86" s="3" t="s">
        <v>672</v>
      </c>
      <c r="O86" s="3" t="s">
        <v>528</v>
      </c>
      <c r="P86" s="3" t="s">
        <v>136</v>
      </c>
      <c r="Q86" s="3" t="s">
        <v>137</v>
      </c>
      <c r="R86" s="3" t="s">
        <v>543</v>
      </c>
      <c r="S86" s="3" t="s">
        <v>631</v>
      </c>
      <c r="T86" s="3" t="s">
        <v>530</v>
      </c>
      <c r="U86" s="3" t="s">
        <v>595</v>
      </c>
    </row>
    <row r="87" ht="66" spans="1:21">
      <c r="A87" s="3">
        <v>86</v>
      </c>
      <c r="B87" s="3" t="s">
        <v>673</v>
      </c>
      <c r="C87" s="3" t="s">
        <v>674</v>
      </c>
      <c r="D87" s="3" t="s">
        <v>83</v>
      </c>
      <c r="E87" s="3" t="s">
        <v>675</v>
      </c>
      <c r="F87" s="3" t="s">
        <v>627</v>
      </c>
      <c r="G87" s="3" t="s">
        <v>676</v>
      </c>
      <c r="H87" s="3" t="s">
        <v>661</v>
      </c>
      <c r="I87" s="3" t="s">
        <v>215</v>
      </c>
      <c r="J87" s="3" t="s">
        <v>216</v>
      </c>
      <c r="K87" s="3" t="s">
        <v>131</v>
      </c>
      <c r="L87" s="3" t="s">
        <v>132</v>
      </c>
      <c r="M87" s="3" t="s">
        <v>133</v>
      </c>
      <c r="N87" s="3" t="s">
        <v>677</v>
      </c>
      <c r="O87" s="3" t="s">
        <v>528</v>
      </c>
      <c r="P87" s="3" t="s">
        <v>136</v>
      </c>
      <c r="Q87" s="3" t="s">
        <v>137</v>
      </c>
      <c r="R87" s="3" t="s">
        <v>543</v>
      </c>
      <c r="S87" s="3" t="s">
        <v>631</v>
      </c>
      <c r="T87" s="3" t="s">
        <v>530</v>
      </c>
      <c r="U87" s="3" t="s">
        <v>595</v>
      </c>
    </row>
    <row r="88" ht="82.5" spans="1:21">
      <c r="A88" s="3">
        <v>87</v>
      </c>
      <c r="B88" s="3" t="s">
        <v>678</v>
      </c>
      <c r="C88" s="3" t="s">
        <v>679</v>
      </c>
      <c r="D88" s="3" t="s">
        <v>83</v>
      </c>
      <c r="E88" s="3" t="s">
        <v>680</v>
      </c>
      <c r="F88" s="3" t="s">
        <v>627</v>
      </c>
      <c r="G88" s="3" t="s">
        <v>681</v>
      </c>
      <c r="H88" s="3" t="s">
        <v>629</v>
      </c>
      <c r="I88" s="3" t="s">
        <v>215</v>
      </c>
      <c r="J88" s="3" t="s">
        <v>216</v>
      </c>
      <c r="K88" s="3" t="s">
        <v>131</v>
      </c>
      <c r="L88" s="3" t="s">
        <v>132</v>
      </c>
      <c r="M88" s="3" t="s">
        <v>133</v>
      </c>
      <c r="N88" s="3" t="s">
        <v>682</v>
      </c>
      <c r="O88" s="3" t="s">
        <v>528</v>
      </c>
      <c r="P88" s="3" t="s">
        <v>136</v>
      </c>
      <c r="Q88" s="3" t="s">
        <v>137</v>
      </c>
      <c r="R88" s="3" t="s">
        <v>543</v>
      </c>
      <c r="S88" s="3" t="s">
        <v>631</v>
      </c>
      <c r="T88" s="3" t="s">
        <v>530</v>
      </c>
      <c r="U88" s="3" t="s">
        <v>595</v>
      </c>
    </row>
    <row r="89" ht="82.5" spans="1:21">
      <c r="A89" s="3">
        <v>88</v>
      </c>
      <c r="B89" s="3" t="s">
        <v>683</v>
      </c>
      <c r="C89" s="3" t="s">
        <v>684</v>
      </c>
      <c r="D89" s="3" t="s">
        <v>83</v>
      </c>
      <c r="E89" s="3" t="s">
        <v>685</v>
      </c>
      <c r="F89" s="3" t="s">
        <v>627</v>
      </c>
      <c r="G89" s="3" t="s">
        <v>686</v>
      </c>
      <c r="H89" s="3" t="s">
        <v>629</v>
      </c>
      <c r="I89" s="3" t="s">
        <v>215</v>
      </c>
      <c r="J89" s="3" t="s">
        <v>216</v>
      </c>
      <c r="K89" s="3" t="s">
        <v>131</v>
      </c>
      <c r="L89" s="3" t="s">
        <v>132</v>
      </c>
      <c r="M89" s="3" t="s">
        <v>133</v>
      </c>
      <c r="N89" s="3" t="s">
        <v>687</v>
      </c>
      <c r="O89" s="3" t="s">
        <v>528</v>
      </c>
      <c r="P89" s="3" t="s">
        <v>136</v>
      </c>
      <c r="Q89" s="3" t="s">
        <v>137</v>
      </c>
      <c r="R89" s="3" t="s">
        <v>543</v>
      </c>
      <c r="S89" s="3" t="s">
        <v>631</v>
      </c>
      <c r="T89" s="3" t="s">
        <v>530</v>
      </c>
      <c r="U89" s="3" t="s">
        <v>595</v>
      </c>
    </row>
    <row r="90" ht="82.5" spans="1:21">
      <c r="A90" s="3">
        <v>89</v>
      </c>
      <c r="B90" s="3" t="s">
        <v>688</v>
      </c>
      <c r="C90" s="3" t="s">
        <v>689</v>
      </c>
      <c r="D90" s="3" t="s">
        <v>83</v>
      </c>
      <c r="E90" s="3" t="s">
        <v>690</v>
      </c>
      <c r="F90" s="3" t="s">
        <v>627</v>
      </c>
      <c r="G90" s="3" t="s">
        <v>691</v>
      </c>
      <c r="H90" s="3" t="s">
        <v>629</v>
      </c>
      <c r="I90" s="3" t="s">
        <v>215</v>
      </c>
      <c r="J90" s="3" t="s">
        <v>216</v>
      </c>
      <c r="K90" s="3" t="s">
        <v>131</v>
      </c>
      <c r="L90" s="3" t="s">
        <v>132</v>
      </c>
      <c r="M90" s="3" t="s">
        <v>133</v>
      </c>
      <c r="N90" s="3" t="s">
        <v>692</v>
      </c>
      <c r="O90" s="3" t="s">
        <v>528</v>
      </c>
      <c r="P90" s="3" t="s">
        <v>136</v>
      </c>
      <c r="Q90" s="3" t="s">
        <v>137</v>
      </c>
      <c r="R90" s="3" t="s">
        <v>543</v>
      </c>
      <c r="S90" s="3" t="s">
        <v>631</v>
      </c>
      <c r="T90" s="3" t="s">
        <v>530</v>
      </c>
      <c r="U90" s="3" t="s">
        <v>595</v>
      </c>
    </row>
    <row r="91" ht="82.5" spans="1:21">
      <c r="A91" s="3">
        <v>90</v>
      </c>
      <c r="B91" s="3" t="s">
        <v>693</v>
      </c>
      <c r="C91" s="3" t="s">
        <v>694</v>
      </c>
      <c r="D91" s="3" t="s">
        <v>83</v>
      </c>
      <c r="E91" s="3" t="s">
        <v>695</v>
      </c>
      <c r="F91" s="3" t="s">
        <v>627</v>
      </c>
      <c r="G91" s="3" t="s">
        <v>696</v>
      </c>
      <c r="H91" s="3" t="s">
        <v>629</v>
      </c>
      <c r="I91" s="3" t="s">
        <v>215</v>
      </c>
      <c r="J91" s="3" t="s">
        <v>216</v>
      </c>
      <c r="K91" s="3" t="s">
        <v>131</v>
      </c>
      <c r="L91" s="3" t="s">
        <v>132</v>
      </c>
      <c r="M91" s="3" t="s">
        <v>133</v>
      </c>
      <c r="N91" s="3" t="s">
        <v>697</v>
      </c>
      <c r="O91" s="3" t="s">
        <v>528</v>
      </c>
      <c r="P91" s="3" t="s">
        <v>136</v>
      </c>
      <c r="Q91" s="3" t="s">
        <v>137</v>
      </c>
      <c r="R91" s="3" t="s">
        <v>543</v>
      </c>
      <c r="S91" s="3" t="s">
        <v>631</v>
      </c>
      <c r="T91" s="3" t="s">
        <v>530</v>
      </c>
      <c r="U91" s="3" t="s">
        <v>595</v>
      </c>
    </row>
    <row r="92" ht="82.5" spans="1:21">
      <c r="A92" s="3">
        <v>91</v>
      </c>
      <c r="B92" s="3" t="s">
        <v>698</v>
      </c>
      <c r="C92" s="3" t="s">
        <v>699</v>
      </c>
      <c r="D92" s="3" t="s">
        <v>83</v>
      </c>
      <c r="E92" s="3" t="s">
        <v>700</v>
      </c>
      <c r="F92" s="3" t="s">
        <v>627</v>
      </c>
      <c r="G92" s="3" t="s">
        <v>701</v>
      </c>
      <c r="H92" s="3" t="s">
        <v>629</v>
      </c>
      <c r="I92" s="3" t="s">
        <v>215</v>
      </c>
      <c r="J92" s="3" t="s">
        <v>216</v>
      </c>
      <c r="K92" s="3" t="s">
        <v>131</v>
      </c>
      <c r="L92" s="3" t="s">
        <v>132</v>
      </c>
      <c r="M92" s="3" t="s">
        <v>133</v>
      </c>
      <c r="N92" s="3" t="s">
        <v>702</v>
      </c>
      <c r="O92" s="3" t="s">
        <v>528</v>
      </c>
      <c r="P92" s="3" t="s">
        <v>136</v>
      </c>
      <c r="Q92" s="3" t="s">
        <v>137</v>
      </c>
      <c r="R92" s="3" t="s">
        <v>543</v>
      </c>
      <c r="S92" s="3" t="s">
        <v>631</v>
      </c>
      <c r="T92" s="3" t="s">
        <v>530</v>
      </c>
      <c r="U92" s="3" t="s">
        <v>595</v>
      </c>
    </row>
    <row r="93" ht="82.5" spans="1:21">
      <c r="A93" s="3">
        <v>92</v>
      </c>
      <c r="B93" s="3" t="s">
        <v>703</v>
      </c>
      <c r="C93" s="3" t="s">
        <v>704</v>
      </c>
      <c r="D93" s="3" t="s">
        <v>83</v>
      </c>
      <c r="E93" s="3" t="s">
        <v>705</v>
      </c>
      <c r="F93" s="3" t="s">
        <v>627</v>
      </c>
      <c r="G93" s="3" t="s">
        <v>706</v>
      </c>
      <c r="H93" s="3" t="s">
        <v>629</v>
      </c>
      <c r="I93" s="3" t="s">
        <v>215</v>
      </c>
      <c r="J93" s="3" t="s">
        <v>216</v>
      </c>
      <c r="K93" s="3" t="s">
        <v>131</v>
      </c>
      <c r="L93" s="3" t="s">
        <v>132</v>
      </c>
      <c r="M93" s="3" t="s">
        <v>133</v>
      </c>
      <c r="N93" s="3" t="s">
        <v>707</v>
      </c>
      <c r="O93" s="3" t="s">
        <v>528</v>
      </c>
      <c r="P93" s="3" t="s">
        <v>136</v>
      </c>
      <c r="Q93" s="3" t="s">
        <v>137</v>
      </c>
      <c r="R93" s="3" t="s">
        <v>543</v>
      </c>
      <c r="S93" s="3" t="s">
        <v>631</v>
      </c>
      <c r="T93" s="3" t="s">
        <v>530</v>
      </c>
      <c r="U93" s="3" t="s">
        <v>595</v>
      </c>
    </row>
    <row r="94" ht="82.5" spans="1:21">
      <c r="A94" s="3">
        <v>93</v>
      </c>
      <c r="B94" s="3" t="s">
        <v>708</v>
      </c>
      <c r="C94" s="3" t="s">
        <v>709</v>
      </c>
      <c r="D94" s="3" t="s">
        <v>83</v>
      </c>
      <c r="E94" s="3" t="s">
        <v>710</v>
      </c>
      <c r="F94" s="3" t="s">
        <v>627</v>
      </c>
      <c r="G94" s="3" t="s">
        <v>711</v>
      </c>
      <c r="H94" s="3" t="s">
        <v>629</v>
      </c>
      <c r="I94" s="3" t="s">
        <v>215</v>
      </c>
      <c r="J94" s="3" t="s">
        <v>216</v>
      </c>
      <c r="K94" s="3" t="s">
        <v>131</v>
      </c>
      <c r="L94" s="3" t="s">
        <v>132</v>
      </c>
      <c r="M94" s="3" t="s">
        <v>133</v>
      </c>
      <c r="N94" s="3" t="s">
        <v>712</v>
      </c>
      <c r="O94" s="3" t="s">
        <v>528</v>
      </c>
      <c r="P94" s="3" t="s">
        <v>136</v>
      </c>
      <c r="Q94" s="3" t="s">
        <v>137</v>
      </c>
      <c r="R94" s="3" t="s">
        <v>543</v>
      </c>
      <c r="S94" s="3" t="s">
        <v>631</v>
      </c>
      <c r="T94" s="3" t="s">
        <v>530</v>
      </c>
      <c r="U94" s="3" t="s">
        <v>595</v>
      </c>
    </row>
    <row r="95" ht="82.5" spans="1:21">
      <c r="A95" s="3">
        <v>94</v>
      </c>
      <c r="B95" s="3" t="s">
        <v>713</v>
      </c>
      <c r="C95" s="3" t="s">
        <v>714</v>
      </c>
      <c r="D95" s="3" t="s">
        <v>83</v>
      </c>
      <c r="E95" s="3" t="s">
        <v>715</v>
      </c>
      <c r="F95" s="3" t="s">
        <v>627</v>
      </c>
      <c r="G95" s="3" t="s">
        <v>716</v>
      </c>
      <c r="H95" s="3" t="s">
        <v>629</v>
      </c>
      <c r="I95" s="3" t="s">
        <v>215</v>
      </c>
      <c r="J95" s="3" t="s">
        <v>216</v>
      </c>
      <c r="K95" s="3" t="s">
        <v>131</v>
      </c>
      <c r="L95" s="3" t="s">
        <v>132</v>
      </c>
      <c r="M95" s="3" t="s">
        <v>133</v>
      </c>
      <c r="N95" s="3" t="s">
        <v>717</v>
      </c>
      <c r="O95" s="3" t="s">
        <v>528</v>
      </c>
      <c r="P95" s="3" t="s">
        <v>136</v>
      </c>
      <c r="Q95" s="3" t="s">
        <v>137</v>
      </c>
      <c r="R95" s="3" t="s">
        <v>543</v>
      </c>
      <c r="S95" s="3" t="s">
        <v>631</v>
      </c>
      <c r="T95" s="3" t="s">
        <v>530</v>
      </c>
      <c r="U95" s="3" t="s">
        <v>595</v>
      </c>
    </row>
    <row r="96" ht="66" spans="1:21">
      <c r="A96" s="3">
        <v>95</v>
      </c>
      <c r="B96" s="3" t="s">
        <v>718</v>
      </c>
      <c r="C96" s="3" t="s">
        <v>719</v>
      </c>
      <c r="D96" s="3" t="s">
        <v>83</v>
      </c>
      <c r="E96" s="3" t="s">
        <v>720</v>
      </c>
      <c r="F96" s="3" t="s">
        <v>627</v>
      </c>
      <c r="G96" s="3" t="s">
        <v>721</v>
      </c>
      <c r="H96" s="3" t="s">
        <v>722</v>
      </c>
      <c r="I96" s="3" t="s">
        <v>129</v>
      </c>
      <c r="J96" s="3" t="s">
        <v>130</v>
      </c>
      <c r="K96" s="3" t="s">
        <v>131</v>
      </c>
      <c r="L96" s="3" t="s">
        <v>132</v>
      </c>
      <c r="M96" s="3" t="s">
        <v>133</v>
      </c>
      <c r="N96" s="3" t="s">
        <v>723</v>
      </c>
      <c r="O96" s="3" t="s">
        <v>528</v>
      </c>
      <c r="P96" s="3" t="s">
        <v>136</v>
      </c>
      <c r="Q96" s="3" t="s">
        <v>137</v>
      </c>
      <c r="R96" s="3" t="s">
        <v>543</v>
      </c>
      <c r="S96" s="3" t="s">
        <v>724</v>
      </c>
      <c r="T96" s="3" t="s">
        <v>530</v>
      </c>
      <c r="U96" s="3" t="s">
        <v>595</v>
      </c>
    </row>
    <row r="97" ht="66" spans="1:21">
      <c r="A97" s="3">
        <v>96</v>
      </c>
      <c r="B97" s="3" t="s">
        <v>725</v>
      </c>
      <c r="C97" s="3" t="s">
        <v>726</v>
      </c>
      <c r="D97" s="3" t="s">
        <v>83</v>
      </c>
      <c r="E97" s="3" t="s">
        <v>727</v>
      </c>
      <c r="F97" s="3" t="s">
        <v>627</v>
      </c>
      <c r="G97" s="3" t="s">
        <v>728</v>
      </c>
      <c r="H97" s="3" t="s">
        <v>729</v>
      </c>
      <c r="I97" s="3" t="s">
        <v>215</v>
      </c>
      <c r="J97" s="3" t="s">
        <v>216</v>
      </c>
      <c r="K97" s="3" t="s">
        <v>131</v>
      </c>
      <c r="L97" s="3" t="s">
        <v>132</v>
      </c>
      <c r="M97" s="3" t="s">
        <v>133</v>
      </c>
      <c r="N97" s="3" t="s">
        <v>730</v>
      </c>
      <c r="O97" s="3" t="s">
        <v>528</v>
      </c>
      <c r="P97" s="3" t="s">
        <v>136</v>
      </c>
      <c r="Q97" s="3" t="s">
        <v>137</v>
      </c>
      <c r="R97" s="3" t="s">
        <v>543</v>
      </c>
      <c r="S97" s="3" t="s">
        <v>631</v>
      </c>
      <c r="T97" s="3" t="s">
        <v>530</v>
      </c>
      <c r="U97" s="3" t="s">
        <v>595</v>
      </c>
    </row>
    <row r="98" ht="82.5" spans="1:21">
      <c r="A98" s="3">
        <v>97</v>
      </c>
      <c r="B98" s="3" t="s">
        <v>731</v>
      </c>
      <c r="C98" s="3" t="s">
        <v>732</v>
      </c>
      <c r="D98" s="3" t="s">
        <v>83</v>
      </c>
      <c r="E98" s="3" t="s">
        <v>733</v>
      </c>
      <c r="F98" s="3" t="s">
        <v>627</v>
      </c>
      <c r="G98" s="3" t="s">
        <v>734</v>
      </c>
      <c r="H98" s="3" t="s">
        <v>735</v>
      </c>
      <c r="I98" s="3" t="s">
        <v>215</v>
      </c>
      <c r="J98" s="3" t="s">
        <v>216</v>
      </c>
      <c r="K98" s="3" t="s">
        <v>131</v>
      </c>
      <c r="L98" s="3" t="s">
        <v>132</v>
      </c>
      <c r="M98" s="3" t="s">
        <v>133</v>
      </c>
      <c r="N98" s="3" t="s">
        <v>736</v>
      </c>
      <c r="O98" s="3" t="s">
        <v>528</v>
      </c>
      <c r="P98" s="3" t="s">
        <v>136</v>
      </c>
      <c r="Q98" s="3" t="s">
        <v>137</v>
      </c>
      <c r="R98" s="3" t="s">
        <v>543</v>
      </c>
      <c r="S98" s="3" t="s">
        <v>737</v>
      </c>
      <c r="T98" s="3" t="s">
        <v>530</v>
      </c>
      <c r="U98" s="3" t="s">
        <v>595</v>
      </c>
    </row>
    <row r="99" ht="49.5" spans="1:21">
      <c r="A99" s="3">
        <v>98</v>
      </c>
      <c r="B99" s="3" t="s">
        <v>738</v>
      </c>
      <c r="C99" s="3" t="s">
        <v>739</v>
      </c>
      <c r="D99" s="3" t="s">
        <v>83</v>
      </c>
      <c r="E99" s="3" t="s">
        <v>740</v>
      </c>
      <c r="F99" s="3" t="s">
        <v>627</v>
      </c>
      <c r="G99" s="3" t="s">
        <v>741</v>
      </c>
      <c r="H99" s="3" t="s">
        <v>722</v>
      </c>
      <c r="I99" s="3" t="s">
        <v>129</v>
      </c>
      <c r="J99" s="3" t="s">
        <v>130</v>
      </c>
      <c r="K99" s="3" t="s">
        <v>131</v>
      </c>
      <c r="L99" s="3" t="s">
        <v>132</v>
      </c>
      <c r="M99" s="3" t="s">
        <v>133</v>
      </c>
      <c r="N99" s="3" t="s">
        <v>742</v>
      </c>
      <c r="O99" s="3" t="s">
        <v>528</v>
      </c>
      <c r="P99" s="3" t="s">
        <v>136</v>
      </c>
      <c r="Q99" s="3" t="s">
        <v>137</v>
      </c>
      <c r="R99" s="3" t="s">
        <v>543</v>
      </c>
      <c r="S99" s="3" t="s">
        <v>724</v>
      </c>
      <c r="T99" s="3" t="s">
        <v>530</v>
      </c>
      <c r="U99" s="3" t="s">
        <v>595</v>
      </c>
    </row>
    <row r="100" ht="66" spans="1:21">
      <c r="A100" s="3">
        <v>99</v>
      </c>
      <c r="B100" s="3" t="s">
        <v>743</v>
      </c>
      <c r="C100" s="3" t="s">
        <v>744</v>
      </c>
      <c r="D100" s="3" t="s">
        <v>83</v>
      </c>
      <c r="E100" s="3" t="s">
        <v>745</v>
      </c>
      <c r="F100" s="3" t="s">
        <v>627</v>
      </c>
      <c r="G100" s="3" t="s">
        <v>746</v>
      </c>
      <c r="H100" s="3" t="s">
        <v>729</v>
      </c>
      <c r="I100" s="3" t="s">
        <v>215</v>
      </c>
      <c r="J100" s="3" t="s">
        <v>216</v>
      </c>
      <c r="K100" s="3" t="s">
        <v>131</v>
      </c>
      <c r="L100" s="3" t="s">
        <v>132</v>
      </c>
      <c r="M100" s="3" t="s">
        <v>133</v>
      </c>
      <c r="N100" s="3" t="s">
        <v>747</v>
      </c>
      <c r="O100" s="3" t="s">
        <v>528</v>
      </c>
      <c r="P100" s="3" t="s">
        <v>136</v>
      </c>
      <c r="Q100" s="3" t="s">
        <v>137</v>
      </c>
      <c r="R100" s="3" t="s">
        <v>543</v>
      </c>
      <c r="S100" s="3" t="s">
        <v>631</v>
      </c>
      <c r="T100" s="3" t="s">
        <v>530</v>
      </c>
      <c r="U100" s="3" t="s">
        <v>595</v>
      </c>
    </row>
    <row r="101" ht="66" spans="1:21">
      <c r="A101" s="3">
        <v>100</v>
      </c>
      <c r="B101" s="3" t="s">
        <v>748</v>
      </c>
      <c r="C101" s="3" t="s">
        <v>749</v>
      </c>
      <c r="D101" s="3" t="s">
        <v>83</v>
      </c>
      <c r="E101" s="3" t="s">
        <v>750</v>
      </c>
      <c r="F101" s="3" t="s">
        <v>627</v>
      </c>
      <c r="G101" s="3" t="s">
        <v>751</v>
      </c>
      <c r="H101" s="3" t="s">
        <v>722</v>
      </c>
      <c r="I101" s="3" t="s">
        <v>129</v>
      </c>
      <c r="J101" s="3" t="s">
        <v>130</v>
      </c>
      <c r="K101" s="3" t="s">
        <v>131</v>
      </c>
      <c r="L101" s="3" t="s">
        <v>132</v>
      </c>
      <c r="M101" s="3" t="s">
        <v>133</v>
      </c>
      <c r="N101" s="3" t="s">
        <v>752</v>
      </c>
      <c r="O101" s="3" t="s">
        <v>528</v>
      </c>
      <c r="P101" s="3" t="s">
        <v>136</v>
      </c>
      <c r="Q101" s="3" t="s">
        <v>137</v>
      </c>
      <c r="R101" s="3" t="s">
        <v>543</v>
      </c>
      <c r="S101" s="3" t="s">
        <v>724</v>
      </c>
      <c r="T101" s="3" t="s">
        <v>530</v>
      </c>
      <c r="U101" s="3" t="s">
        <v>595</v>
      </c>
    </row>
    <row r="102" ht="66" spans="1:21">
      <c r="A102" s="3">
        <v>101</v>
      </c>
      <c r="B102" s="3" t="s">
        <v>753</v>
      </c>
      <c r="C102" s="3" t="s">
        <v>754</v>
      </c>
      <c r="D102" s="3" t="s">
        <v>83</v>
      </c>
      <c r="E102" s="3" t="s">
        <v>755</v>
      </c>
      <c r="F102" s="3" t="s">
        <v>627</v>
      </c>
      <c r="G102" s="3" t="s">
        <v>756</v>
      </c>
      <c r="H102" s="3" t="s">
        <v>729</v>
      </c>
      <c r="I102" s="3" t="s">
        <v>215</v>
      </c>
      <c r="J102" s="3" t="s">
        <v>216</v>
      </c>
      <c r="K102" s="3" t="s">
        <v>131</v>
      </c>
      <c r="L102" s="3" t="s">
        <v>132</v>
      </c>
      <c r="M102" s="3" t="s">
        <v>133</v>
      </c>
      <c r="N102" s="3" t="s">
        <v>757</v>
      </c>
      <c r="O102" s="3" t="s">
        <v>528</v>
      </c>
      <c r="P102" s="3" t="s">
        <v>136</v>
      </c>
      <c r="Q102" s="3" t="s">
        <v>137</v>
      </c>
      <c r="R102" s="3" t="s">
        <v>543</v>
      </c>
      <c r="S102" s="3" t="s">
        <v>631</v>
      </c>
      <c r="T102" s="3" t="s">
        <v>530</v>
      </c>
      <c r="U102" s="3" t="s">
        <v>595</v>
      </c>
    </row>
    <row r="103" ht="82.5" spans="1:21">
      <c r="A103" s="3">
        <v>102</v>
      </c>
      <c r="B103" s="3" t="s">
        <v>758</v>
      </c>
      <c r="C103" s="3" t="s">
        <v>759</v>
      </c>
      <c r="D103" s="3" t="s">
        <v>83</v>
      </c>
      <c r="E103" s="3" t="s">
        <v>760</v>
      </c>
      <c r="F103" s="3" t="s">
        <v>627</v>
      </c>
      <c r="G103" s="3" t="s">
        <v>761</v>
      </c>
      <c r="H103" s="3" t="s">
        <v>735</v>
      </c>
      <c r="I103" s="3" t="s">
        <v>215</v>
      </c>
      <c r="J103" s="3" t="s">
        <v>216</v>
      </c>
      <c r="K103" s="3" t="s">
        <v>131</v>
      </c>
      <c r="L103" s="3" t="s">
        <v>132</v>
      </c>
      <c r="M103" s="3" t="s">
        <v>133</v>
      </c>
      <c r="N103" s="3" t="s">
        <v>762</v>
      </c>
      <c r="O103" s="3" t="s">
        <v>528</v>
      </c>
      <c r="P103" s="3" t="s">
        <v>136</v>
      </c>
      <c r="Q103" s="3" t="s">
        <v>137</v>
      </c>
      <c r="R103" s="3" t="s">
        <v>543</v>
      </c>
      <c r="S103" s="3" t="s">
        <v>737</v>
      </c>
      <c r="T103" s="3" t="s">
        <v>530</v>
      </c>
      <c r="U103" s="3" t="s">
        <v>595</v>
      </c>
    </row>
    <row r="104" ht="49.5" spans="1:21">
      <c r="A104" s="3">
        <v>103</v>
      </c>
      <c r="B104" s="3" t="s">
        <v>763</v>
      </c>
      <c r="C104" s="3" t="s">
        <v>764</v>
      </c>
      <c r="D104" s="3" t="s">
        <v>83</v>
      </c>
      <c r="E104" s="3" t="s">
        <v>765</v>
      </c>
      <c r="F104" s="3" t="s">
        <v>627</v>
      </c>
      <c r="G104" s="3" t="s">
        <v>766</v>
      </c>
      <c r="H104" s="3" t="s">
        <v>722</v>
      </c>
      <c r="I104" s="3" t="s">
        <v>129</v>
      </c>
      <c r="J104" s="3" t="s">
        <v>130</v>
      </c>
      <c r="K104" s="3" t="s">
        <v>131</v>
      </c>
      <c r="L104" s="3" t="s">
        <v>132</v>
      </c>
      <c r="M104" s="3" t="s">
        <v>133</v>
      </c>
      <c r="N104" s="3" t="s">
        <v>767</v>
      </c>
      <c r="O104" s="3" t="s">
        <v>528</v>
      </c>
      <c r="P104" s="3" t="s">
        <v>136</v>
      </c>
      <c r="Q104" s="3" t="s">
        <v>137</v>
      </c>
      <c r="R104" s="3" t="s">
        <v>543</v>
      </c>
      <c r="S104" s="3" t="s">
        <v>724</v>
      </c>
      <c r="T104" s="3" t="s">
        <v>530</v>
      </c>
      <c r="U104" s="3" t="s">
        <v>595</v>
      </c>
    </row>
    <row r="105" ht="66" spans="1:21">
      <c r="A105" s="3">
        <v>104</v>
      </c>
      <c r="B105" s="3" t="s">
        <v>768</v>
      </c>
      <c r="C105" s="3" t="s">
        <v>769</v>
      </c>
      <c r="D105" s="3" t="s">
        <v>83</v>
      </c>
      <c r="E105" s="3" t="s">
        <v>770</v>
      </c>
      <c r="F105" s="3" t="s">
        <v>627</v>
      </c>
      <c r="G105" s="3" t="s">
        <v>771</v>
      </c>
      <c r="H105" s="3" t="s">
        <v>729</v>
      </c>
      <c r="I105" s="3" t="s">
        <v>215</v>
      </c>
      <c r="J105" s="3" t="s">
        <v>216</v>
      </c>
      <c r="K105" s="3" t="s">
        <v>131</v>
      </c>
      <c r="L105" s="3" t="s">
        <v>132</v>
      </c>
      <c r="M105" s="3" t="s">
        <v>133</v>
      </c>
      <c r="N105" s="3" t="s">
        <v>772</v>
      </c>
      <c r="O105" s="3" t="s">
        <v>528</v>
      </c>
      <c r="P105" s="3" t="s">
        <v>136</v>
      </c>
      <c r="Q105" s="3" t="s">
        <v>137</v>
      </c>
      <c r="R105" s="3" t="s">
        <v>543</v>
      </c>
      <c r="S105" s="3" t="s">
        <v>631</v>
      </c>
      <c r="T105" s="3" t="s">
        <v>530</v>
      </c>
      <c r="U105" s="3" t="s">
        <v>595</v>
      </c>
    </row>
    <row r="106" ht="49.5" spans="1:21">
      <c r="A106" s="3">
        <v>105</v>
      </c>
      <c r="B106" s="3" t="s">
        <v>773</v>
      </c>
      <c r="C106" s="3" t="s">
        <v>774</v>
      </c>
      <c r="D106" s="3" t="s">
        <v>83</v>
      </c>
      <c r="E106" s="3" t="s">
        <v>775</v>
      </c>
      <c r="F106" s="3" t="s">
        <v>627</v>
      </c>
      <c r="G106" s="3" t="s">
        <v>776</v>
      </c>
      <c r="H106" s="3" t="s">
        <v>722</v>
      </c>
      <c r="I106" s="3" t="s">
        <v>129</v>
      </c>
      <c r="J106" s="3" t="s">
        <v>130</v>
      </c>
      <c r="K106" s="3" t="s">
        <v>131</v>
      </c>
      <c r="L106" s="3" t="s">
        <v>132</v>
      </c>
      <c r="M106" s="3" t="s">
        <v>133</v>
      </c>
      <c r="N106" s="3" t="s">
        <v>777</v>
      </c>
      <c r="O106" s="3" t="s">
        <v>528</v>
      </c>
      <c r="P106" s="3" t="s">
        <v>136</v>
      </c>
      <c r="Q106" s="3" t="s">
        <v>137</v>
      </c>
      <c r="R106" s="3" t="s">
        <v>543</v>
      </c>
      <c r="S106" s="3" t="s">
        <v>724</v>
      </c>
      <c r="T106" s="3" t="s">
        <v>530</v>
      </c>
      <c r="U106" s="3" t="s">
        <v>595</v>
      </c>
    </row>
    <row r="107" ht="66" spans="1:21">
      <c r="A107" s="3">
        <v>106</v>
      </c>
      <c r="B107" s="3" t="s">
        <v>778</v>
      </c>
      <c r="C107" s="3" t="s">
        <v>779</v>
      </c>
      <c r="D107" s="3" t="s">
        <v>83</v>
      </c>
      <c r="E107" s="3" t="s">
        <v>780</v>
      </c>
      <c r="F107" s="3" t="s">
        <v>627</v>
      </c>
      <c r="G107" s="3" t="s">
        <v>781</v>
      </c>
      <c r="H107" s="3" t="s">
        <v>729</v>
      </c>
      <c r="I107" s="3" t="s">
        <v>215</v>
      </c>
      <c r="J107" s="3" t="s">
        <v>216</v>
      </c>
      <c r="K107" s="3" t="s">
        <v>131</v>
      </c>
      <c r="L107" s="3" t="s">
        <v>132</v>
      </c>
      <c r="M107" s="3" t="s">
        <v>133</v>
      </c>
      <c r="N107" s="3" t="s">
        <v>782</v>
      </c>
      <c r="O107" s="3" t="s">
        <v>528</v>
      </c>
      <c r="P107" s="3" t="s">
        <v>136</v>
      </c>
      <c r="Q107" s="3" t="s">
        <v>137</v>
      </c>
      <c r="R107" s="3" t="s">
        <v>543</v>
      </c>
      <c r="S107" s="3" t="s">
        <v>631</v>
      </c>
      <c r="T107" s="3" t="s">
        <v>530</v>
      </c>
      <c r="U107" s="3" t="s">
        <v>595</v>
      </c>
    </row>
    <row r="108" ht="66" spans="1:21">
      <c r="A108" s="3">
        <v>107</v>
      </c>
      <c r="B108" s="3" t="s">
        <v>783</v>
      </c>
      <c r="C108" s="3" t="s">
        <v>784</v>
      </c>
      <c r="D108" s="3" t="s">
        <v>83</v>
      </c>
      <c r="E108" s="3" t="s">
        <v>785</v>
      </c>
      <c r="F108" s="3" t="s">
        <v>627</v>
      </c>
      <c r="G108" s="3" t="s">
        <v>786</v>
      </c>
      <c r="H108" s="3" t="s">
        <v>735</v>
      </c>
      <c r="I108" s="3" t="s">
        <v>215</v>
      </c>
      <c r="J108" s="3" t="s">
        <v>216</v>
      </c>
      <c r="K108" s="3" t="s">
        <v>131</v>
      </c>
      <c r="L108" s="3" t="s">
        <v>132</v>
      </c>
      <c r="M108" s="3" t="s">
        <v>133</v>
      </c>
      <c r="N108" s="3" t="s">
        <v>787</v>
      </c>
      <c r="O108" s="3" t="s">
        <v>528</v>
      </c>
      <c r="P108" s="3" t="s">
        <v>136</v>
      </c>
      <c r="Q108" s="3" t="s">
        <v>137</v>
      </c>
      <c r="R108" s="3" t="s">
        <v>543</v>
      </c>
      <c r="S108" s="3" t="s">
        <v>737</v>
      </c>
      <c r="T108" s="3" t="s">
        <v>530</v>
      </c>
      <c r="U108" s="3" t="s">
        <v>595</v>
      </c>
    </row>
    <row r="109" ht="49.5" spans="1:21">
      <c r="A109" s="3">
        <v>108</v>
      </c>
      <c r="B109" s="3" t="s">
        <v>788</v>
      </c>
      <c r="C109" s="3" t="s">
        <v>789</v>
      </c>
      <c r="D109" s="3" t="s">
        <v>83</v>
      </c>
      <c r="E109" s="3" t="s">
        <v>790</v>
      </c>
      <c r="F109" s="3" t="s">
        <v>627</v>
      </c>
      <c r="G109" s="3" t="s">
        <v>791</v>
      </c>
      <c r="H109" s="3" t="s">
        <v>722</v>
      </c>
      <c r="I109" s="3" t="s">
        <v>129</v>
      </c>
      <c r="J109" s="3" t="s">
        <v>130</v>
      </c>
      <c r="K109" s="3" t="s">
        <v>131</v>
      </c>
      <c r="L109" s="3" t="s">
        <v>132</v>
      </c>
      <c r="M109" s="3" t="s">
        <v>133</v>
      </c>
      <c r="N109" s="3" t="s">
        <v>792</v>
      </c>
      <c r="O109" s="3" t="s">
        <v>528</v>
      </c>
      <c r="P109" s="3" t="s">
        <v>136</v>
      </c>
      <c r="Q109" s="3" t="s">
        <v>137</v>
      </c>
      <c r="R109" s="3" t="s">
        <v>543</v>
      </c>
      <c r="S109" s="3" t="s">
        <v>724</v>
      </c>
      <c r="T109" s="3" t="s">
        <v>530</v>
      </c>
      <c r="U109" s="3" t="s">
        <v>595</v>
      </c>
    </row>
    <row r="110" ht="49.5" spans="1:21">
      <c r="A110" s="3">
        <v>109</v>
      </c>
      <c r="B110" s="3" t="s">
        <v>793</v>
      </c>
      <c r="C110" s="3" t="s">
        <v>794</v>
      </c>
      <c r="D110" s="3" t="s">
        <v>83</v>
      </c>
      <c r="E110" s="3" t="s">
        <v>795</v>
      </c>
      <c r="F110" s="3" t="s">
        <v>627</v>
      </c>
      <c r="G110" s="3" t="s">
        <v>796</v>
      </c>
      <c r="H110" s="3" t="s">
        <v>729</v>
      </c>
      <c r="I110" s="3" t="s">
        <v>215</v>
      </c>
      <c r="J110" s="3" t="s">
        <v>216</v>
      </c>
      <c r="K110" s="3" t="s">
        <v>131</v>
      </c>
      <c r="L110" s="3" t="s">
        <v>132</v>
      </c>
      <c r="M110" s="3" t="s">
        <v>133</v>
      </c>
      <c r="N110" s="3" t="s">
        <v>797</v>
      </c>
      <c r="O110" s="3" t="s">
        <v>528</v>
      </c>
      <c r="P110" s="3" t="s">
        <v>136</v>
      </c>
      <c r="Q110" s="3" t="s">
        <v>137</v>
      </c>
      <c r="R110" s="3" t="s">
        <v>543</v>
      </c>
      <c r="S110" s="3" t="s">
        <v>631</v>
      </c>
      <c r="T110" s="3" t="s">
        <v>530</v>
      </c>
      <c r="U110" s="3" t="s">
        <v>595</v>
      </c>
    </row>
    <row r="111" ht="66" spans="1:21">
      <c r="A111" s="3">
        <v>110</v>
      </c>
      <c r="B111" s="3" t="s">
        <v>798</v>
      </c>
      <c r="C111" s="3" t="s">
        <v>799</v>
      </c>
      <c r="D111" s="3" t="s">
        <v>83</v>
      </c>
      <c r="E111" s="3" t="s">
        <v>800</v>
      </c>
      <c r="F111" s="3" t="s">
        <v>627</v>
      </c>
      <c r="G111" s="3" t="s">
        <v>801</v>
      </c>
      <c r="H111" s="3" t="s">
        <v>722</v>
      </c>
      <c r="I111" s="3" t="s">
        <v>129</v>
      </c>
      <c r="J111" s="3" t="s">
        <v>130</v>
      </c>
      <c r="K111" s="3" t="s">
        <v>131</v>
      </c>
      <c r="L111" s="3" t="s">
        <v>132</v>
      </c>
      <c r="M111" s="3" t="s">
        <v>133</v>
      </c>
      <c r="N111" s="3" t="s">
        <v>802</v>
      </c>
      <c r="O111" s="3" t="s">
        <v>528</v>
      </c>
      <c r="P111" s="3" t="s">
        <v>136</v>
      </c>
      <c r="Q111" s="3" t="s">
        <v>137</v>
      </c>
      <c r="R111" s="3" t="s">
        <v>543</v>
      </c>
      <c r="S111" s="3" t="s">
        <v>724</v>
      </c>
      <c r="T111" s="3" t="s">
        <v>530</v>
      </c>
      <c r="U111" s="3" t="s">
        <v>595</v>
      </c>
    </row>
    <row r="112" ht="82.5" spans="1:21">
      <c r="A112" s="3">
        <v>111</v>
      </c>
      <c r="B112" s="3" t="s">
        <v>803</v>
      </c>
      <c r="C112" s="3" t="s">
        <v>804</v>
      </c>
      <c r="D112" s="3" t="s">
        <v>83</v>
      </c>
      <c r="E112" s="3" t="s">
        <v>805</v>
      </c>
      <c r="F112" s="3" t="s">
        <v>627</v>
      </c>
      <c r="G112" s="3" t="s">
        <v>806</v>
      </c>
      <c r="H112" s="3" t="s">
        <v>729</v>
      </c>
      <c r="I112" s="3" t="s">
        <v>215</v>
      </c>
      <c r="J112" s="3" t="s">
        <v>216</v>
      </c>
      <c r="K112" s="3" t="s">
        <v>131</v>
      </c>
      <c r="L112" s="3" t="s">
        <v>132</v>
      </c>
      <c r="M112" s="3" t="s">
        <v>133</v>
      </c>
      <c r="N112" s="3" t="s">
        <v>807</v>
      </c>
      <c r="O112" s="3" t="s">
        <v>528</v>
      </c>
      <c r="P112" s="3" t="s">
        <v>136</v>
      </c>
      <c r="Q112" s="3" t="s">
        <v>137</v>
      </c>
      <c r="R112" s="3" t="s">
        <v>543</v>
      </c>
      <c r="S112" s="3" t="s">
        <v>631</v>
      </c>
      <c r="T112" s="3" t="s">
        <v>530</v>
      </c>
      <c r="U112" s="3" t="s">
        <v>595</v>
      </c>
    </row>
    <row r="113" ht="49.5" spans="1:21">
      <c r="A113" s="3">
        <v>112</v>
      </c>
      <c r="B113" s="3" t="s">
        <v>808</v>
      </c>
      <c r="C113" s="3" t="s">
        <v>809</v>
      </c>
      <c r="D113" s="3" t="s">
        <v>83</v>
      </c>
      <c r="E113" s="3" t="s">
        <v>810</v>
      </c>
      <c r="F113" s="3" t="s">
        <v>627</v>
      </c>
      <c r="G113" s="3" t="s">
        <v>811</v>
      </c>
      <c r="H113" s="3" t="s">
        <v>722</v>
      </c>
      <c r="I113" s="3" t="s">
        <v>129</v>
      </c>
      <c r="J113" s="3" t="s">
        <v>130</v>
      </c>
      <c r="K113" s="3" t="s">
        <v>131</v>
      </c>
      <c r="L113" s="3" t="s">
        <v>132</v>
      </c>
      <c r="M113" s="3" t="s">
        <v>133</v>
      </c>
      <c r="N113" s="3" t="s">
        <v>812</v>
      </c>
      <c r="O113" s="3" t="s">
        <v>528</v>
      </c>
      <c r="P113" s="3" t="s">
        <v>136</v>
      </c>
      <c r="Q113" s="3" t="s">
        <v>137</v>
      </c>
      <c r="R113" s="3" t="s">
        <v>543</v>
      </c>
      <c r="S113" s="3" t="s">
        <v>724</v>
      </c>
      <c r="T113" s="3" t="s">
        <v>530</v>
      </c>
      <c r="U113" s="3" t="s">
        <v>595</v>
      </c>
    </row>
    <row r="114" ht="66" spans="1:21">
      <c r="A114" s="3">
        <v>113</v>
      </c>
      <c r="B114" s="3" t="s">
        <v>813</v>
      </c>
      <c r="C114" s="3" t="s">
        <v>814</v>
      </c>
      <c r="D114" s="3" t="s">
        <v>83</v>
      </c>
      <c r="E114" s="3" t="s">
        <v>815</v>
      </c>
      <c r="F114" s="3" t="s">
        <v>627</v>
      </c>
      <c r="G114" s="3" t="s">
        <v>816</v>
      </c>
      <c r="H114" s="3" t="s">
        <v>729</v>
      </c>
      <c r="I114" s="3" t="s">
        <v>215</v>
      </c>
      <c r="J114" s="3" t="s">
        <v>216</v>
      </c>
      <c r="K114" s="3" t="s">
        <v>131</v>
      </c>
      <c r="L114" s="3" t="s">
        <v>132</v>
      </c>
      <c r="M114" s="3" t="s">
        <v>133</v>
      </c>
      <c r="N114" s="3" t="s">
        <v>817</v>
      </c>
      <c r="O114" s="3" t="s">
        <v>528</v>
      </c>
      <c r="P114" s="3" t="s">
        <v>136</v>
      </c>
      <c r="Q114" s="3" t="s">
        <v>137</v>
      </c>
      <c r="R114" s="3" t="s">
        <v>543</v>
      </c>
      <c r="S114" s="3" t="s">
        <v>631</v>
      </c>
      <c r="T114" s="3" t="s">
        <v>530</v>
      </c>
      <c r="U114" s="3" t="s">
        <v>595</v>
      </c>
    </row>
    <row r="115" ht="66" spans="1:21">
      <c r="A115" s="3">
        <v>114</v>
      </c>
      <c r="B115" s="3" t="s">
        <v>818</v>
      </c>
      <c r="C115" s="3" t="s">
        <v>819</v>
      </c>
      <c r="D115" s="3" t="s">
        <v>83</v>
      </c>
      <c r="E115" s="3" t="s">
        <v>820</v>
      </c>
      <c r="F115" s="3" t="s">
        <v>627</v>
      </c>
      <c r="G115" s="3" t="s">
        <v>821</v>
      </c>
      <c r="H115" s="3" t="s">
        <v>722</v>
      </c>
      <c r="I115" s="3" t="s">
        <v>129</v>
      </c>
      <c r="J115" s="3" t="s">
        <v>130</v>
      </c>
      <c r="K115" s="3" t="s">
        <v>131</v>
      </c>
      <c r="L115" s="3" t="s">
        <v>132</v>
      </c>
      <c r="M115" s="3" t="s">
        <v>133</v>
      </c>
      <c r="N115" s="3" t="s">
        <v>822</v>
      </c>
      <c r="O115" s="3" t="s">
        <v>528</v>
      </c>
      <c r="P115" s="3" t="s">
        <v>136</v>
      </c>
      <c r="Q115" s="3" t="s">
        <v>137</v>
      </c>
      <c r="R115" s="3" t="s">
        <v>543</v>
      </c>
      <c r="S115" s="3" t="s">
        <v>724</v>
      </c>
      <c r="T115" s="3" t="s">
        <v>530</v>
      </c>
      <c r="U115" s="3" t="s">
        <v>595</v>
      </c>
    </row>
    <row r="116" ht="82.5" spans="1:21">
      <c r="A116" s="3">
        <v>115</v>
      </c>
      <c r="B116" s="3" t="s">
        <v>823</v>
      </c>
      <c r="C116" s="3" t="s">
        <v>824</v>
      </c>
      <c r="D116" s="3" t="s">
        <v>83</v>
      </c>
      <c r="E116" s="3" t="s">
        <v>825</v>
      </c>
      <c r="F116" s="3" t="s">
        <v>627</v>
      </c>
      <c r="G116" s="3" t="s">
        <v>826</v>
      </c>
      <c r="H116" s="3" t="s">
        <v>729</v>
      </c>
      <c r="I116" s="3" t="s">
        <v>215</v>
      </c>
      <c r="J116" s="3" t="s">
        <v>216</v>
      </c>
      <c r="K116" s="3" t="s">
        <v>131</v>
      </c>
      <c r="L116" s="3" t="s">
        <v>132</v>
      </c>
      <c r="M116" s="3" t="s">
        <v>133</v>
      </c>
      <c r="N116" s="3" t="s">
        <v>827</v>
      </c>
      <c r="O116" s="3" t="s">
        <v>528</v>
      </c>
      <c r="P116" s="3" t="s">
        <v>136</v>
      </c>
      <c r="Q116" s="3" t="s">
        <v>137</v>
      </c>
      <c r="R116" s="3" t="s">
        <v>543</v>
      </c>
      <c r="S116" s="3" t="s">
        <v>631</v>
      </c>
      <c r="T116" s="3" t="s">
        <v>530</v>
      </c>
      <c r="U116" s="3" t="s">
        <v>595</v>
      </c>
    </row>
    <row r="117" ht="49.5" spans="1:21">
      <c r="A117" s="3">
        <v>116</v>
      </c>
      <c r="B117" s="3" t="s">
        <v>828</v>
      </c>
      <c r="C117" s="3" t="s">
        <v>829</v>
      </c>
      <c r="D117" s="3" t="s">
        <v>83</v>
      </c>
      <c r="E117" s="3" t="s">
        <v>830</v>
      </c>
      <c r="F117" s="3" t="s">
        <v>627</v>
      </c>
      <c r="G117" s="3" t="s">
        <v>831</v>
      </c>
      <c r="H117" s="3" t="s">
        <v>722</v>
      </c>
      <c r="I117" s="3" t="s">
        <v>129</v>
      </c>
      <c r="J117" s="3" t="s">
        <v>130</v>
      </c>
      <c r="K117" s="3" t="s">
        <v>131</v>
      </c>
      <c r="L117" s="3" t="s">
        <v>132</v>
      </c>
      <c r="M117" s="3" t="s">
        <v>133</v>
      </c>
      <c r="N117" s="3" t="s">
        <v>832</v>
      </c>
      <c r="O117" s="3" t="s">
        <v>528</v>
      </c>
      <c r="P117" s="3" t="s">
        <v>136</v>
      </c>
      <c r="Q117" s="3" t="s">
        <v>137</v>
      </c>
      <c r="R117" s="3" t="s">
        <v>543</v>
      </c>
      <c r="S117" s="3" t="s">
        <v>724</v>
      </c>
      <c r="T117" s="3" t="s">
        <v>530</v>
      </c>
      <c r="U117" s="3" t="s">
        <v>595</v>
      </c>
    </row>
    <row r="118" ht="66" spans="1:21">
      <c r="A118" s="3">
        <v>117</v>
      </c>
      <c r="B118" s="3" t="s">
        <v>833</v>
      </c>
      <c r="C118" s="3" t="s">
        <v>834</v>
      </c>
      <c r="D118" s="3" t="s">
        <v>83</v>
      </c>
      <c r="E118" s="3" t="s">
        <v>835</v>
      </c>
      <c r="F118" s="3" t="s">
        <v>627</v>
      </c>
      <c r="G118" s="3" t="s">
        <v>836</v>
      </c>
      <c r="H118" s="3" t="s">
        <v>729</v>
      </c>
      <c r="I118" s="3" t="s">
        <v>215</v>
      </c>
      <c r="J118" s="3" t="s">
        <v>216</v>
      </c>
      <c r="K118" s="3" t="s">
        <v>131</v>
      </c>
      <c r="L118" s="3" t="s">
        <v>132</v>
      </c>
      <c r="M118" s="3" t="s">
        <v>133</v>
      </c>
      <c r="N118" s="3" t="s">
        <v>837</v>
      </c>
      <c r="O118" s="3" t="s">
        <v>528</v>
      </c>
      <c r="P118" s="3" t="s">
        <v>136</v>
      </c>
      <c r="Q118" s="3" t="s">
        <v>137</v>
      </c>
      <c r="R118" s="3" t="s">
        <v>543</v>
      </c>
      <c r="S118" s="3" t="s">
        <v>631</v>
      </c>
      <c r="T118" s="3" t="s">
        <v>530</v>
      </c>
      <c r="U118" s="3" t="s">
        <v>595</v>
      </c>
    </row>
    <row r="119" ht="66" spans="1:21">
      <c r="A119" s="3">
        <v>118</v>
      </c>
      <c r="B119" s="3" t="s">
        <v>838</v>
      </c>
      <c r="C119" s="3" t="s">
        <v>839</v>
      </c>
      <c r="D119" s="3" t="s">
        <v>83</v>
      </c>
      <c r="E119" s="3" t="s">
        <v>840</v>
      </c>
      <c r="F119" s="3" t="s">
        <v>627</v>
      </c>
      <c r="G119" s="3" t="s">
        <v>841</v>
      </c>
      <c r="H119" s="3" t="s">
        <v>722</v>
      </c>
      <c r="I119" s="3" t="s">
        <v>129</v>
      </c>
      <c r="J119" s="3" t="s">
        <v>130</v>
      </c>
      <c r="K119" s="3" t="s">
        <v>131</v>
      </c>
      <c r="L119" s="3" t="s">
        <v>132</v>
      </c>
      <c r="M119" s="3" t="s">
        <v>133</v>
      </c>
      <c r="N119" s="3" t="s">
        <v>842</v>
      </c>
      <c r="O119" s="3" t="s">
        <v>528</v>
      </c>
      <c r="P119" s="3" t="s">
        <v>136</v>
      </c>
      <c r="Q119" s="3" t="s">
        <v>137</v>
      </c>
      <c r="R119" s="3" t="s">
        <v>543</v>
      </c>
      <c r="S119" s="3" t="s">
        <v>724</v>
      </c>
      <c r="T119" s="3" t="s">
        <v>530</v>
      </c>
      <c r="U119" s="3" t="s">
        <v>595</v>
      </c>
    </row>
    <row r="120" ht="82.5" spans="1:21">
      <c r="A120" s="3">
        <v>119</v>
      </c>
      <c r="B120" s="3" t="s">
        <v>843</v>
      </c>
      <c r="C120" s="3" t="s">
        <v>844</v>
      </c>
      <c r="D120" s="3" t="s">
        <v>83</v>
      </c>
      <c r="E120" s="3" t="s">
        <v>845</v>
      </c>
      <c r="F120" s="3" t="s">
        <v>627</v>
      </c>
      <c r="G120" s="3" t="s">
        <v>846</v>
      </c>
      <c r="H120" s="3" t="s">
        <v>729</v>
      </c>
      <c r="I120" s="3" t="s">
        <v>215</v>
      </c>
      <c r="J120" s="3" t="s">
        <v>216</v>
      </c>
      <c r="K120" s="3" t="s">
        <v>131</v>
      </c>
      <c r="L120" s="3" t="s">
        <v>132</v>
      </c>
      <c r="M120" s="3" t="s">
        <v>133</v>
      </c>
      <c r="N120" s="3" t="s">
        <v>847</v>
      </c>
      <c r="O120" s="3" t="s">
        <v>528</v>
      </c>
      <c r="P120" s="3" t="s">
        <v>136</v>
      </c>
      <c r="Q120" s="3" t="s">
        <v>137</v>
      </c>
      <c r="R120" s="3" t="s">
        <v>543</v>
      </c>
      <c r="S120" s="3" t="s">
        <v>631</v>
      </c>
      <c r="T120" s="3" t="s">
        <v>530</v>
      </c>
      <c r="U120" s="3" t="s">
        <v>595</v>
      </c>
    </row>
    <row r="121" ht="49.5" spans="1:21">
      <c r="A121" s="3">
        <v>120</v>
      </c>
      <c r="B121" s="3" t="s">
        <v>848</v>
      </c>
      <c r="C121" s="3" t="s">
        <v>849</v>
      </c>
      <c r="D121" s="3" t="s">
        <v>83</v>
      </c>
      <c r="E121" s="3" t="s">
        <v>850</v>
      </c>
      <c r="F121" s="3" t="s">
        <v>627</v>
      </c>
      <c r="G121" s="3" t="s">
        <v>851</v>
      </c>
      <c r="H121" s="3" t="s">
        <v>722</v>
      </c>
      <c r="I121" s="3" t="s">
        <v>129</v>
      </c>
      <c r="J121" s="3" t="s">
        <v>130</v>
      </c>
      <c r="K121" s="3" t="s">
        <v>131</v>
      </c>
      <c r="L121" s="3" t="s">
        <v>132</v>
      </c>
      <c r="M121" s="3" t="s">
        <v>133</v>
      </c>
      <c r="N121" s="3" t="s">
        <v>852</v>
      </c>
      <c r="O121" s="3" t="s">
        <v>528</v>
      </c>
      <c r="P121" s="3" t="s">
        <v>136</v>
      </c>
      <c r="Q121" s="3" t="s">
        <v>137</v>
      </c>
      <c r="R121" s="3" t="s">
        <v>543</v>
      </c>
      <c r="S121" s="3" t="s">
        <v>724</v>
      </c>
      <c r="T121" s="3" t="s">
        <v>530</v>
      </c>
      <c r="U121" s="3" t="s">
        <v>595</v>
      </c>
    </row>
    <row r="122" ht="66" spans="1:21">
      <c r="A122" s="3">
        <v>121</v>
      </c>
      <c r="B122" s="3" t="s">
        <v>853</v>
      </c>
      <c r="C122" s="3" t="s">
        <v>854</v>
      </c>
      <c r="D122" s="3" t="s">
        <v>83</v>
      </c>
      <c r="E122" s="3" t="s">
        <v>855</v>
      </c>
      <c r="F122" s="3" t="s">
        <v>627</v>
      </c>
      <c r="G122" s="3" t="s">
        <v>856</v>
      </c>
      <c r="H122" s="3" t="s">
        <v>729</v>
      </c>
      <c r="I122" s="3" t="s">
        <v>215</v>
      </c>
      <c r="J122" s="3" t="s">
        <v>216</v>
      </c>
      <c r="K122" s="3" t="s">
        <v>131</v>
      </c>
      <c r="L122" s="3" t="s">
        <v>132</v>
      </c>
      <c r="M122" s="3" t="s">
        <v>133</v>
      </c>
      <c r="N122" s="3" t="s">
        <v>857</v>
      </c>
      <c r="O122" s="3" t="s">
        <v>528</v>
      </c>
      <c r="P122" s="3" t="s">
        <v>136</v>
      </c>
      <c r="Q122" s="3" t="s">
        <v>137</v>
      </c>
      <c r="R122" s="3" t="s">
        <v>543</v>
      </c>
      <c r="S122" s="3" t="s">
        <v>631</v>
      </c>
      <c r="T122" s="3" t="s">
        <v>530</v>
      </c>
      <c r="U122" s="3" t="s">
        <v>595</v>
      </c>
    </row>
    <row r="123" ht="66" spans="1:21">
      <c r="A123" s="3">
        <v>122</v>
      </c>
      <c r="B123" s="3" t="s">
        <v>858</v>
      </c>
      <c r="C123" s="3" t="s">
        <v>859</v>
      </c>
      <c r="D123" s="3" t="s">
        <v>83</v>
      </c>
      <c r="E123" s="3" t="s">
        <v>860</v>
      </c>
      <c r="F123" s="3" t="s">
        <v>627</v>
      </c>
      <c r="G123" s="3" t="s">
        <v>861</v>
      </c>
      <c r="H123" s="3" t="s">
        <v>722</v>
      </c>
      <c r="I123" s="3" t="s">
        <v>129</v>
      </c>
      <c r="J123" s="3" t="s">
        <v>130</v>
      </c>
      <c r="K123" s="3" t="s">
        <v>131</v>
      </c>
      <c r="L123" s="3" t="s">
        <v>132</v>
      </c>
      <c r="M123" s="3" t="s">
        <v>133</v>
      </c>
      <c r="N123" s="3" t="s">
        <v>862</v>
      </c>
      <c r="O123" s="3" t="s">
        <v>528</v>
      </c>
      <c r="P123" s="3" t="s">
        <v>136</v>
      </c>
      <c r="Q123" s="3" t="s">
        <v>137</v>
      </c>
      <c r="R123" s="3" t="s">
        <v>543</v>
      </c>
      <c r="S123" s="3" t="s">
        <v>724</v>
      </c>
      <c r="T123" s="3" t="s">
        <v>530</v>
      </c>
      <c r="U123" s="3" t="s">
        <v>595</v>
      </c>
    </row>
    <row r="124" ht="82.5" spans="1:21">
      <c r="A124" s="3">
        <v>123</v>
      </c>
      <c r="B124" s="3" t="s">
        <v>863</v>
      </c>
      <c r="C124" s="3" t="s">
        <v>864</v>
      </c>
      <c r="D124" s="3" t="s">
        <v>83</v>
      </c>
      <c r="E124" s="3" t="s">
        <v>865</v>
      </c>
      <c r="F124" s="3" t="s">
        <v>627</v>
      </c>
      <c r="G124" s="3" t="s">
        <v>866</v>
      </c>
      <c r="H124" s="3" t="s">
        <v>729</v>
      </c>
      <c r="I124" s="3" t="s">
        <v>215</v>
      </c>
      <c r="J124" s="3" t="s">
        <v>216</v>
      </c>
      <c r="K124" s="3" t="s">
        <v>131</v>
      </c>
      <c r="L124" s="3" t="s">
        <v>132</v>
      </c>
      <c r="M124" s="3" t="s">
        <v>133</v>
      </c>
      <c r="N124" s="3" t="s">
        <v>867</v>
      </c>
      <c r="O124" s="3" t="s">
        <v>528</v>
      </c>
      <c r="P124" s="3" t="s">
        <v>136</v>
      </c>
      <c r="Q124" s="3" t="s">
        <v>137</v>
      </c>
      <c r="R124" s="3" t="s">
        <v>543</v>
      </c>
      <c r="S124" s="3" t="s">
        <v>631</v>
      </c>
      <c r="T124" s="3" t="s">
        <v>530</v>
      </c>
      <c r="U124" s="3" t="s">
        <v>595</v>
      </c>
    </row>
    <row r="125" ht="49.5" spans="1:21">
      <c r="A125" s="3">
        <v>124</v>
      </c>
      <c r="B125" s="3" t="s">
        <v>868</v>
      </c>
      <c r="C125" s="3" t="s">
        <v>869</v>
      </c>
      <c r="D125" s="3" t="s">
        <v>83</v>
      </c>
      <c r="E125" s="3" t="s">
        <v>870</v>
      </c>
      <c r="F125" s="3" t="s">
        <v>627</v>
      </c>
      <c r="G125" s="3" t="s">
        <v>871</v>
      </c>
      <c r="H125" s="3" t="s">
        <v>722</v>
      </c>
      <c r="I125" s="3" t="s">
        <v>129</v>
      </c>
      <c r="J125" s="3" t="s">
        <v>130</v>
      </c>
      <c r="K125" s="3" t="s">
        <v>131</v>
      </c>
      <c r="L125" s="3" t="s">
        <v>132</v>
      </c>
      <c r="M125" s="3" t="s">
        <v>133</v>
      </c>
      <c r="N125" s="3" t="s">
        <v>872</v>
      </c>
      <c r="O125" s="3" t="s">
        <v>528</v>
      </c>
      <c r="P125" s="3" t="s">
        <v>136</v>
      </c>
      <c r="Q125" s="3" t="s">
        <v>137</v>
      </c>
      <c r="R125" s="3" t="s">
        <v>543</v>
      </c>
      <c r="S125" s="3" t="s">
        <v>724</v>
      </c>
      <c r="T125" s="3" t="s">
        <v>530</v>
      </c>
      <c r="U125" s="3" t="s">
        <v>595</v>
      </c>
    </row>
    <row r="126" ht="66" spans="1:21">
      <c r="A126" s="3">
        <v>125</v>
      </c>
      <c r="B126" s="3" t="s">
        <v>873</v>
      </c>
      <c r="C126" s="3" t="s">
        <v>874</v>
      </c>
      <c r="D126" s="3" t="s">
        <v>83</v>
      </c>
      <c r="E126" s="3" t="s">
        <v>875</v>
      </c>
      <c r="F126" s="3" t="s">
        <v>627</v>
      </c>
      <c r="G126" s="3" t="s">
        <v>876</v>
      </c>
      <c r="H126" s="3" t="s">
        <v>729</v>
      </c>
      <c r="I126" s="3" t="s">
        <v>215</v>
      </c>
      <c r="J126" s="3" t="s">
        <v>216</v>
      </c>
      <c r="K126" s="3" t="s">
        <v>131</v>
      </c>
      <c r="L126" s="3" t="s">
        <v>132</v>
      </c>
      <c r="M126" s="3" t="s">
        <v>133</v>
      </c>
      <c r="N126" s="3" t="s">
        <v>877</v>
      </c>
      <c r="O126" s="3" t="s">
        <v>528</v>
      </c>
      <c r="P126" s="3" t="s">
        <v>136</v>
      </c>
      <c r="Q126" s="3" t="s">
        <v>137</v>
      </c>
      <c r="R126" s="3" t="s">
        <v>543</v>
      </c>
      <c r="S126" s="3" t="s">
        <v>631</v>
      </c>
      <c r="T126" s="3" t="s">
        <v>530</v>
      </c>
      <c r="U126" s="3" t="s">
        <v>595</v>
      </c>
    </row>
    <row r="127" ht="33" spans="1:21">
      <c r="A127" s="3">
        <v>126</v>
      </c>
      <c r="B127" s="3" t="s">
        <v>878</v>
      </c>
      <c r="C127" s="3" t="s">
        <v>879</v>
      </c>
      <c r="D127" s="3" t="s">
        <v>83</v>
      </c>
      <c r="E127" s="3" t="s">
        <v>880</v>
      </c>
      <c r="F127" s="3" t="s">
        <v>627</v>
      </c>
      <c r="G127" s="3" t="s">
        <v>881</v>
      </c>
      <c r="H127" s="3" t="s">
        <v>882</v>
      </c>
      <c r="I127" s="3" t="s">
        <v>215</v>
      </c>
      <c r="J127" s="3" t="s">
        <v>216</v>
      </c>
      <c r="K127" s="3" t="s">
        <v>131</v>
      </c>
      <c r="L127" s="3" t="s">
        <v>132</v>
      </c>
      <c r="M127" s="3" t="s">
        <v>133</v>
      </c>
      <c r="N127" s="3" t="s">
        <v>883</v>
      </c>
      <c r="O127" s="3" t="s">
        <v>528</v>
      </c>
      <c r="P127" s="3" t="s">
        <v>136</v>
      </c>
      <c r="Q127" s="3" t="s">
        <v>137</v>
      </c>
      <c r="R127" s="3" t="s">
        <v>543</v>
      </c>
      <c r="S127" s="3" t="s">
        <v>884</v>
      </c>
      <c r="T127" s="3" t="s">
        <v>530</v>
      </c>
      <c r="U127" s="3" t="s">
        <v>885</v>
      </c>
    </row>
    <row r="128" ht="33" spans="1:21">
      <c r="A128" s="3">
        <v>127</v>
      </c>
      <c r="B128" s="3" t="s">
        <v>886</v>
      </c>
      <c r="C128" s="3" t="s">
        <v>887</v>
      </c>
      <c r="D128" s="3" t="s">
        <v>83</v>
      </c>
      <c r="E128" s="3" t="s">
        <v>888</v>
      </c>
      <c r="F128" s="3" t="s">
        <v>627</v>
      </c>
      <c r="G128" s="3" t="s">
        <v>889</v>
      </c>
      <c r="H128" s="3" t="s">
        <v>882</v>
      </c>
      <c r="I128" s="3" t="s">
        <v>215</v>
      </c>
      <c r="J128" s="3" t="s">
        <v>216</v>
      </c>
      <c r="K128" s="3" t="s">
        <v>131</v>
      </c>
      <c r="L128" s="3" t="s">
        <v>132</v>
      </c>
      <c r="M128" s="3" t="s">
        <v>133</v>
      </c>
      <c r="N128" s="3" t="s">
        <v>890</v>
      </c>
      <c r="O128" s="3" t="s">
        <v>528</v>
      </c>
      <c r="P128" s="3" t="s">
        <v>136</v>
      </c>
      <c r="Q128" s="3" t="s">
        <v>137</v>
      </c>
      <c r="R128" s="3" t="s">
        <v>543</v>
      </c>
      <c r="S128" s="3" t="s">
        <v>884</v>
      </c>
      <c r="T128" s="3" t="s">
        <v>530</v>
      </c>
      <c r="U128" s="3" t="s">
        <v>595</v>
      </c>
    </row>
    <row r="129" ht="33" spans="1:21">
      <c r="A129" s="3">
        <v>128</v>
      </c>
      <c r="B129" s="3" t="s">
        <v>891</v>
      </c>
      <c r="C129" s="3" t="s">
        <v>892</v>
      </c>
      <c r="D129" s="3" t="s">
        <v>83</v>
      </c>
      <c r="E129" s="3" t="s">
        <v>893</v>
      </c>
      <c r="F129" s="3" t="s">
        <v>627</v>
      </c>
      <c r="G129" s="3" t="s">
        <v>894</v>
      </c>
      <c r="H129" s="3" t="s">
        <v>882</v>
      </c>
      <c r="I129" s="3" t="s">
        <v>215</v>
      </c>
      <c r="J129" s="3" t="s">
        <v>216</v>
      </c>
      <c r="K129" s="3" t="s">
        <v>131</v>
      </c>
      <c r="L129" s="3" t="s">
        <v>132</v>
      </c>
      <c r="M129" s="3" t="s">
        <v>133</v>
      </c>
      <c r="N129" s="3" t="s">
        <v>895</v>
      </c>
      <c r="O129" s="3" t="s">
        <v>528</v>
      </c>
      <c r="P129" s="3" t="s">
        <v>136</v>
      </c>
      <c r="Q129" s="3" t="s">
        <v>137</v>
      </c>
      <c r="R129" s="3" t="s">
        <v>543</v>
      </c>
      <c r="S129" s="3" t="s">
        <v>884</v>
      </c>
      <c r="T129" s="3" t="s">
        <v>530</v>
      </c>
      <c r="U129" s="3" t="s">
        <v>896</v>
      </c>
    </row>
    <row r="130" ht="33" spans="1:21">
      <c r="A130" s="3">
        <v>129</v>
      </c>
      <c r="B130" s="3" t="s">
        <v>897</v>
      </c>
      <c r="C130" s="3" t="s">
        <v>898</v>
      </c>
      <c r="D130" s="3" t="s">
        <v>83</v>
      </c>
      <c r="E130" s="3" t="s">
        <v>899</v>
      </c>
      <c r="F130" s="3" t="s">
        <v>627</v>
      </c>
      <c r="G130" s="3" t="s">
        <v>900</v>
      </c>
      <c r="H130" s="3" t="s">
        <v>882</v>
      </c>
      <c r="I130" s="3" t="s">
        <v>215</v>
      </c>
      <c r="J130" s="3" t="s">
        <v>216</v>
      </c>
      <c r="K130" s="3" t="s">
        <v>131</v>
      </c>
      <c r="L130" s="3" t="s">
        <v>132</v>
      </c>
      <c r="M130" s="3" t="s">
        <v>133</v>
      </c>
      <c r="N130" s="3" t="s">
        <v>901</v>
      </c>
      <c r="O130" s="3" t="s">
        <v>528</v>
      </c>
      <c r="P130" s="3" t="s">
        <v>136</v>
      </c>
      <c r="Q130" s="3" t="s">
        <v>137</v>
      </c>
      <c r="R130" s="3" t="s">
        <v>543</v>
      </c>
      <c r="S130" s="3" t="s">
        <v>884</v>
      </c>
      <c r="T130" s="3" t="s">
        <v>530</v>
      </c>
      <c r="U130" s="3" t="s">
        <v>902</v>
      </c>
    </row>
    <row r="131" ht="33" spans="1:21">
      <c r="A131" s="3">
        <v>130</v>
      </c>
      <c r="B131" s="3" t="s">
        <v>903</v>
      </c>
      <c r="C131" s="3" t="s">
        <v>904</v>
      </c>
      <c r="D131" s="3" t="s">
        <v>83</v>
      </c>
      <c r="E131" s="3" t="s">
        <v>905</v>
      </c>
      <c r="F131" s="3" t="s">
        <v>627</v>
      </c>
      <c r="G131" s="3" t="s">
        <v>906</v>
      </c>
      <c r="H131" s="3" t="s">
        <v>882</v>
      </c>
      <c r="I131" s="3" t="s">
        <v>215</v>
      </c>
      <c r="J131" s="3" t="s">
        <v>216</v>
      </c>
      <c r="K131" s="3" t="s">
        <v>131</v>
      </c>
      <c r="L131" s="3" t="s">
        <v>132</v>
      </c>
      <c r="M131" s="3" t="s">
        <v>133</v>
      </c>
      <c r="N131" s="3" t="s">
        <v>907</v>
      </c>
      <c r="O131" s="3" t="s">
        <v>528</v>
      </c>
      <c r="P131" s="3" t="s">
        <v>136</v>
      </c>
      <c r="Q131" s="3" t="s">
        <v>137</v>
      </c>
      <c r="R131" s="3" t="s">
        <v>543</v>
      </c>
      <c r="S131" s="3" t="s">
        <v>884</v>
      </c>
      <c r="T131" s="3" t="s">
        <v>530</v>
      </c>
      <c r="U131" s="3" t="s">
        <v>902</v>
      </c>
    </row>
    <row r="132" ht="49.5" spans="1:21">
      <c r="A132" s="3">
        <v>131</v>
      </c>
      <c r="B132" s="3" t="s">
        <v>908</v>
      </c>
      <c r="C132" s="3" t="s">
        <v>909</v>
      </c>
      <c r="D132" s="3" t="s">
        <v>83</v>
      </c>
      <c r="E132" s="3" t="s">
        <v>910</v>
      </c>
      <c r="F132" s="3" t="s">
        <v>627</v>
      </c>
      <c r="G132" s="3" t="s">
        <v>911</v>
      </c>
      <c r="H132" s="3" t="s">
        <v>570</v>
      </c>
      <c r="I132" s="3" t="s">
        <v>129</v>
      </c>
      <c r="J132" s="3" t="s">
        <v>130</v>
      </c>
      <c r="K132" s="3" t="s">
        <v>131</v>
      </c>
      <c r="L132" s="3" t="s">
        <v>132</v>
      </c>
      <c r="M132" s="3" t="s">
        <v>133</v>
      </c>
      <c r="N132" s="3" t="s">
        <v>912</v>
      </c>
      <c r="O132" s="3" t="s">
        <v>528</v>
      </c>
      <c r="P132" s="3" t="s">
        <v>136</v>
      </c>
      <c r="Q132" s="3" t="s">
        <v>137</v>
      </c>
      <c r="R132" s="3" t="s">
        <v>543</v>
      </c>
      <c r="S132" s="3" t="s">
        <v>913</v>
      </c>
      <c r="T132" s="3" t="s">
        <v>530</v>
      </c>
      <c r="U132" s="3" t="s">
        <v>896</v>
      </c>
    </row>
    <row r="133" ht="33" spans="1:21">
      <c r="A133" s="3">
        <v>132</v>
      </c>
      <c r="B133" s="3" t="s">
        <v>914</v>
      </c>
      <c r="C133" s="3" t="s">
        <v>915</v>
      </c>
      <c r="D133" s="3" t="s">
        <v>83</v>
      </c>
      <c r="E133" s="3" t="s">
        <v>916</v>
      </c>
      <c r="F133" s="3" t="s">
        <v>627</v>
      </c>
      <c r="G133" s="3" t="s">
        <v>917</v>
      </c>
      <c r="H133" s="3" t="s">
        <v>882</v>
      </c>
      <c r="I133" s="3" t="s">
        <v>215</v>
      </c>
      <c r="J133" s="3" t="s">
        <v>216</v>
      </c>
      <c r="K133" s="3" t="s">
        <v>131</v>
      </c>
      <c r="L133" s="3" t="s">
        <v>132</v>
      </c>
      <c r="M133" s="3" t="s">
        <v>133</v>
      </c>
      <c r="N133" s="3" t="s">
        <v>918</v>
      </c>
      <c r="O133" s="3" t="s">
        <v>528</v>
      </c>
      <c r="P133" s="3" t="s">
        <v>136</v>
      </c>
      <c r="Q133" s="3" t="s">
        <v>137</v>
      </c>
      <c r="R133" s="3" t="s">
        <v>543</v>
      </c>
      <c r="S133" s="3" t="s">
        <v>884</v>
      </c>
      <c r="T133" s="3" t="s">
        <v>530</v>
      </c>
      <c r="U133" s="3" t="s">
        <v>595</v>
      </c>
    </row>
    <row r="134" ht="49.5" spans="1:21">
      <c r="A134" s="3">
        <v>133</v>
      </c>
      <c r="B134" s="3" t="s">
        <v>919</v>
      </c>
      <c r="C134" s="3" t="s">
        <v>920</v>
      </c>
      <c r="D134" s="3" t="s">
        <v>83</v>
      </c>
      <c r="E134" s="3" t="s">
        <v>921</v>
      </c>
      <c r="F134" s="3" t="s">
        <v>627</v>
      </c>
      <c r="G134" s="3" t="s">
        <v>922</v>
      </c>
      <c r="H134" s="3" t="s">
        <v>923</v>
      </c>
      <c r="I134" s="3" t="s">
        <v>215</v>
      </c>
      <c r="J134" s="3" t="s">
        <v>216</v>
      </c>
      <c r="K134" s="3" t="s">
        <v>131</v>
      </c>
      <c r="L134" s="3" t="s">
        <v>132</v>
      </c>
      <c r="M134" s="3" t="s">
        <v>133</v>
      </c>
      <c r="N134" s="3" t="s">
        <v>924</v>
      </c>
      <c r="O134" s="3" t="s">
        <v>528</v>
      </c>
      <c r="P134" s="3" t="s">
        <v>136</v>
      </c>
      <c r="Q134" s="3" t="s">
        <v>137</v>
      </c>
      <c r="R134" s="3" t="s">
        <v>543</v>
      </c>
      <c r="S134" s="3" t="s">
        <v>925</v>
      </c>
      <c r="T134" s="3" t="s">
        <v>530</v>
      </c>
      <c r="U134" s="3" t="s">
        <v>595</v>
      </c>
    </row>
    <row r="135" ht="33" spans="1:21">
      <c r="A135" s="3">
        <v>134</v>
      </c>
      <c r="B135" s="3" t="s">
        <v>926</v>
      </c>
      <c r="C135" s="3" t="s">
        <v>927</v>
      </c>
      <c r="D135" s="3" t="s">
        <v>83</v>
      </c>
      <c r="E135" s="3" t="s">
        <v>928</v>
      </c>
      <c r="F135" s="3" t="s">
        <v>627</v>
      </c>
      <c r="G135" s="3" t="s">
        <v>929</v>
      </c>
      <c r="H135" s="3" t="s">
        <v>882</v>
      </c>
      <c r="I135" s="3" t="s">
        <v>215</v>
      </c>
      <c r="J135" s="3" t="s">
        <v>216</v>
      </c>
      <c r="K135" s="3" t="s">
        <v>131</v>
      </c>
      <c r="L135" s="3" t="s">
        <v>132</v>
      </c>
      <c r="M135" s="3" t="s">
        <v>133</v>
      </c>
      <c r="N135" s="3" t="s">
        <v>930</v>
      </c>
      <c r="O135" s="3" t="s">
        <v>528</v>
      </c>
      <c r="P135" s="3" t="s">
        <v>136</v>
      </c>
      <c r="Q135" s="3" t="s">
        <v>137</v>
      </c>
      <c r="R135" s="3" t="s">
        <v>543</v>
      </c>
      <c r="S135" s="3" t="s">
        <v>884</v>
      </c>
      <c r="T135" s="3" t="s">
        <v>530</v>
      </c>
      <c r="U135" s="3" t="s">
        <v>595</v>
      </c>
    </row>
    <row r="136" ht="49.5" spans="1:21">
      <c r="A136" s="3">
        <v>135</v>
      </c>
      <c r="B136" s="3" t="s">
        <v>931</v>
      </c>
      <c r="C136" s="3" t="s">
        <v>932</v>
      </c>
      <c r="D136" s="3" t="s">
        <v>83</v>
      </c>
      <c r="E136" s="3" t="s">
        <v>933</v>
      </c>
      <c r="F136" s="3" t="s">
        <v>627</v>
      </c>
      <c r="G136" s="3" t="s">
        <v>934</v>
      </c>
      <c r="H136" s="3" t="s">
        <v>882</v>
      </c>
      <c r="I136" s="3" t="s">
        <v>215</v>
      </c>
      <c r="J136" s="3" t="s">
        <v>216</v>
      </c>
      <c r="K136" s="3" t="s">
        <v>131</v>
      </c>
      <c r="L136" s="3" t="s">
        <v>132</v>
      </c>
      <c r="M136" s="3" t="s">
        <v>133</v>
      </c>
      <c r="N136" s="3" t="s">
        <v>935</v>
      </c>
      <c r="O136" s="3" t="s">
        <v>528</v>
      </c>
      <c r="P136" s="3" t="s">
        <v>136</v>
      </c>
      <c r="Q136" s="3" t="s">
        <v>137</v>
      </c>
      <c r="R136" s="3" t="s">
        <v>543</v>
      </c>
      <c r="S136" s="3" t="s">
        <v>884</v>
      </c>
      <c r="T136" s="3" t="s">
        <v>530</v>
      </c>
      <c r="U136" s="3" t="s">
        <v>595</v>
      </c>
    </row>
    <row r="137" ht="49.5" spans="1:21">
      <c r="A137" s="3">
        <v>136</v>
      </c>
      <c r="B137" s="3" t="s">
        <v>936</v>
      </c>
      <c r="C137" s="3" t="s">
        <v>937</v>
      </c>
      <c r="D137" s="3" t="s">
        <v>83</v>
      </c>
      <c r="E137" s="3" t="s">
        <v>938</v>
      </c>
      <c r="F137" s="3" t="s">
        <v>627</v>
      </c>
      <c r="G137" s="3" t="s">
        <v>939</v>
      </c>
      <c r="H137" s="3" t="s">
        <v>882</v>
      </c>
      <c r="I137" s="3" t="s">
        <v>215</v>
      </c>
      <c r="J137" s="3" t="s">
        <v>216</v>
      </c>
      <c r="K137" s="3" t="s">
        <v>131</v>
      </c>
      <c r="L137" s="3" t="s">
        <v>132</v>
      </c>
      <c r="M137" s="3" t="s">
        <v>133</v>
      </c>
      <c r="N137" s="3" t="s">
        <v>940</v>
      </c>
      <c r="O137" s="3" t="s">
        <v>528</v>
      </c>
      <c r="P137" s="3" t="s">
        <v>136</v>
      </c>
      <c r="Q137" s="3" t="s">
        <v>137</v>
      </c>
      <c r="R137" s="3" t="s">
        <v>543</v>
      </c>
      <c r="S137" s="3" t="s">
        <v>884</v>
      </c>
      <c r="T137" s="3" t="s">
        <v>530</v>
      </c>
      <c r="U137" s="3" t="s">
        <v>595</v>
      </c>
    </row>
    <row r="138" ht="49.5" spans="1:21">
      <c r="A138" s="3">
        <v>137</v>
      </c>
      <c r="B138" s="3" t="s">
        <v>941</v>
      </c>
      <c r="C138" s="3" t="s">
        <v>942</v>
      </c>
      <c r="D138" s="3" t="s">
        <v>83</v>
      </c>
      <c r="E138" s="3" t="s">
        <v>943</v>
      </c>
      <c r="F138" s="3" t="s">
        <v>627</v>
      </c>
      <c r="G138" s="3" t="s">
        <v>944</v>
      </c>
      <c r="H138" s="3" t="s">
        <v>882</v>
      </c>
      <c r="I138" s="3" t="s">
        <v>215</v>
      </c>
      <c r="J138" s="3" t="s">
        <v>216</v>
      </c>
      <c r="K138" s="3" t="s">
        <v>131</v>
      </c>
      <c r="L138" s="3" t="s">
        <v>132</v>
      </c>
      <c r="M138" s="3" t="s">
        <v>133</v>
      </c>
      <c r="N138" s="3" t="s">
        <v>945</v>
      </c>
      <c r="O138" s="3" t="s">
        <v>528</v>
      </c>
      <c r="P138" s="3" t="s">
        <v>136</v>
      </c>
      <c r="Q138" s="3" t="s">
        <v>137</v>
      </c>
      <c r="R138" s="3" t="s">
        <v>543</v>
      </c>
      <c r="S138" s="3" t="s">
        <v>884</v>
      </c>
      <c r="T138" s="3" t="s">
        <v>530</v>
      </c>
      <c r="U138" s="3" t="s">
        <v>595</v>
      </c>
    </row>
    <row r="139" ht="33" spans="1:21">
      <c r="A139" s="3">
        <v>138</v>
      </c>
      <c r="B139" s="3" t="s">
        <v>946</v>
      </c>
      <c r="C139" s="3" t="s">
        <v>947</v>
      </c>
      <c r="D139" s="3" t="s">
        <v>83</v>
      </c>
      <c r="E139" s="3" t="s">
        <v>948</v>
      </c>
      <c r="F139" s="3" t="s">
        <v>627</v>
      </c>
      <c r="G139" s="3" t="s">
        <v>949</v>
      </c>
      <c r="H139" s="3" t="s">
        <v>950</v>
      </c>
      <c r="I139" s="3" t="s">
        <v>215</v>
      </c>
      <c r="J139" s="3" t="s">
        <v>216</v>
      </c>
      <c r="K139" s="3" t="s">
        <v>131</v>
      </c>
      <c r="L139" s="3" t="s">
        <v>132</v>
      </c>
      <c r="M139" s="3" t="s">
        <v>133</v>
      </c>
      <c r="N139" s="3" t="s">
        <v>951</v>
      </c>
      <c r="O139" s="3" t="s">
        <v>528</v>
      </c>
      <c r="P139" s="3" t="s">
        <v>136</v>
      </c>
      <c r="Q139" s="3" t="s">
        <v>137</v>
      </c>
      <c r="R139" s="3" t="s">
        <v>543</v>
      </c>
      <c r="S139" s="3" t="s">
        <v>631</v>
      </c>
      <c r="T139" s="3" t="s">
        <v>530</v>
      </c>
      <c r="U139" s="3" t="s">
        <v>952</v>
      </c>
    </row>
    <row r="140" ht="33" spans="1:21">
      <c r="A140" s="3">
        <v>139</v>
      </c>
      <c r="B140" s="3" t="s">
        <v>953</v>
      </c>
      <c r="C140" s="3" t="s">
        <v>954</v>
      </c>
      <c r="D140" s="3" t="s">
        <v>83</v>
      </c>
      <c r="E140" s="3" t="s">
        <v>955</v>
      </c>
      <c r="F140" s="3" t="s">
        <v>627</v>
      </c>
      <c r="G140" s="3" t="s">
        <v>956</v>
      </c>
      <c r="H140" s="3" t="s">
        <v>950</v>
      </c>
      <c r="I140" s="3" t="s">
        <v>215</v>
      </c>
      <c r="J140" s="3" t="s">
        <v>216</v>
      </c>
      <c r="K140" s="3" t="s">
        <v>131</v>
      </c>
      <c r="L140" s="3" t="s">
        <v>132</v>
      </c>
      <c r="M140" s="3" t="s">
        <v>133</v>
      </c>
      <c r="N140" s="3" t="s">
        <v>957</v>
      </c>
      <c r="O140" s="3" t="s">
        <v>528</v>
      </c>
      <c r="P140" s="3" t="s">
        <v>136</v>
      </c>
      <c r="Q140" s="3" t="s">
        <v>137</v>
      </c>
      <c r="R140" s="3" t="s">
        <v>543</v>
      </c>
      <c r="S140" s="3" t="s">
        <v>631</v>
      </c>
      <c r="T140" s="3" t="s">
        <v>530</v>
      </c>
      <c r="U140" s="3" t="s">
        <v>958</v>
      </c>
    </row>
    <row r="141" ht="33" spans="1:21">
      <c r="A141" s="3">
        <v>140</v>
      </c>
      <c r="B141" s="3" t="s">
        <v>959</v>
      </c>
      <c r="C141" s="3" t="s">
        <v>960</v>
      </c>
      <c r="D141" s="3" t="s">
        <v>83</v>
      </c>
      <c r="E141" s="3" t="s">
        <v>961</v>
      </c>
      <c r="F141" s="3" t="s">
        <v>627</v>
      </c>
      <c r="G141" s="3" t="s">
        <v>962</v>
      </c>
      <c r="H141" s="3" t="s">
        <v>950</v>
      </c>
      <c r="I141" s="3" t="s">
        <v>215</v>
      </c>
      <c r="J141" s="3" t="s">
        <v>216</v>
      </c>
      <c r="K141" s="3" t="s">
        <v>131</v>
      </c>
      <c r="L141" s="3" t="s">
        <v>132</v>
      </c>
      <c r="M141" s="3" t="s">
        <v>133</v>
      </c>
      <c r="N141" s="3" t="s">
        <v>963</v>
      </c>
      <c r="O141" s="3" t="s">
        <v>528</v>
      </c>
      <c r="P141" s="3" t="s">
        <v>136</v>
      </c>
      <c r="Q141" s="3" t="s">
        <v>137</v>
      </c>
      <c r="R141" s="3" t="s">
        <v>543</v>
      </c>
      <c r="S141" s="3" t="s">
        <v>631</v>
      </c>
      <c r="T141" s="3" t="s">
        <v>530</v>
      </c>
      <c r="U141" s="3" t="s">
        <v>952</v>
      </c>
    </row>
    <row r="142" ht="33" spans="1:21">
      <c r="A142" s="3">
        <v>141</v>
      </c>
      <c r="B142" s="3" t="s">
        <v>964</v>
      </c>
      <c r="C142" s="3" t="s">
        <v>965</v>
      </c>
      <c r="D142" s="3" t="s">
        <v>83</v>
      </c>
      <c r="E142" s="3" t="s">
        <v>966</v>
      </c>
      <c r="F142" s="3" t="s">
        <v>627</v>
      </c>
      <c r="G142" s="3" t="s">
        <v>967</v>
      </c>
      <c r="H142" s="3" t="s">
        <v>950</v>
      </c>
      <c r="I142" s="3" t="s">
        <v>215</v>
      </c>
      <c r="J142" s="3" t="s">
        <v>216</v>
      </c>
      <c r="K142" s="3" t="s">
        <v>131</v>
      </c>
      <c r="L142" s="3" t="s">
        <v>132</v>
      </c>
      <c r="M142" s="3" t="s">
        <v>133</v>
      </c>
      <c r="N142" s="3" t="s">
        <v>968</v>
      </c>
      <c r="O142" s="3" t="s">
        <v>528</v>
      </c>
      <c r="P142" s="3" t="s">
        <v>136</v>
      </c>
      <c r="Q142" s="3" t="s">
        <v>137</v>
      </c>
      <c r="R142" s="3" t="s">
        <v>543</v>
      </c>
      <c r="S142" s="3" t="s">
        <v>631</v>
      </c>
      <c r="T142" s="3" t="s">
        <v>530</v>
      </c>
      <c r="U142" s="3" t="s">
        <v>952</v>
      </c>
    </row>
    <row r="143" ht="33" spans="1:21">
      <c r="A143" s="3">
        <v>142</v>
      </c>
      <c r="B143" s="3" t="s">
        <v>969</v>
      </c>
      <c r="C143" s="3" t="s">
        <v>970</v>
      </c>
      <c r="D143" s="3" t="s">
        <v>83</v>
      </c>
      <c r="E143" s="3" t="s">
        <v>971</v>
      </c>
      <c r="F143" s="3" t="s">
        <v>627</v>
      </c>
      <c r="G143" s="3" t="s">
        <v>972</v>
      </c>
      <c r="H143" s="3" t="s">
        <v>882</v>
      </c>
      <c r="I143" s="3" t="s">
        <v>215</v>
      </c>
      <c r="J143" s="3" t="s">
        <v>216</v>
      </c>
      <c r="K143" s="3" t="s">
        <v>131</v>
      </c>
      <c r="L143" s="3" t="s">
        <v>132</v>
      </c>
      <c r="M143" s="3" t="s">
        <v>133</v>
      </c>
      <c r="N143" s="3" t="s">
        <v>973</v>
      </c>
      <c r="O143" s="3" t="s">
        <v>528</v>
      </c>
      <c r="P143" s="3" t="s">
        <v>136</v>
      </c>
      <c r="Q143" s="3" t="s">
        <v>137</v>
      </c>
      <c r="R143" s="3" t="s">
        <v>543</v>
      </c>
      <c r="S143" s="3" t="s">
        <v>884</v>
      </c>
      <c r="T143" s="3" t="s">
        <v>530</v>
      </c>
      <c r="U143" s="3" t="s">
        <v>974</v>
      </c>
    </row>
    <row r="144" ht="33" spans="1:21">
      <c r="A144" s="3">
        <v>143</v>
      </c>
      <c r="B144" s="3" t="s">
        <v>975</v>
      </c>
      <c r="C144" s="3" t="s">
        <v>976</v>
      </c>
      <c r="D144" s="3" t="s">
        <v>83</v>
      </c>
      <c r="E144" s="3" t="s">
        <v>977</v>
      </c>
      <c r="F144" s="3" t="s">
        <v>627</v>
      </c>
      <c r="G144" s="3" t="s">
        <v>978</v>
      </c>
      <c r="H144" s="3" t="s">
        <v>882</v>
      </c>
      <c r="I144" s="3" t="s">
        <v>215</v>
      </c>
      <c r="J144" s="3" t="s">
        <v>216</v>
      </c>
      <c r="K144" s="3" t="s">
        <v>131</v>
      </c>
      <c r="L144" s="3" t="s">
        <v>132</v>
      </c>
      <c r="M144" s="3" t="s">
        <v>133</v>
      </c>
      <c r="N144" s="3" t="s">
        <v>979</v>
      </c>
      <c r="O144" s="3" t="s">
        <v>528</v>
      </c>
      <c r="P144" s="3" t="s">
        <v>136</v>
      </c>
      <c r="Q144" s="3" t="s">
        <v>137</v>
      </c>
      <c r="R144" s="3" t="s">
        <v>543</v>
      </c>
      <c r="S144" s="3" t="s">
        <v>884</v>
      </c>
      <c r="T144" s="3" t="s">
        <v>530</v>
      </c>
      <c r="U144" s="3" t="s">
        <v>980</v>
      </c>
    </row>
    <row r="145" ht="49.5" spans="1:21">
      <c r="A145" s="3">
        <v>144</v>
      </c>
      <c r="B145" s="3" t="s">
        <v>981</v>
      </c>
      <c r="C145" s="3" t="s">
        <v>982</v>
      </c>
      <c r="D145" s="3" t="s">
        <v>83</v>
      </c>
      <c r="E145" s="3" t="s">
        <v>983</v>
      </c>
      <c r="F145" s="3" t="s">
        <v>627</v>
      </c>
      <c r="G145" s="3" t="s">
        <v>984</v>
      </c>
      <c r="H145" s="3" t="s">
        <v>882</v>
      </c>
      <c r="I145" s="3" t="s">
        <v>215</v>
      </c>
      <c r="J145" s="3" t="s">
        <v>216</v>
      </c>
      <c r="K145" s="3" t="s">
        <v>131</v>
      </c>
      <c r="L145" s="3" t="s">
        <v>132</v>
      </c>
      <c r="M145" s="3" t="s">
        <v>133</v>
      </c>
      <c r="N145" s="3" t="s">
        <v>985</v>
      </c>
      <c r="O145" s="3" t="s">
        <v>528</v>
      </c>
      <c r="P145" s="3" t="s">
        <v>136</v>
      </c>
      <c r="Q145" s="3" t="s">
        <v>137</v>
      </c>
      <c r="R145" s="3" t="s">
        <v>543</v>
      </c>
      <c r="S145" s="3" t="s">
        <v>884</v>
      </c>
      <c r="T145" s="3" t="s">
        <v>530</v>
      </c>
      <c r="U145" s="3" t="s">
        <v>980</v>
      </c>
    </row>
    <row r="146" ht="49.5" spans="1:21">
      <c r="A146" s="3">
        <v>145</v>
      </c>
      <c r="B146" s="3" t="s">
        <v>986</v>
      </c>
      <c r="C146" s="3" t="s">
        <v>987</v>
      </c>
      <c r="D146" s="3" t="s">
        <v>83</v>
      </c>
      <c r="E146" s="3" t="s">
        <v>988</v>
      </c>
      <c r="F146" s="3" t="s">
        <v>627</v>
      </c>
      <c r="G146" s="3" t="s">
        <v>989</v>
      </c>
      <c r="H146" s="3" t="s">
        <v>882</v>
      </c>
      <c r="I146" s="3" t="s">
        <v>215</v>
      </c>
      <c r="J146" s="3" t="s">
        <v>216</v>
      </c>
      <c r="K146" s="3" t="s">
        <v>131</v>
      </c>
      <c r="L146" s="3" t="s">
        <v>132</v>
      </c>
      <c r="M146" s="3" t="s">
        <v>133</v>
      </c>
      <c r="N146" s="3" t="s">
        <v>990</v>
      </c>
      <c r="O146" s="3" t="s">
        <v>528</v>
      </c>
      <c r="P146" s="3" t="s">
        <v>136</v>
      </c>
      <c r="Q146" s="3" t="s">
        <v>137</v>
      </c>
      <c r="R146" s="3" t="s">
        <v>543</v>
      </c>
      <c r="S146" s="3" t="s">
        <v>884</v>
      </c>
      <c r="T146" s="3" t="s">
        <v>530</v>
      </c>
      <c r="U146" s="3" t="s">
        <v>595</v>
      </c>
    </row>
    <row r="147" ht="49.5" spans="1:21">
      <c r="A147" s="3">
        <v>146</v>
      </c>
      <c r="B147" s="3" t="s">
        <v>991</v>
      </c>
      <c r="C147" s="3" t="s">
        <v>992</v>
      </c>
      <c r="D147" s="3" t="s">
        <v>83</v>
      </c>
      <c r="E147" s="3" t="s">
        <v>993</v>
      </c>
      <c r="F147" s="3" t="s">
        <v>627</v>
      </c>
      <c r="G147" s="3" t="s">
        <v>994</v>
      </c>
      <c r="H147" s="3" t="s">
        <v>882</v>
      </c>
      <c r="I147" s="3" t="s">
        <v>215</v>
      </c>
      <c r="J147" s="3" t="s">
        <v>216</v>
      </c>
      <c r="K147" s="3" t="s">
        <v>131</v>
      </c>
      <c r="L147" s="3" t="s">
        <v>132</v>
      </c>
      <c r="M147" s="3" t="s">
        <v>133</v>
      </c>
      <c r="N147" s="3" t="s">
        <v>995</v>
      </c>
      <c r="O147" s="3" t="s">
        <v>528</v>
      </c>
      <c r="P147" s="3" t="s">
        <v>136</v>
      </c>
      <c r="Q147" s="3" t="s">
        <v>137</v>
      </c>
      <c r="R147" s="3" t="s">
        <v>543</v>
      </c>
      <c r="S147" s="3" t="s">
        <v>884</v>
      </c>
      <c r="T147" s="3" t="s">
        <v>530</v>
      </c>
      <c r="U147" s="3" t="s">
        <v>595</v>
      </c>
    </row>
    <row r="148" ht="49.5" spans="1:21">
      <c r="A148" s="3">
        <v>147</v>
      </c>
      <c r="B148" s="3" t="s">
        <v>996</v>
      </c>
      <c r="C148" s="3" t="s">
        <v>997</v>
      </c>
      <c r="D148" s="3" t="s">
        <v>83</v>
      </c>
      <c r="E148" s="3" t="s">
        <v>998</v>
      </c>
      <c r="F148" s="3" t="s">
        <v>627</v>
      </c>
      <c r="G148" s="3" t="s">
        <v>999</v>
      </c>
      <c r="H148" s="3" t="s">
        <v>882</v>
      </c>
      <c r="I148" s="3" t="s">
        <v>215</v>
      </c>
      <c r="J148" s="3" t="s">
        <v>216</v>
      </c>
      <c r="K148" s="3" t="s">
        <v>131</v>
      </c>
      <c r="L148" s="3" t="s">
        <v>132</v>
      </c>
      <c r="M148" s="3" t="s">
        <v>133</v>
      </c>
      <c r="N148" s="3" t="s">
        <v>1000</v>
      </c>
      <c r="O148" s="3" t="s">
        <v>528</v>
      </c>
      <c r="P148" s="3" t="s">
        <v>136</v>
      </c>
      <c r="Q148" s="3" t="s">
        <v>137</v>
      </c>
      <c r="R148" s="3" t="s">
        <v>543</v>
      </c>
      <c r="S148" s="3" t="s">
        <v>884</v>
      </c>
      <c r="T148" s="3" t="s">
        <v>530</v>
      </c>
      <c r="U148" s="3" t="s">
        <v>1001</v>
      </c>
    </row>
    <row r="149" ht="49.5" spans="1:21">
      <c r="A149" s="3">
        <v>148</v>
      </c>
      <c r="B149" s="3" t="s">
        <v>1002</v>
      </c>
      <c r="C149" s="3" t="s">
        <v>1003</v>
      </c>
      <c r="D149" s="3" t="s">
        <v>83</v>
      </c>
      <c r="E149" s="3" t="s">
        <v>1004</v>
      </c>
      <c r="F149" s="3" t="s">
        <v>627</v>
      </c>
      <c r="G149" s="3" t="s">
        <v>1005</v>
      </c>
      <c r="H149" s="3" t="s">
        <v>882</v>
      </c>
      <c r="I149" s="3" t="s">
        <v>215</v>
      </c>
      <c r="J149" s="3" t="s">
        <v>216</v>
      </c>
      <c r="K149" s="3" t="s">
        <v>131</v>
      </c>
      <c r="L149" s="3" t="s">
        <v>132</v>
      </c>
      <c r="M149" s="3" t="s">
        <v>133</v>
      </c>
      <c r="N149" s="3" t="s">
        <v>1006</v>
      </c>
      <c r="O149" s="3" t="s">
        <v>528</v>
      </c>
      <c r="P149" s="3" t="s">
        <v>136</v>
      </c>
      <c r="Q149" s="3" t="s">
        <v>137</v>
      </c>
      <c r="R149" s="3" t="s">
        <v>543</v>
      </c>
      <c r="S149" s="3" t="s">
        <v>884</v>
      </c>
      <c r="T149" s="3" t="s">
        <v>530</v>
      </c>
      <c r="U149" s="3" t="s">
        <v>595</v>
      </c>
    </row>
    <row r="150" ht="49.5" spans="1:21">
      <c r="A150" s="3">
        <v>149</v>
      </c>
      <c r="B150" s="3" t="s">
        <v>1007</v>
      </c>
      <c r="C150" s="3" t="s">
        <v>1008</v>
      </c>
      <c r="D150" s="3" t="s">
        <v>83</v>
      </c>
      <c r="E150" s="3" t="s">
        <v>1009</v>
      </c>
      <c r="F150" s="3" t="s">
        <v>627</v>
      </c>
      <c r="G150" s="3" t="s">
        <v>1010</v>
      </c>
      <c r="H150" s="3" t="s">
        <v>882</v>
      </c>
      <c r="I150" s="3" t="s">
        <v>215</v>
      </c>
      <c r="J150" s="3" t="s">
        <v>216</v>
      </c>
      <c r="K150" s="3" t="s">
        <v>131</v>
      </c>
      <c r="L150" s="3" t="s">
        <v>132</v>
      </c>
      <c r="M150" s="3" t="s">
        <v>133</v>
      </c>
      <c r="N150" s="3" t="s">
        <v>1011</v>
      </c>
      <c r="O150" s="3" t="s">
        <v>528</v>
      </c>
      <c r="P150" s="3" t="s">
        <v>136</v>
      </c>
      <c r="Q150" s="3" t="s">
        <v>137</v>
      </c>
      <c r="R150" s="3" t="s">
        <v>543</v>
      </c>
      <c r="S150" s="3" t="s">
        <v>884</v>
      </c>
      <c r="T150" s="3" t="s">
        <v>530</v>
      </c>
      <c r="U150" s="3" t="s">
        <v>595</v>
      </c>
    </row>
    <row r="151" ht="49.5" spans="1:21">
      <c r="A151" s="3">
        <v>150</v>
      </c>
      <c r="B151" s="3" t="s">
        <v>1012</v>
      </c>
      <c r="C151" s="3" t="s">
        <v>1013</v>
      </c>
      <c r="D151" s="3" t="s">
        <v>83</v>
      </c>
      <c r="E151" s="3" t="s">
        <v>1014</v>
      </c>
      <c r="F151" s="3" t="s">
        <v>627</v>
      </c>
      <c r="G151" s="3" t="s">
        <v>1015</v>
      </c>
      <c r="H151" s="3" t="s">
        <v>882</v>
      </c>
      <c r="I151" s="3" t="s">
        <v>215</v>
      </c>
      <c r="J151" s="3" t="s">
        <v>216</v>
      </c>
      <c r="K151" s="3" t="s">
        <v>131</v>
      </c>
      <c r="L151" s="3" t="s">
        <v>132</v>
      </c>
      <c r="M151" s="3" t="s">
        <v>133</v>
      </c>
      <c r="N151" s="3" t="s">
        <v>1016</v>
      </c>
      <c r="O151" s="3" t="s">
        <v>528</v>
      </c>
      <c r="P151" s="3" t="s">
        <v>136</v>
      </c>
      <c r="Q151" s="3" t="s">
        <v>137</v>
      </c>
      <c r="R151" s="3" t="s">
        <v>543</v>
      </c>
      <c r="S151" s="3" t="s">
        <v>884</v>
      </c>
      <c r="T151" s="3" t="s">
        <v>530</v>
      </c>
      <c r="U151" s="3" t="s">
        <v>595</v>
      </c>
    </row>
    <row r="152" ht="49.5" spans="1:21">
      <c r="A152" s="3">
        <v>151</v>
      </c>
      <c r="B152" s="3" t="s">
        <v>1017</v>
      </c>
      <c r="C152" s="3" t="s">
        <v>1018</v>
      </c>
      <c r="D152" s="3" t="s">
        <v>83</v>
      </c>
      <c r="E152" s="3" t="s">
        <v>1019</v>
      </c>
      <c r="F152" s="3" t="s">
        <v>627</v>
      </c>
      <c r="G152" s="3" t="s">
        <v>1020</v>
      </c>
      <c r="H152" s="3" t="s">
        <v>629</v>
      </c>
      <c r="I152" s="3" t="s">
        <v>215</v>
      </c>
      <c r="J152" s="3" t="s">
        <v>216</v>
      </c>
      <c r="K152" s="3" t="s">
        <v>131</v>
      </c>
      <c r="L152" s="3" t="s">
        <v>132</v>
      </c>
      <c r="M152" s="3" t="s">
        <v>133</v>
      </c>
      <c r="N152" s="3" t="s">
        <v>1021</v>
      </c>
      <c r="O152" s="3" t="s">
        <v>528</v>
      </c>
      <c r="P152" s="3" t="s">
        <v>136</v>
      </c>
      <c r="Q152" s="3" t="s">
        <v>137</v>
      </c>
      <c r="R152" s="3" t="s">
        <v>543</v>
      </c>
      <c r="S152" s="3" t="s">
        <v>631</v>
      </c>
      <c r="T152" s="3" t="s">
        <v>530</v>
      </c>
      <c r="U152" s="3" t="s">
        <v>595</v>
      </c>
    </row>
    <row r="153" ht="49.5" spans="1:21">
      <c r="A153" s="3">
        <v>152</v>
      </c>
      <c r="B153" s="3" t="s">
        <v>1022</v>
      </c>
      <c r="C153" s="3" t="s">
        <v>1023</v>
      </c>
      <c r="D153" s="3" t="s">
        <v>83</v>
      </c>
      <c r="E153" s="3" t="s">
        <v>1024</v>
      </c>
      <c r="F153" s="3" t="s">
        <v>627</v>
      </c>
      <c r="G153" s="3" t="s">
        <v>1025</v>
      </c>
      <c r="H153" s="3" t="s">
        <v>629</v>
      </c>
      <c r="I153" s="3" t="s">
        <v>215</v>
      </c>
      <c r="J153" s="3" t="s">
        <v>216</v>
      </c>
      <c r="K153" s="3" t="s">
        <v>131</v>
      </c>
      <c r="L153" s="3" t="s">
        <v>132</v>
      </c>
      <c r="M153" s="3" t="s">
        <v>133</v>
      </c>
      <c r="N153" s="3" t="s">
        <v>1026</v>
      </c>
      <c r="O153" s="3" t="s">
        <v>528</v>
      </c>
      <c r="P153" s="3" t="s">
        <v>136</v>
      </c>
      <c r="Q153" s="3" t="s">
        <v>137</v>
      </c>
      <c r="R153" s="3" t="s">
        <v>543</v>
      </c>
      <c r="S153" s="3" t="s">
        <v>631</v>
      </c>
      <c r="T153" s="3" t="s">
        <v>530</v>
      </c>
      <c r="U153" s="3" t="s">
        <v>595</v>
      </c>
    </row>
    <row r="154" ht="49.5" spans="1:21">
      <c r="A154" s="3">
        <v>153</v>
      </c>
      <c r="B154" s="3" t="s">
        <v>1027</v>
      </c>
      <c r="C154" s="3" t="s">
        <v>1028</v>
      </c>
      <c r="D154" s="3" t="s">
        <v>83</v>
      </c>
      <c r="E154" s="3" t="s">
        <v>1029</v>
      </c>
      <c r="F154" s="3" t="s">
        <v>627</v>
      </c>
      <c r="G154" s="3" t="s">
        <v>1030</v>
      </c>
      <c r="H154" s="3" t="s">
        <v>629</v>
      </c>
      <c r="I154" s="3" t="s">
        <v>215</v>
      </c>
      <c r="J154" s="3" t="s">
        <v>216</v>
      </c>
      <c r="K154" s="3" t="s">
        <v>131</v>
      </c>
      <c r="L154" s="3" t="s">
        <v>132</v>
      </c>
      <c r="M154" s="3" t="s">
        <v>133</v>
      </c>
      <c r="N154" s="3" t="s">
        <v>1031</v>
      </c>
      <c r="O154" s="3" t="s">
        <v>528</v>
      </c>
      <c r="P154" s="3" t="s">
        <v>136</v>
      </c>
      <c r="Q154" s="3" t="s">
        <v>137</v>
      </c>
      <c r="R154" s="3" t="s">
        <v>543</v>
      </c>
      <c r="S154" s="3" t="s">
        <v>631</v>
      </c>
      <c r="T154" s="3" t="s">
        <v>530</v>
      </c>
      <c r="U154" s="3" t="s">
        <v>595</v>
      </c>
    </row>
    <row r="155" ht="49.5" spans="1:21">
      <c r="A155" s="3">
        <v>154</v>
      </c>
      <c r="B155" s="3" t="s">
        <v>1032</v>
      </c>
      <c r="C155" s="3" t="s">
        <v>1033</v>
      </c>
      <c r="D155" s="3" t="s">
        <v>83</v>
      </c>
      <c r="E155" s="3" t="s">
        <v>1034</v>
      </c>
      <c r="F155" s="3" t="s">
        <v>627</v>
      </c>
      <c r="G155" s="3" t="s">
        <v>1035</v>
      </c>
      <c r="H155" s="3" t="s">
        <v>629</v>
      </c>
      <c r="I155" s="3" t="s">
        <v>215</v>
      </c>
      <c r="J155" s="3" t="s">
        <v>216</v>
      </c>
      <c r="K155" s="3" t="s">
        <v>131</v>
      </c>
      <c r="L155" s="3" t="s">
        <v>132</v>
      </c>
      <c r="M155" s="3" t="s">
        <v>133</v>
      </c>
      <c r="N155" s="3" t="s">
        <v>1036</v>
      </c>
      <c r="O155" s="3" t="s">
        <v>528</v>
      </c>
      <c r="P155" s="3" t="s">
        <v>136</v>
      </c>
      <c r="Q155" s="3" t="s">
        <v>137</v>
      </c>
      <c r="R155" s="3" t="s">
        <v>543</v>
      </c>
      <c r="S155" s="3" t="s">
        <v>631</v>
      </c>
      <c r="T155" s="3" t="s">
        <v>530</v>
      </c>
      <c r="U155" s="3" t="s">
        <v>595</v>
      </c>
    </row>
    <row r="156" ht="16.5" spans="1:21">
      <c r="A156" s="3">
        <v>155</v>
      </c>
      <c r="B156" s="3" t="s">
        <v>1037</v>
      </c>
      <c r="C156" s="3" t="s">
        <v>1038</v>
      </c>
      <c r="D156" s="3" t="s">
        <v>125</v>
      </c>
      <c r="E156" s="3" t="s">
        <v>132</v>
      </c>
      <c r="F156" s="3" t="s">
        <v>62</v>
      </c>
      <c r="G156" s="3" t="s">
        <v>1039</v>
      </c>
      <c r="H156" s="3" t="s">
        <v>132</v>
      </c>
      <c r="I156" s="3" t="s">
        <v>443</v>
      </c>
      <c r="J156" s="3" t="s">
        <v>132</v>
      </c>
      <c r="K156" s="3" t="s">
        <v>132</v>
      </c>
      <c r="L156" s="3" t="s">
        <v>132</v>
      </c>
      <c r="M156" s="3" t="s">
        <v>208</v>
      </c>
      <c r="N156" s="3" t="s">
        <v>1040</v>
      </c>
      <c r="O156" s="3" t="s">
        <v>188</v>
      </c>
      <c r="P156" s="3" t="s">
        <v>1041</v>
      </c>
      <c r="Q156" s="3" t="s">
        <v>137</v>
      </c>
      <c r="R156" s="3" t="s">
        <v>190</v>
      </c>
      <c r="S156" s="3" t="s">
        <v>1042</v>
      </c>
      <c r="T156" s="3" t="s">
        <v>1043</v>
      </c>
      <c r="U156" s="3" t="s">
        <v>132</v>
      </c>
    </row>
    <row r="157" ht="16.5" spans="1:21">
      <c r="A157" s="3">
        <v>156</v>
      </c>
      <c r="B157" s="3" t="s">
        <v>1044</v>
      </c>
      <c r="C157" s="3" t="s">
        <v>1045</v>
      </c>
      <c r="D157" s="3" t="s">
        <v>125</v>
      </c>
      <c r="E157" s="3" t="s">
        <v>132</v>
      </c>
      <c r="F157" s="3" t="s">
        <v>62</v>
      </c>
      <c r="G157" s="3" t="s">
        <v>1046</v>
      </c>
      <c r="H157" s="3" t="s">
        <v>132</v>
      </c>
      <c r="I157" s="3" t="s">
        <v>443</v>
      </c>
      <c r="J157" s="3" t="s">
        <v>132</v>
      </c>
      <c r="K157" s="3" t="s">
        <v>132</v>
      </c>
      <c r="L157" s="3" t="s">
        <v>132</v>
      </c>
      <c r="M157" s="3" t="s">
        <v>208</v>
      </c>
      <c r="N157" s="3" t="s">
        <v>1047</v>
      </c>
      <c r="O157" s="3" t="s">
        <v>188</v>
      </c>
      <c r="P157" s="3" t="s">
        <v>1041</v>
      </c>
      <c r="Q157" s="3" t="s">
        <v>137</v>
      </c>
      <c r="R157" s="3" t="s">
        <v>190</v>
      </c>
      <c r="S157" s="3" t="s">
        <v>1048</v>
      </c>
      <c r="T157" s="3" t="s">
        <v>1043</v>
      </c>
      <c r="U157" s="3" t="s">
        <v>132</v>
      </c>
    </row>
    <row r="158" ht="33" spans="1:21">
      <c r="A158" s="3">
        <v>157</v>
      </c>
      <c r="B158" s="3" t="s">
        <v>1049</v>
      </c>
      <c r="C158" s="3" t="s">
        <v>1050</v>
      </c>
      <c r="D158" s="3" t="s">
        <v>125</v>
      </c>
      <c r="E158" s="3" t="s">
        <v>132</v>
      </c>
      <c r="F158" s="3" t="s">
        <v>62</v>
      </c>
      <c r="G158" s="3" t="s">
        <v>1051</v>
      </c>
      <c r="H158" s="3" t="s">
        <v>132</v>
      </c>
      <c r="I158" s="3" t="s">
        <v>443</v>
      </c>
      <c r="J158" s="3" t="s">
        <v>132</v>
      </c>
      <c r="K158" s="3" t="s">
        <v>1052</v>
      </c>
      <c r="L158" s="3" t="s">
        <v>132</v>
      </c>
      <c r="M158" s="3" t="s">
        <v>145</v>
      </c>
      <c r="N158" s="3" t="s">
        <v>1053</v>
      </c>
      <c r="O158" s="3" t="s">
        <v>188</v>
      </c>
      <c r="P158" s="3" t="s">
        <v>1041</v>
      </c>
      <c r="Q158" s="3" t="s">
        <v>137</v>
      </c>
      <c r="R158" s="3" t="s">
        <v>190</v>
      </c>
      <c r="S158" s="3" t="s">
        <v>1054</v>
      </c>
      <c r="T158" s="3" t="s">
        <v>1055</v>
      </c>
      <c r="U158" s="3" t="s">
        <v>132</v>
      </c>
    </row>
    <row r="159" ht="33" spans="1:21">
      <c r="A159" s="3">
        <v>158</v>
      </c>
      <c r="B159" s="3" t="s">
        <v>1056</v>
      </c>
      <c r="C159" s="3" t="s">
        <v>1057</v>
      </c>
      <c r="D159" s="3" t="s">
        <v>125</v>
      </c>
      <c r="E159" s="3" t="s">
        <v>132</v>
      </c>
      <c r="F159" s="3" t="s">
        <v>62</v>
      </c>
      <c r="G159" s="3" t="s">
        <v>1058</v>
      </c>
      <c r="H159" s="3" t="s">
        <v>132</v>
      </c>
      <c r="I159" s="3" t="s">
        <v>443</v>
      </c>
      <c r="J159" s="3" t="s">
        <v>132</v>
      </c>
      <c r="K159" s="3" t="s">
        <v>1059</v>
      </c>
      <c r="L159" s="3" t="s">
        <v>132</v>
      </c>
      <c r="M159" s="3" t="s">
        <v>145</v>
      </c>
      <c r="N159" s="3" t="s">
        <v>1060</v>
      </c>
      <c r="O159" s="3" t="s">
        <v>188</v>
      </c>
      <c r="P159" s="3" t="s">
        <v>1041</v>
      </c>
      <c r="Q159" s="3" t="s">
        <v>137</v>
      </c>
      <c r="R159" s="3" t="s">
        <v>190</v>
      </c>
      <c r="S159" s="3" t="s">
        <v>1061</v>
      </c>
      <c r="T159" s="3" t="s">
        <v>1062</v>
      </c>
      <c r="U159" s="3" t="s">
        <v>132</v>
      </c>
    </row>
    <row r="160" ht="33" spans="1:21">
      <c r="A160" s="3">
        <v>159</v>
      </c>
      <c r="B160" s="3" t="s">
        <v>1063</v>
      </c>
      <c r="C160" s="3" t="s">
        <v>1064</v>
      </c>
      <c r="D160" s="3" t="s">
        <v>125</v>
      </c>
      <c r="E160" s="3" t="s">
        <v>132</v>
      </c>
      <c r="F160" s="3" t="s">
        <v>62</v>
      </c>
      <c r="G160" s="3" t="s">
        <v>1065</v>
      </c>
      <c r="H160" s="3" t="s">
        <v>132</v>
      </c>
      <c r="I160" s="3" t="s">
        <v>443</v>
      </c>
      <c r="J160" s="3" t="s">
        <v>132</v>
      </c>
      <c r="K160" s="3" t="s">
        <v>132</v>
      </c>
      <c r="L160" s="3" t="s">
        <v>132</v>
      </c>
      <c r="M160" s="3" t="s">
        <v>1066</v>
      </c>
      <c r="N160" s="3" t="s">
        <v>1067</v>
      </c>
      <c r="O160" s="3" t="s">
        <v>1068</v>
      </c>
      <c r="P160" s="3" t="s">
        <v>1069</v>
      </c>
      <c r="Q160" s="3" t="s">
        <v>137</v>
      </c>
      <c r="R160" s="3" t="s">
        <v>190</v>
      </c>
      <c r="S160" s="3" t="s">
        <v>1042</v>
      </c>
      <c r="T160" s="3" t="s">
        <v>1070</v>
      </c>
      <c r="U160" s="3" t="s">
        <v>1071</v>
      </c>
    </row>
    <row r="161" ht="16.5" spans="1:21">
      <c r="A161" s="3">
        <v>160</v>
      </c>
      <c r="B161" s="3" t="s">
        <v>1072</v>
      </c>
      <c r="C161" s="3" t="s">
        <v>1073</v>
      </c>
      <c r="D161" s="3" t="s">
        <v>125</v>
      </c>
      <c r="E161" s="3" t="s">
        <v>132</v>
      </c>
      <c r="F161" s="3" t="s">
        <v>62</v>
      </c>
      <c r="G161" s="3" t="s">
        <v>1074</v>
      </c>
      <c r="H161" s="3" t="s">
        <v>132</v>
      </c>
      <c r="I161" s="3" t="s">
        <v>443</v>
      </c>
      <c r="J161" s="3" t="s">
        <v>132</v>
      </c>
      <c r="K161" s="3" t="s">
        <v>132</v>
      </c>
      <c r="L161" s="3" t="s">
        <v>132</v>
      </c>
      <c r="M161" s="3" t="s">
        <v>1075</v>
      </c>
      <c r="N161" s="3" t="s">
        <v>1076</v>
      </c>
      <c r="O161" s="3" t="s">
        <v>1077</v>
      </c>
      <c r="P161" s="3" t="s">
        <v>1078</v>
      </c>
      <c r="Q161" s="3" t="s">
        <v>137</v>
      </c>
      <c r="R161" s="3" t="s">
        <v>190</v>
      </c>
      <c r="S161" s="3" t="s">
        <v>1042</v>
      </c>
      <c r="T161" s="3" t="s">
        <v>1079</v>
      </c>
      <c r="U161" s="3" t="s">
        <v>1080</v>
      </c>
    </row>
    <row r="162" ht="16.5" spans="1:21">
      <c r="A162" s="3">
        <v>161</v>
      </c>
      <c r="B162" s="3" t="s">
        <v>1081</v>
      </c>
      <c r="C162" s="3" t="s">
        <v>1082</v>
      </c>
      <c r="D162" s="3" t="s">
        <v>125</v>
      </c>
      <c r="E162" s="3" t="s">
        <v>132</v>
      </c>
      <c r="F162" s="3" t="s">
        <v>322</v>
      </c>
      <c r="G162" s="3" t="s">
        <v>1083</v>
      </c>
      <c r="H162" s="3" t="s">
        <v>132</v>
      </c>
      <c r="I162" s="3" t="s">
        <v>443</v>
      </c>
      <c r="J162" s="3" t="s">
        <v>132</v>
      </c>
      <c r="K162" s="3" t="s">
        <v>1084</v>
      </c>
      <c r="L162" s="3" t="s">
        <v>132</v>
      </c>
      <c r="M162" s="3" t="s">
        <v>145</v>
      </c>
      <c r="N162" s="3" t="s">
        <v>1085</v>
      </c>
      <c r="O162" s="3" t="s">
        <v>1086</v>
      </c>
      <c r="P162" s="3" t="s">
        <v>136</v>
      </c>
      <c r="Q162" s="3" t="s">
        <v>137</v>
      </c>
      <c r="R162" s="3" t="s">
        <v>1087</v>
      </c>
      <c r="S162" s="3" t="s">
        <v>1088</v>
      </c>
      <c r="T162" s="3" t="s">
        <v>1089</v>
      </c>
      <c r="U162" s="3" t="s">
        <v>1090</v>
      </c>
    </row>
    <row r="163" ht="16.5" spans="1:21">
      <c r="A163" s="3">
        <v>162</v>
      </c>
      <c r="B163" s="3" t="s">
        <v>1091</v>
      </c>
      <c r="C163" s="3" t="s">
        <v>1092</v>
      </c>
      <c r="D163" s="3" t="s">
        <v>125</v>
      </c>
      <c r="E163" s="3" t="s">
        <v>132</v>
      </c>
      <c r="F163" s="3" t="s">
        <v>322</v>
      </c>
      <c r="G163" s="3" t="s">
        <v>1093</v>
      </c>
      <c r="H163" s="3" t="s">
        <v>132</v>
      </c>
      <c r="I163" s="3" t="s">
        <v>443</v>
      </c>
      <c r="J163" s="3" t="s">
        <v>132</v>
      </c>
      <c r="K163" s="3" t="s">
        <v>132</v>
      </c>
      <c r="L163" s="3" t="s">
        <v>132</v>
      </c>
      <c r="M163" s="3" t="s">
        <v>145</v>
      </c>
      <c r="N163" s="3" t="s">
        <v>1094</v>
      </c>
      <c r="O163" s="3" t="s">
        <v>1086</v>
      </c>
      <c r="P163" s="3" t="s">
        <v>136</v>
      </c>
      <c r="Q163" s="3" t="s">
        <v>153</v>
      </c>
      <c r="R163" s="3" t="s">
        <v>1087</v>
      </c>
      <c r="S163" s="3" t="s">
        <v>1088</v>
      </c>
      <c r="T163" s="3" t="s">
        <v>1095</v>
      </c>
      <c r="U163" s="3" t="s">
        <v>132</v>
      </c>
    </row>
    <row r="164" ht="16.5" spans="1:21">
      <c r="A164" s="3">
        <v>163</v>
      </c>
      <c r="B164" s="3" t="s">
        <v>1096</v>
      </c>
      <c r="C164" s="3" t="s">
        <v>1097</v>
      </c>
      <c r="D164" s="3" t="s">
        <v>125</v>
      </c>
      <c r="E164" s="3" t="s">
        <v>132</v>
      </c>
      <c r="F164" s="3" t="s">
        <v>59</v>
      </c>
      <c r="G164" s="3" t="s">
        <v>1098</v>
      </c>
      <c r="H164" s="3" t="s">
        <v>132</v>
      </c>
      <c r="I164" s="3" t="s">
        <v>443</v>
      </c>
      <c r="J164" s="3" t="s">
        <v>132</v>
      </c>
      <c r="K164" s="3" t="s">
        <v>1099</v>
      </c>
      <c r="L164" s="3" t="s">
        <v>132</v>
      </c>
      <c r="M164" s="3" t="s">
        <v>1100</v>
      </c>
      <c r="N164" s="3" t="s">
        <v>1101</v>
      </c>
      <c r="O164" s="3" t="s">
        <v>188</v>
      </c>
      <c r="P164" s="3" t="s">
        <v>1041</v>
      </c>
      <c r="Q164" s="3" t="s">
        <v>137</v>
      </c>
      <c r="R164" s="3" t="s">
        <v>1102</v>
      </c>
      <c r="S164" s="3" t="s">
        <v>1088</v>
      </c>
      <c r="T164" s="3" t="s">
        <v>1055</v>
      </c>
      <c r="U164" s="3" t="s">
        <v>1103</v>
      </c>
    </row>
    <row r="165" ht="33" spans="1:21">
      <c r="A165" s="3">
        <v>164</v>
      </c>
      <c r="B165" s="3" t="s">
        <v>1104</v>
      </c>
      <c r="C165" s="3" t="s">
        <v>1105</v>
      </c>
      <c r="D165" s="3" t="s">
        <v>125</v>
      </c>
      <c r="E165" s="3" t="s">
        <v>132</v>
      </c>
      <c r="F165" s="3" t="s">
        <v>59</v>
      </c>
      <c r="G165" s="3" t="s">
        <v>1106</v>
      </c>
      <c r="H165" s="3" t="s">
        <v>132</v>
      </c>
      <c r="I165" s="3" t="s">
        <v>443</v>
      </c>
      <c r="J165" s="3" t="s">
        <v>132</v>
      </c>
      <c r="K165" s="3" t="s">
        <v>1107</v>
      </c>
      <c r="L165" s="3" t="s">
        <v>132</v>
      </c>
      <c r="M165" s="3" t="s">
        <v>1100</v>
      </c>
      <c r="N165" s="3" t="s">
        <v>1108</v>
      </c>
      <c r="O165" s="3" t="s">
        <v>188</v>
      </c>
      <c r="P165" s="3" t="s">
        <v>1041</v>
      </c>
      <c r="Q165" s="3" t="s">
        <v>137</v>
      </c>
      <c r="R165" s="3" t="s">
        <v>1102</v>
      </c>
      <c r="S165" s="3" t="s">
        <v>1088</v>
      </c>
      <c r="T165" s="3" t="s">
        <v>1109</v>
      </c>
      <c r="U165" s="3" t="s">
        <v>132</v>
      </c>
    </row>
    <row r="166" ht="16.5" spans="1:21">
      <c r="A166" s="3">
        <v>165</v>
      </c>
      <c r="B166" s="3" t="s">
        <v>1110</v>
      </c>
      <c r="C166" s="3" t="s">
        <v>1111</v>
      </c>
      <c r="D166" s="3" t="s">
        <v>125</v>
      </c>
      <c r="E166" s="3" t="s">
        <v>132</v>
      </c>
      <c r="F166" s="3" t="s">
        <v>59</v>
      </c>
      <c r="G166" s="3" t="s">
        <v>1112</v>
      </c>
      <c r="H166" s="3" t="s">
        <v>132</v>
      </c>
      <c r="I166" s="3" t="s">
        <v>443</v>
      </c>
      <c r="J166" s="3" t="s">
        <v>132</v>
      </c>
      <c r="K166" s="3" t="s">
        <v>1113</v>
      </c>
      <c r="L166" s="3" t="s">
        <v>132</v>
      </c>
      <c r="M166" s="3" t="s">
        <v>1100</v>
      </c>
      <c r="N166" s="3" t="s">
        <v>1114</v>
      </c>
      <c r="O166" s="3" t="s">
        <v>188</v>
      </c>
      <c r="P166" s="3" t="s">
        <v>1041</v>
      </c>
      <c r="Q166" s="3" t="s">
        <v>137</v>
      </c>
      <c r="R166" s="3" t="s">
        <v>190</v>
      </c>
      <c r="S166" s="3" t="s">
        <v>1088</v>
      </c>
      <c r="T166" s="3" t="s">
        <v>1055</v>
      </c>
      <c r="U166" s="3" t="s">
        <v>1115</v>
      </c>
    </row>
    <row r="167" ht="16.5" spans="1:21">
      <c r="A167" s="3">
        <v>166</v>
      </c>
      <c r="B167" s="3" t="s">
        <v>1116</v>
      </c>
      <c r="C167" s="3" t="s">
        <v>1117</v>
      </c>
      <c r="D167" s="3" t="s">
        <v>125</v>
      </c>
      <c r="E167" s="3" t="s">
        <v>132</v>
      </c>
      <c r="F167" s="3" t="s">
        <v>59</v>
      </c>
      <c r="G167" s="3" t="s">
        <v>1118</v>
      </c>
      <c r="H167" s="3" t="s">
        <v>132</v>
      </c>
      <c r="I167" s="3" t="s">
        <v>443</v>
      </c>
      <c r="J167" s="3" t="s">
        <v>132</v>
      </c>
      <c r="K167" s="3" t="s">
        <v>1113</v>
      </c>
      <c r="L167" s="3" t="s">
        <v>132</v>
      </c>
      <c r="M167" s="3" t="s">
        <v>1100</v>
      </c>
      <c r="N167" s="3" t="s">
        <v>1119</v>
      </c>
      <c r="O167" s="3" t="s">
        <v>188</v>
      </c>
      <c r="P167" s="3" t="s">
        <v>1041</v>
      </c>
      <c r="Q167" s="3" t="s">
        <v>137</v>
      </c>
      <c r="R167" s="3" t="s">
        <v>190</v>
      </c>
      <c r="S167" s="3" t="s">
        <v>1088</v>
      </c>
      <c r="T167" s="3" t="s">
        <v>1109</v>
      </c>
      <c r="U167" s="3" t="s">
        <v>132</v>
      </c>
    </row>
    <row r="168" ht="16.5" spans="1:21">
      <c r="A168" s="3">
        <v>167</v>
      </c>
      <c r="B168" s="3" t="s">
        <v>1120</v>
      </c>
      <c r="C168" s="3" t="s">
        <v>1121</v>
      </c>
      <c r="D168" s="3" t="s">
        <v>125</v>
      </c>
      <c r="E168" s="3" t="s">
        <v>132</v>
      </c>
      <c r="F168" s="3" t="s">
        <v>59</v>
      </c>
      <c r="G168" s="3" t="s">
        <v>1122</v>
      </c>
      <c r="H168" s="3" t="s">
        <v>132</v>
      </c>
      <c r="I168" s="3" t="s">
        <v>1123</v>
      </c>
      <c r="J168" s="3" t="s">
        <v>132</v>
      </c>
      <c r="K168" s="3" t="s">
        <v>1124</v>
      </c>
      <c r="L168" s="3" t="s">
        <v>132</v>
      </c>
      <c r="M168" s="3" t="s">
        <v>1100</v>
      </c>
      <c r="N168" s="3" t="s">
        <v>1125</v>
      </c>
      <c r="O168" s="3" t="s">
        <v>188</v>
      </c>
      <c r="P168" s="3" t="s">
        <v>1041</v>
      </c>
      <c r="Q168" s="3" t="s">
        <v>137</v>
      </c>
      <c r="R168" s="3" t="s">
        <v>1102</v>
      </c>
      <c r="S168" s="3" t="s">
        <v>1126</v>
      </c>
      <c r="T168" s="3" t="s">
        <v>1127</v>
      </c>
      <c r="U168" s="3" t="s">
        <v>1128</v>
      </c>
    </row>
    <row r="169" ht="33" spans="1:21">
      <c r="A169" s="3">
        <v>168</v>
      </c>
      <c r="B169" s="3" t="s">
        <v>1129</v>
      </c>
      <c r="C169" s="3" t="s">
        <v>1130</v>
      </c>
      <c r="D169" s="3" t="s">
        <v>125</v>
      </c>
      <c r="E169" s="3" t="s">
        <v>132</v>
      </c>
      <c r="F169" s="3" t="s">
        <v>59</v>
      </c>
      <c r="G169" s="3" t="s">
        <v>1131</v>
      </c>
      <c r="H169" s="3" t="s">
        <v>132</v>
      </c>
      <c r="I169" s="3" t="s">
        <v>443</v>
      </c>
      <c r="J169" s="3" t="s">
        <v>132</v>
      </c>
      <c r="K169" s="3" t="s">
        <v>132</v>
      </c>
      <c r="L169" s="3" t="s">
        <v>132</v>
      </c>
      <c r="M169" s="3" t="s">
        <v>1132</v>
      </c>
      <c r="N169" s="3" t="s">
        <v>1133</v>
      </c>
      <c r="O169" s="3" t="s">
        <v>188</v>
      </c>
      <c r="P169" s="3" t="s">
        <v>1041</v>
      </c>
      <c r="Q169" s="3" t="s">
        <v>137</v>
      </c>
      <c r="R169" s="3" t="s">
        <v>190</v>
      </c>
      <c r="S169" s="3" t="s">
        <v>1054</v>
      </c>
      <c r="T169" s="3" t="s">
        <v>1134</v>
      </c>
      <c r="U169" s="3" t="s">
        <v>1135</v>
      </c>
    </row>
    <row r="170" ht="16.5" spans="1:21">
      <c r="A170" s="3">
        <v>169</v>
      </c>
      <c r="B170" s="3" t="s">
        <v>1136</v>
      </c>
      <c r="C170" s="3" t="s">
        <v>1137</v>
      </c>
      <c r="D170" s="3" t="s">
        <v>125</v>
      </c>
      <c r="E170" s="3" t="s">
        <v>132</v>
      </c>
      <c r="F170" s="3" t="s">
        <v>59</v>
      </c>
      <c r="G170" s="3" t="s">
        <v>1138</v>
      </c>
      <c r="H170" s="3" t="s">
        <v>132</v>
      </c>
      <c r="I170" s="3" t="s">
        <v>443</v>
      </c>
      <c r="J170" s="3" t="s">
        <v>132</v>
      </c>
      <c r="K170" s="3" t="s">
        <v>132</v>
      </c>
      <c r="L170" s="3" t="s">
        <v>132</v>
      </c>
      <c r="M170" s="3" t="s">
        <v>1139</v>
      </c>
      <c r="N170" s="3" t="s">
        <v>1140</v>
      </c>
      <c r="O170" s="3" t="s">
        <v>188</v>
      </c>
      <c r="P170" s="3" t="s">
        <v>1041</v>
      </c>
      <c r="Q170" s="3" t="s">
        <v>137</v>
      </c>
      <c r="R170" s="3" t="s">
        <v>190</v>
      </c>
      <c r="S170" s="3" t="s">
        <v>1141</v>
      </c>
      <c r="T170" s="3" t="s">
        <v>1134</v>
      </c>
      <c r="U170" s="3" t="s">
        <v>1142</v>
      </c>
    </row>
    <row r="171" ht="16.5" spans="1:21">
      <c r="A171" s="3">
        <v>170</v>
      </c>
      <c r="B171" s="3" t="s">
        <v>1143</v>
      </c>
      <c r="C171" s="3" t="s">
        <v>1144</v>
      </c>
      <c r="D171" s="3" t="s">
        <v>125</v>
      </c>
      <c r="E171" s="3" t="s">
        <v>132</v>
      </c>
      <c r="F171" s="3" t="s">
        <v>59</v>
      </c>
      <c r="G171" s="3" t="s">
        <v>1145</v>
      </c>
      <c r="H171" s="3" t="s">
        <v>132</v>
      </c>
      <c r="I171" s="3" t="s">
        <v>443</v>
      </c>
      <c r="J171" s="3" t="s">
        <v>132</v>
      </c>
      <c r="K171" s="3" t="s">
        <v>132</v>
      </c>
      <c r="L171" s="3" t="s">
        <v>132</v>
      </c>
      <c r="M171" s="3" t="s">
        <v>186</v>
      </c>
      <c r="N171" s="3" t="s">
        <v>1146</v>
      </c>
      <c r="O171" s="3" t="s">
        <v>1068</v>
      </c>
      <c r="P171" s="3" t="s">
        <v>1069</v>
      </c>
      <c r="Q171" s="3" t="s">
        <v>137</v>
      </c>
      <c r="R171" s="3" t="s">
        <v>190</v>
      </c>
      <c r="S171" s="3" t="s">
        <v>1061</v>
      </c>
      <c r="T171" s="3" t="s">
        <v>1147</v>
      </c>
      <c r="U171" s="3" t="s">
        <v>1148</v>
      </c>
    </row>
    <row r="172" ht="16.5" spans="1:21">
      <c r="A172" s="3">
        <v>171</v>
      </c>
      <c r="B172" s="3" t="s">
        <v>1149</v>
      </c>
      <c r="C172" s="3" t="s">
        <v>1150</v>
      </c>
      <c r="D172" s="3" t="s">
        <v>125</v>
      </c>
      <c r="E172" s="3" t="s">
        <v>1151</v>
      </c>
      <c r="F172" s="3" t="s">
        <v>68</v>
      </c>
      <c r="G172" s="3" t="s">
        <v>1152</v>
      </c>
      <c r="H172" s="3" t="s">
        <v>1153</v>
      </c>
      <c r="I172" s="3" t="s">
        <v>215</v>
      </c>
      <c r="J172" s="3" t="s">
        <v>216</v>
      </c>
      <c r="K172" s="3" t="s">
        <v>207</v>
      </c>
      <c r="L172" s="3" t="s">
        <v>132</v>
      </c>
      <c r="M172" s="3" t="s">
        <v>1154</v>
      </c>
      <c r="N172" s="3" t="s">
        <v>1155</v>
      </c>
      <c r="O172" s="3" t="s">
        <v>188</v>
      </c>
      <c r="P172" s="3" t="s">
        <v>136</v>
      </c>
      <c r="Q172" s="3" t="s">
        <v>137</v>
      </c>
      <c r="R172" s="3" t="s">
        <v>190</v>
      </c>
      <c r="S172" s="3" t="s">
        <v>1156</v>
      </c>
      <c r="T172" s="3" t="s">
        <v>439</v>
      </c>
      <c r="U172" s="3" t="s">
        <v>1157</v>
      </c>
    </row>
    <row r="173" ht="16.5" spans="1:21">
      <c r="A173" s="3">
        <v>172</v>
      </c>
      <c r="B173" s="3" t="s">
        <v>1158</v>
      </c>
      <c r="C173" s="3" t="s">
        <v>1159</v>
      </c>
      <c r="D173" s="3" t="s">
        <v>125</v>
      </c>
      <c r="E173" s="3" t="s">
        <v>1151</v>
      </c>
      <c r="F173" s="3" t="s">
        <v>68</v>
      </c>
      <c r="G173" s="3" t="s">
        <v>1160</v>
      </c>
      <c r="H173" s="3" t="s">
        <v>1161</v>
      </c>
      <c r="I173" s="3" t="s">
        <v>215</v>
      </c>
      <c r="J173" s="3" t="s">
        <v>216</v>
      </c>
      <c r="K173" s="3" t="s">
        <v>207</v>
      </c>
      <c r="L173" s="3" t="s">
        <v>132</v>
      </c>
      <c r="M173" s="3" t="s">
        <v>1154</v>
      </c>
      <c r="N173" s="3" t="s">
        <v>1162</v>
      </c>
      <c r="O173" s="3" t="s">
        <v>188</v>
      </c>
      <c r="P173" s="3" t="s">
        <v>136</v>
      </c>
      <c r="Q173" s="3" t="s">
        <v>137</v>
      </c>
      <c r="R173" s="3" t="s">
        <v>190</v>
      </c>
      <c r="S173" s="3" t="s">
        <v>1163</v>
      </c>
      <c r="T173" s="3" t="s">
        <v>439</v>
      </c>
      <c r="U173" s="3" t="s">
        <v>1164</v>
      </c>
    </row>
    <row r="174" ht="49.5" spans="1:21">
      <c r="A174" s="3">
        <v>173</v>
      </c>
      <c r="B174" s="3" t="s">
        <v>1165</v>
      </c>
      <c r="C174" s="3" t="s">
        <v>1166</v>
      </c>
      <c r="D174" s="3" t="s">
        <v>125</v>
      </c>
      <c r="E174" s="3" t="s">
        <v>1167</v>
      </c>
      <c r="F174" s="3" t="s">
        <v>68</v>
      </c>
      <c r="G174" s="3" t="s">
        <v>1168</v>
      </c>
      <c r="H174" s="3" t="s">
        <v>284</v>
      </c>
      <c r="I174" s="3" t="s">
        <v>215</v>
      </c>
      <c r="J174" s="3" t="s">
        <v>216</v>
      </c>
      <c r="K174" s="3" t="s">
        <v>207</v>
      </c>
      <c r="L174" s="3" t="s">
        <v>132</v>
      </c>
      <c r="M174" s="3" t="s">
        <v>1169</v>
      </c>
      <c r="N174" s="3" t="s">
        <v>1170</v>
      </c>
      <c r="O174" s="3" t="s">
        <v>188</v>
      </c>
      <c r="P174" s="3" t="s">
        <v>136</v>
      </c>
      <c r="Q174" s="3" t="s">
        <v>137</v>
      </c>
      <c r="R174" s="3" t="s">
        <v>1171</v>
      </c>
      <c r="S174" s="3" t="s">
        <v>1172</v>
      </c>
      <c r="T174" s="3" t="s">
        <v>207</v>
      </c>
      <c r="U174" s="3" t="s">
        <v>1173</v>
      </c>
    </row>
    <row r="175" ht="49.5" spans="1:21">
      <c r="A175" s="3">
        <v>174</v>
      </c>
      <c r="B175" s="3" t="s">
        <v>1174</v>
      </c>
      <c r="C175" s="3" t="s">
        <v>1175</v>
      </c>
      <c r="D175" s="3" t="s">
        <v>125</v>
      </c>
      <c r="E175" s="3" t="s">
        <v>1176</v>
      </c>
      <c r="F175" s="3" t="s">
        <v>68</v>
      </c>
      <c r="G175" s="3" t="s">
        <v>1177</v>
      </c>
      <c r="H175" s="3" t="s">
        <v>284</v>
      </c>
      <c r="I175" s="3" t="s">
        <v>215</v>
      </c>
      <c r="J175" s="3" t="s">
        <v>216</v>
      </c>
      <c r="K175" s="3" t="s">
        <v>207</v>
      </c>
      <c r="L175" s="3" t="s">
        <v>132</v>
      </c>
      <c r="M175" s="3" t="s">
        <v>1169</v>
      </c>
      <c r="N175" s="3" t="s">
        <v>1170</v>
      </c>
      <c r="O175" s="3" t="s">
        <v>188</v>
      </c>
      <c r="P175" s="3" t="s">
        <v>136</v>
      </c>
      <c r="Q175" s="3" t="s">
        <v>137</v>
      </c>
      <c r="R175" s="3" t="s">
        <v>1171</v>
      </c>
      <c r="S175" s="3" t="s">
        <v>1178</v>
      </c>
      <c r="T175" s="3" t="s">
        <v>207</v>
      </c>
      <c r="U175" s="3" t="s">
        <v>1173</v>
      </c>
    </row>
    <row r="176" ht="16.5" spans="1:21">
      <c r="A176" s="3">
        <v>175</v>
      </c>
      <c r="B176" s="3" t="s">
        <v>1179</v>
      </c>
      <c r="C176" s="3" t="s">
        <v>1180</v>
      </c>
      <c r="D176" s="3" t="s">
        <v>125</v>
      </c>
      <c r="E176" s="3" t="s">
        <v>1181</v>
      </c>
      <c r="F176" s="3" t="s">
        <v>68</v>
      </c>
      <c r="G176" s="3" t="s">
        <v>1182</v>
      </c>
      <c r="H176" s="3" t="s">
        <v>284</v>
      </c>
      <c r="I176" s="3" t="s">
        <v>215</v>
      </c>
      <c r="J176" s="3" t="s">
        <v>216</v>
      </c>
      <c r="K176" s="3" t="s">
        <v>207</v>
      </c>
      <c r="L176" s="3" t="s">
        <v>132</v>
      </c>
      <c r="M176" s="3" t="s">
        <v>1183</v>
      </c>
      <c r="N176" s="3" t="s">
        <v>1170</v>
      </c>
      <c r="O176" s="3" t="s">
        <v>188</v>
      </c>
      <c r="P176" s="3" t="s">
        <v>136</v>
      </c>
      <c r="Q176" s="3" t="s">
        <v>137</v>
      </c>
      <c r="R176" s="3" t="s">
        <v>1184</v>
      </c>
      <c r="S176" s="3" t="s">
        <v>1017</v>
      </c>
      <c r="T176" s="3" t="s">
        <v>207</v>
      </c>
      <c r="U176" s="3" t="s">
        <v>132</v>
      </c>
    </row>
    <row r="177" ht="16.5" spans="1:21">
      <c r="A177" s="3">
        <v>176</v>
      </c>
      <c r="B177" s="3" t="s">
        <v>1185</v>
      </c>
      <c r="C177" s="3" t="s">
        <v>1186</v>
      </c>
      <c r="D177" s="3" t="s">
        <v>125</v>
      </c>
      <c r="E177" s="3" t="s">
        <v>1181</v>
      </c>
      <c r="F177" s="3" t="s">
        <v>68</v>
      </c>
      <c r="G177" s="3" t="s">
        <v>1187</v>
      </c>
      <c r="H177" s="3" t="s">
        <v>284</v>
      </c>
      <c r="I177" s="3" t="s">
        <v>215</v>
      </c>
      <c r="J177" s="3" t="s">
        <v>216</v>
      </c>
      <c r="K177" s="3" t="s">
        <v>207</v>
      </c>
      <c r="L177" s="3" t="s">
        <v>132</v>
      </c>
      <c r="M177" s="3" t="s">
        <v>1183</v>
      </c>
      <c r="N177" s="3" t="s">
        <v>1170</v>
      </c>
      <c r="O177" s="3" t="s">
        <v>188</v>
      </c>
      <c r="P177" s="3" t="s">
        <v>136</v>
      </c>
      <c r="Q177" s="3" t="s">
        <v>137</v>
      </c>
      <c r="R177" s="3" t="s">
        <v>1184</v>
      </c>
      <c r="S177" s="3" t="s">
        <v>1188</v>
      </c>
      <c r="T177" s="3" t="s">
        <v>207</v>
      </c>
      <c r="U177" s="3" t="s">
        <v>132</v>
      </c>
    </row>
    <row r="178" ht="33" spans="1:21">
      <c r="A178" s="3">
        <v>177</v>
      </c>
      <c r="B178" s="3" t="s">
        <v>1189</v>
      </c>
      <c r="C178" s="3" t="s">
        <v>1190</v>
      </c>
      <c r="D178" s="3" t="s">
        <v>125</v>
      </c>
      <c r="E178" s="3" t="s">
        <v>1181</v>
      </c>
      <c r="F178" s="3" t="s">
        <v>68</v>
      </c>
      <c r="G178" s="3" t="s">
        <v>1191</v>
      </c>
      <c r="H178" s="3" t="s">
        <v>1192</v>
      </c>
      <c r="I178" s="3" t="s">
        <v>215</v>
      </c>
      <c r="J178" s="3" t="s">
        <v>216</v>
      </c>
      <c r="K178" s="3" t="s">
        <v>207</v>
      </c>
      <c r="L178" s="3" t="s">
        <v>132</v>
      </c>
      <c r="M178" s="3" t="s">
        <v>1193</v>
      </c>
      <c r="N178" s="3" t="s">
        <v>1170</v>
      </c>
      <c r="O178" s="3" t="s">
        <v>1194</v>
      </c>
      <c r="P178" s="3" t="s">
        <v>136</v>
      </c>
      <c r="Q178" s="3" t="s">
        <v>137</v>
      </c>
      <c r="R178" s="3" t="s">
        <v>1195</v>
      </c>
      <c r="S178" s="3" t="s">
        <v>1196</v>
      </c>
      <c r="T178" s="3" t="s">
        <v>207</v>
      </c>
      <c r="U178" s="3" t="s">
        <v>1197</v>
      </c>
    </row>
    <row r="179" ht="33" spans="1:21">
      <c r="A179" s="3">
        <v>178</v>
      </c>
      <c r="B179" s="3" t="s">
        <v>1198</v>
      </c>
      <c r="C179" s="3" t="s">
        <v>1199</v>
      </c>
      <c r="D179" s="3" t="s">
        <v>125</v>
      </c>
      <c r="E179" s="3" t="s">
        <v>1151</v>
      </c>
      <c r="F179" s="3" t="s">
        <v>68</v>
      </c>
      <c r="G179" s="3" t="s">
        <v>1200</v>
      </c>
      <c r="H179" s="3" t="s">
        <v>1201</v>
      </c>
      <c r="I179" s="3" t="s">
        <v>215</v>
      </c>
      <c r="J179" s="3" t="s">
        <v>216</v>
      </c>
      <c r="K179" s="3" t="s">
        <v>207</v>
      </c>
      <c r="L179" s="3" t="s">
        <v>132</v>
      </c>
      <c r="M179" s="3" t="s">
        <v>1202</v>
      </c>
      <c r="N179" s="3" t="s">
        <v>1170</v>
      </c>
      <c r="O179" s="3" t="s">
        <v>188</v>
      </c>
      <c r="P179" s="3" t="s">
        <v>136</v>
      </c>
      <c r="Q179" s="3" t="s">
        <v>137</v>
      </c>
      <c r="R179" s="3" t="s">
        <v>190</v>
      </c>
      <c r="S179" s="3" t="s">
        <v>1203</v>
      </c>
      <c r="T179" s="3" t="s">
        <v>1204</v>
      </c>
      <c r="U179" s="3" t="s">
        <v>1205</v>
      </c>
    </row>
    <row r="180" ht="16.5" spans="1:21">
      <c r="A180" s="3">
        <v>179</v>
      </c>
      <c r="B180" s="3" t="s">
        <v>1206</v>
      </c>
      <c r="C180" s="3" t="s">
        <v>1207</v>
      </c>
      <c r="D180" s="3" t="s">
        <v>125</v>
      </c>
      <c r="E180" s="3" t="s">
        <v>132</v>
      </c>
      <c r="F180" s="3" t="s">
        <v>68</v>
      </c>
      <c r="G180" s="3" t="s">
        <v>1208</v>
      </c>
      <c r="H180" s="3" t="s">
        <v>1209</v>
      </c>
      <c r="I180" s="3" t="s">
        <v>215</v>
      </c>
      <c r="J180" s="3" t="s">
        <v>216</v>
      </c>
      <c r="K180" s="3" t="s">
        <v>207</v>
      </c>
      <c r="L180" s="3" t="s">
        <v>132</v>
      </c>
      <c r="M180" s="3" t="s">
        <v>1066</v>
      </c>
      <c r="N180" s="3" t="s">
        <v>1210</v>
      </c>
      <c r="O180" s="3" t="s">
        <v>188</v>
      </c>
      <c r="P180" s="3" t="s">
        <v>136</v>
      </c>
      <c r="Q180" s="3" t="s">
        <v>137</v>
      </c>
      <c r="R180" s="3" t="s">
        <v>190</v>
      </c>
      <c r="S180" s="3" t="s">
        <v>1042</v>
      </c>
      <c r="T180" s="3" t="s">
        <v>207</v>
      </c>
      <c r="U180" s="3" t="s">
        <v>1211</v>
      </c>
    </row>
    <row r="181" ht="16.5" spans="1:21">
      <c r="A181" s="3">
        <v>180</v>
      </c>
      <c r="B181" s="3" t="s">
        <v>1212</v>
      </c>
      <c r="C181" s="3" t="s">
        <v>1213</v>
      </c>
      <c r="D181" s="3" t="s">
        <v>125</v>
      </c>
      <c r="E181" s="3" t="s">
        <v>1214</v>
      </c>
      <c r="F181" s="3" t="s">
        <v>71</v>
      </c>
      <c r="G181" s="3" t="s">
        <v>1215</v>
      </c>
      <c r="H181" s="3" t="s">
        <v>1216</v>
      </c>
      <c r="I181" s="3" t="s">
        <v>215</v>
      </c>
      <c r="J181" s="3" t="s">
        <v>216</v>
      </c>
      <c r="K181" s="3" t="s">
        <v>207</v>
      </c>
      <c r="L181" s="3" t="s">
        <v>132</v>
      </c>
      <c r="M181" s="3" t="s">
        <v>249</v>
      </c>
      <c r="N181" s="3" t="s">
        <v>1217</v>
      </c>
      <c r="O181" s="3" t="s">
        <v>444</v>
      </c>
      <c r="P181" s="3" t="s">
        <v>1218</v>
      </c>
      <c r="Q181" s="3" t="s">
        <v>137</v>
      </c>
      <c r="R181" s="3" t="s">
        <v>190</v>
      </c>
      <c r="S181" s="3" t="s">
        <v>566</v>
      </c>
      <c r="T181" s="3" t="s">
        <v>439</v>
      </c>
      <c r="U181" s="3" t="s">
        <v>1219</v>
      </c>
    </row>
    <row r="182" ht="16.5" spans="1:21">
      <c r="A182" s="3">
        <v>181</v>
      </c>
      <c r="B182" s="3" t="s">
        <v>1220</v>
      </c>
      <c r="C182" s="3" t="s">
        <v>1221</v>
      </c>
      <c r="D182" s="3" t="s">
        <v>125</v>
      </c>
      <c r="E182" s="3" t="s">
        <v>1222</v>
      </c>
      <c r="F182" s="3" t="s">
        <v>71</v>
      </c>
      <c r="G182" s="3" t="s">
        <v>1223</v>
      </c>
      <c r="H182" s="3" t="s">
        <v>1216</v>
      </c>
      <c r="I182" s="3" t="s">
        <v>215</v>
      </c>
      <c r="J182" s="3" t="s">
        <v>216</v>
      </c>
      <c r="K182" s="3" t="s">
        <v>207</v>
      </c>
      <c r="L182" s="3" t="s">
        <v>132</v>
      </c>
      <c r="M182" s="3" t="s">
        <v>1224</v>
      </c>
      <c r="N182" s="3" t="s">
        <v>1225</v>
      </c>
      <c r="O182" s="3" t="s">
        <v>188</v>
      </c>
      <c r="P182" s="3" t="s">
        <v>1226</v>
      </c>
      <c r="Q182" s="3" t="s">
        <v>137</v>
      </c>
      <c r="R182" s="3" t="s">
        <v>190</v>
      </c>
      <c r="S182" s="3" t="s">
        <v>579</v>
      </c>
      <c r="T182" s="3" t="s">
        <v>439</v>
      </c>
      <c r="U182" s="3" t="s">
        <v>1227</v>
      </c>
    </row>
    <row r="183" ht="16.5" spans="1:21">
      <c r="A183" s="3">
        <v>182</v>
      </c>
      <c r="B183" s="3" t="s">
        <v>1228</v>
      </c>
      <c r="C183" s="3" t="s">
        <v>1229</v>
      </c>
      <c r="D183" s="3" t="s">
        <v>125</v>
      </c>
      <c r="E183" s="3" t="s">
        <v>132</v>
      </c>
      <c r="F183" s="3" t="s">
        <v>71</v>
      </c>
      <c r="G183" s="3" t="s">
        <v>1230</v>
      </c>
      <c r="H183" s="3" t="s">
        <v>1216</v>
      </c>
      <c r="I183" s="3" t="s">
        <v>215</v>
      </c>
      <c r="J183" s="3" t="s">
        <v>216</v>
      </c>
      <c r="K183" s="3" t="s">
        <v>207</v>
      </c>
      <c r="L183" s="3" t="s">
        <v>132</v>
      </c>
      <c r="M183" s="3" t="s">
        <v>1231</v>
      </c>
      <c r="N183" s="3" t="s">
        <v>1232</v>
      </c>
      <c r="O183" s="3" t="s">
        <v>188</v>
      </c>
      <c r="P183" s="3" t="s">
        <v>1233</v>
      </c>
      <c r="Q183" s="3" t="s">
        <v>137</v>
      </c>
      <c r="R183" s="3" t="s">
        <v>1234</v>
      </c>
      <c r="S183" s="3" t="s">
        <v>579</v>
      </c>
      <c r="T183" s="3" t="s">
        <v>207</v>
      </c>
      <c r="U183" s="3" t="s">
        <v>1235</v>
      </c>
    </row>
    <row r="184" ht="16.5" spans="1:21">
      <c r="A184" s="3">
        <v>183</v>
      </c>
      <c r="B184" s="3" t="s">
        <v>1236</v>
      </c>
      <c r="C184" s="3" t="s">
        <v>1237</v>
      </c>
      <c r="D184" s="3" t="s">
        <v>125</v>
      </c>
      <c r="E184" s="3" t="s">
        <v>132</v>
      </c>
      <c r="F184" s="3" t="s">
        <v>71</v>
      </c>
      <c r="G184" s="3" t="s">
        <v>1238</v>
      </c>
      <c r="H184" s="3" t="s">
        <v>1216</v>
      </c>
      <c r="I184" s="3" t="s">
        <v>215</v>
      </c>
      <c r="J184" s="3" t="s">
        <v>216</v>
      </c>
      <c r="K184" s="3" t="s">
        <v>207</v>
      </c>
      <c r="L184" s="3" t="s">
        <v>132</v>
      </c>
      <c r="M184" s="3" t="s">
        <v>1239</v>
      </c>
      <c r="N184" s="3" t="s">
        <v>1240</v>
      </c>
      <c r="O184" s="3" t="s">
        <v>188</v>
      </c>
      <c r="P184" s="3" t="s">
        <v>1233</v>
      </c>
      <c r="Q184" s="3" t="s">
        <v>137</v>
      </c>
      <c r="R184" s="3" t="s">
        <v>1241</v>
      </c>
      <c r="S184" s="3" t="s">
        <v>579</v>
      </c>
      <c r="T184" s="3" t="s">
        <v>207</v>
      </c>
      <c r="U184" s="3" t="s">
        <v>132</v>
      </c>
    </row>
    <row r="185" ht="16.5" spans="1:21">
      <c r="A185" s="3">
        <v>184</v>
      </c>
      <c r="B185" s="3" t="s">
        <v>1242</v>
      </c>
      <c r="C185" s="3" t="s">
        <v>1243</v>
      </c>
      <c r="D185" s="3" t="s">
        <v>125</v>
      </c>
      <c r="E185" s="3" t="s">
        <v>1244</v>
      </c>
      <c r="F185" s="3" t="s">
        <v>71</v>
      </c>
      <c r="G185" s="3" t="s">
        <v>1245</v>
      </c>
      <c r="H185" s="3" t="s">
        <v>1216</v>
      </c>
      <c r="I185" s="3" t="s">
        <v>215</v>
      </c>
      <c r="J185" s="3" t="s">
        <v>216</v>
      </c>
      <c r="K185" s="3" t="s">
        <v>207</v>
      </c>
      <c r="L185" s="3" t="s">
        <v>132</v>
      </c>
      <c r="M185" s="3" t="s">
        <v>1246</v>
      </c>
      <c r="N185" s="3" t="s">
        <v>1247</v>
      </c>
      <c r="O185" s="3" t="s">
        <v>267</v>
      </c>
      <c r="P185" s="3" t="s">
        <v>136</v>
      </c>
      <c r="Q185" s="3" t="s">
        <v>137</v>
      </c>
      <c r="R185" s="3" t="s">
        <v>1248</v>
      </c>
      <c r="S185" s="3" t="s">
        <v>1249</v>
      </c>
      <c r="T185" s="3" t="s">
        <v>207</v>
      </c>
      <c r="U185" s="3" t="s">
        <v>1250</v>
      </c>
    </row>
    <row r="186" ht="16.5" spans="1:21">
      <c r="A186" s="3">
        <v>185</v>
      </c>
      <c r="B186" s="3" t="s">
        <v>1251</v>
      </c>
      <c r="C186" s="3" t="s">
        <v>1252</v>
      </c>
      <c r="D186" s="3" t="s">
        <v>125</v>
      </c>
      <c r="E186" s="3" t="s">
        <v>1244</v>
      </c>
      <c r="F186" s="3" t="s">
        <v>71</v>
      </c>
      <c r="G186" s="3" t="s">
        <v>1253</v>
      </c>
      <c r="H186" s="3" t="s">
        <v>1216</v>
      </c>
      <c r="I186" s="3" t="s">
        <v>215</v>
      </c>
      <c r="J186" s="3" t="s">
        <v>216</v>
      </c>
      <c r="K186" s="3" t="s">
        <v>207</v>
      </c>
      <c r="L186" s="3" t="s">
        <v>132</v>
      </c>
      <c r="M186" s="3" t="s">
        <v>1193</v>
      </c>
      <c r="N186" s="3" t="s">
        <v>1247</v>
      </c>
      <c r="O186" s="3" t="s">
        <v>444</v>
      </c>
      <c r="P186" s="3" t="s">
        <v>1254</v>
      </c>
      <c r="Q186" s="3" t="s">
        <v>137</v>
      </c>
      <c r="R186" s="3" t="s">
        <v>1255</v>
      </c>
      <c r="S186" s="3" t="s">
        <v>1256</v>
      </c>
      <c r="T186" s="3" t="s">
        <v>207</v>
      </c>
      <c r="U186" s="3" t="s">
        <v>1257</v>
      </c>
    </row>
    <row r="187" ht="16.5" spans="1:21">
      <c r="A187" s="3">
        <v>186</v>
      </c>
      <c r="B187" s="3" t="s">
        <v>1258</v>
      </c>
      <c r="C187" s="3" t="s">
        <v>1259</v>
      </c>
      <c r="D187" s="3" t="s">
        <v>125</v>
      </c>
      <c r="E187" s="3" t="s">
        <v>1244</v>
      </c>
      <c r="F187" s="3" t="s">
        <v>71</v>
      </c>
      <c r="G187" s="3" t="s">
        <v>1260</v>
      </c>
      <c r="H187" s="3" t="s">
        <v>1216</v>
      </c>
      <c r="I187" s="3" t="s">
        <v>215</v>
      </c>
      <c r="J187" s="3" t="s">
        <v>216</v>
      </c>
      <c r="K187" s="3" t="s">
        <v>207</v>
      </c>
      <c r="L187" s="3" t="s">
        <v>132</v>
      </c>
      <c r="M187" s="3" t="s">
        <v>1193</v>
      </c>
      <c r="N187" s="3" t="s">
        <v>1247</v>
      </c>
      <c r="O187" s="3" t="s">
        <v>444</v>
      </c>
      <c r="P187" s="3" t="s">
        <v>1254</v>
      </c>
      <c r="Q187" s="3" t="s">
        <v>137</v>
      </c>
      <c r="R187" s="3" t="s">
        <v>1261</v>
      </c>
      <c r="S187" s="3" t="s">
        <v>1262</v>
      </c>
      <c r="T187" s="3" t="s">
        <v>207</v>
      </c>
      <c r="U187" s="3" t="s">
        <v>1257</v>
      </c>
    </row>
    <row r="188" ht="16.5" spans="1:21">
      <c r="A188" s="3">
        <v>187</v>
      </c>
      <c r="B188" s="3" t="s">
        <v>1263</v>
      </c>
      <c r="C188" s="3" t="s">
        <v>1264</v>
      </c>
      <c r="D188" s="3" t="s">
        <v>125</v>
      </c>
      <c r="E188" s="3" t="s">
        <v>1244</v>
      </c>
      <c r="F188" s="3" t="s">
        <v>71</v>
      </c>
      <c r="G188" s="3" t="s">
        <v>1265</v>
      </c>
      <c r="H188" s="3" t="s">
        <v>1216</v>
      </c>
      <c r="I188" s="3" t="s">
        <v>215</v>
      </c>
      <c r="J188" s="3" t="s">
        <v>216</v>
      </c>
      <c r="K188" s="3" t="s">
        <v>207</v>
      </c>
      <c r="L188" s="3" t="s">
        <v>132</v>
      </c>
      <c r="M188" s="3" t="s">
        <v>1193</v>
      </c>
      <c r="N188" s="3" t="s">
        <v>1247</v>
      </c>
      <c r="O188" s="3" t="s">
        <v>444</v>
      </c>
      <c r="P188" s="3" t="s">
        <v>136</v>
      </c>
      <c r="Q188" s="3" t="s">
        <v>137</v>
      </c>
      <c r="R188" s="3" t="s">
        <v>1266</v>
      </c>
      <c r="S188" s="3" t="s">
        <v>1267</v>
      </c>
      <c r="T188" s="3" t="s">
        <v>207</v>
      </c>
      <c r="U188" s="3" t="s">
        <v>132</v>
      </c>
    </row>
    <row r="189" ht="33" spans="1:21">
      <c r="A189" s="3">
        <v>188</v>
      </c>
      <c r="B189" s="3" t="s">
        <v>1268</v>
      </c>
      <c r="C189" s="3" t="s">
        <v>1269</v>
      </c>
      <c r="D189" s="3" t="s">
        <v>125</v>
      </c>
      <c r="E189" s="3" t="s">
        <v>1244</v>
      </c>
      <c r="F189" s="3" t="s">
        <v>71</v>
      </c>
      <c r="G189" s="3" t="s">
        <v>1270</v>
      </c>
      <c r="H189" s="3" t="s">
        <v>1216</v>
      </c>
      <c r="I189" s="3" t="s">
        <v>215</v>
      </c>
      <c r="J189" s="3" t="s">
        <v>216</v>
      </c>
      <c r="K189" s="3" t="s">
        <v>207</v>
      </c>
      <c r="L189" s="3" t="s">
        <v>132</v>
      </c>
      <c r="M189" s="3" t="s">
        <v>1193</v>
      </c>
      <c r="N189" s="3" t="s">
        <v>1247</v>
      </c>
      <c r="O189" s="3" t="s">
        <v>444</v>
      </c>
      <c r="P189" s="3" t="s">
        <v>1271</v>
      </c>
      <c r="Q189" s="3" t="s">
        <v>137</v>
      </c>
      <c r="R189" s="3" t="s">
        <v>1195</v>
      </c>
      <c r="S189" s="3" t="s">
        <v>1272</v>
      </c>
      <c r="T189" s="3" t="s">
        <v>207</v>
      </c>
      <c r="U189" s="3" t="s">
        <v>132</v>
      </c>
    </row>
    <row r="190" ht="16.5" spans="1:21">
      <c r="A190" s="3">
        <v>189</v>
      </c>
      <c r="B190" s="3" t="s">
        <v>1273</v>
      </c>
      <c r="C190" s="3" t="s">
        <v>1274</v>
      </c>
      <c r="D190" s="3" t="s">
        <v>125</v>
      </c>
      <c r="E190" s="3" t="s">
        <v>1244</v>
      </c>
      <c r="F190" s="3" t="s">
        <v>71</v>
      </c>
      <c r="G190" s="3" t="s">
        <v>1275</v>
      </c>
      <c r="H190" s="3" t="s">
        <v>1216</v>
      </c>
      <c r="I190" s="3" t="s">
        <v>215</v>
      </c>
      <c r="J190" s="3" t="s">
        <v>216</v>
      </c>
      <c r="K190" s="3" t="s">
        <v>207</v>
      </c>
      <c r="L190" s="3" t="s">
        <v>132</v>
      </c>
      <c r="M190" s="3" t="s">
        <v>1193</v>
      </c>
      <c r="N190" s="3" t="s">
        <v>1247</v>
      </c>
      <c r="O190" s="3" t="s">
        <v>444</v>
      </c>
      <c r="P190" s="3" t="s">
        <v>1254</v>
      </c>
      <c r="Q190" s="3" t="s">
        <v>137</v>
      </c>
      <c r="R190" s="3" t="s">
        <v>1276</v>
      </c>
      <c r="S190" s="3" t="s">
        <v>1277</v>
      </c>
      <c r="T190" s="3" t="s">
        <v>207</v>
      </c>
      <c r="U190" s="3" t="s">
        <v>132</v>
      </c>
    </row>
    <row r="191" ht="16.5" spans="1:21">
      <c r="A191" s="3">
        <v>190</v>
      </c>
      <c r="B191" s="3" t="s">
        <v>1278</v>
      </c>
      <c r="C191" s="3" t="s">
        <v>1279</v>
      </c>
      <c r="D191" s="3" t="s">
        <v>125</v>
      </c>
      <c r="E191" s="3" t="s">
        <v>1244</v>
      </c>
      <c r="F191" s="3" t="s">
        <v>71</v>
      </c>
      <c r="G191" s="3" t="s">
        <v>1280</v>
      </c>
      <c r="H191" s="3" t="s">
        <v>1216</v>
      </c>
      <c r="I191" s="3" t="s">
        <v>215</v>
      </c>
      <c r="J191" s="3" t="s">
        <v>216</v>
      </c>
      <c r="K191" s="3" t="s">
        <v>207</v>
      </c>
      <c r="L191" s="3" t="s">
        <v>132</v>
      </c>
      <c r="M191" s="3" t="s">
        <v>1281</v>
      </c>
      <c r="N191" s="3" t="s">
        <v>1247</v>
      </c>
      <c r="O191" s="3" t="s">
        <v>188</v>
      </c>
      <c r="P191" s="3" t="s">
        <v>136</v>
      </c>
      <c r="Q191" s="3" t="s">
        <v>137</v>
      </c>
      <c r="R191" s="3" t="s">
        <v>1282</v>
      </c>
      <c r="S191" s="3" t="s">
        <v>1283</v>
      </c>
      <c r="T191" s="3" t="s">
        <v>207</v>
      </c>
      <c r="U191" s="3" t="s">
        <v>1284</v>
      </c>
    </row>
    <row r="192" ht="16.5" spans="1:21">
      <c r="A192" s="3">
        <v>191</v>
      </c>
      <c r="B192" s="3" t="s">
        <v>1285</v>
      </c>
      <c r="C192" s="3" t="s">
        <v>1286</v>
      </c>
      <c r="D192" s="3" t="s">
        <v>125</v>
      </c>
      <c r="E192" s="3" t="s">
        <v>1244</v>
      </c>
      <c r="F192" s="3" t="s">
        <v>71</v>
      </c>
      <c r="G192" s="3" t="s">
        <v>1287</v>
      </c>
      <c r="H192" s="3" t="s">
        <v>1216</v>
      </c>
      <c r="I192" s="3" t="s">
        <v>215</v>
      </c>
      <c r="J192" s="3" t="s">
        <v>216</v>
      </c>
      <c r="K192" s="3" t="s">
        <v>207</v>
      </c>
      <c r="L192" s="3" t="s">
        <v>132</v>
      </c>
      <c r="M192" s="3" t="s">
        <v>1288</v>
      </c>
      <c r="N192" s="3" t="s">
        <v>1247</v>
      </c>
      <c r="O192" s="3" t="s">
        <v>267</v>
      </c>
      <c r="P192" s="3" t="s">
        <v>136</v>
      </c>
      <c r="Q192" s="3" t="s">
        <v>137</v>
      </c>
      <c r="R192" s="3" t="s">
        <v>190</v>
      </c>
      <c r="S192" s="3" t="s">
        <v>1289</v>
      </c>
      <c r="T192" s="3" t="s">
        <v>1204</v>
      </c>
      <c r="U192" s="3" t="s">
        <v>1205</v>
      </c>
    </row>
  </sheetData>
  <autoFilter xmlns:etc="http://www.wps.cn/officeDocument/2017/etCustomData" ref="A1:U192" etc:filterBottomFollowUsedRange="0">
    <extLst/>
  </autoFilter>
  <conditionalFormatting sqref="A2:U192">
    <cfRule type="expression" dxfId="0" priority="1">
      <formula>$D2="指标"</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5"/>
  <sheetViews>
    <sheetView tabSelected="1" workbookViewId="0">
      <pane xSplit="3" ySplit="1" topLeftCell="D2" activePane="bottomRight" state="frozen"/>
      <selection/>
      <selection pane="topRight"/>
      <selection pane="bottomLeft"/>
      <selection pane="bottomRight" activeCell="F5" sqref="F5"/>
    </sheetView>
  </sheetViews>
  <sheetFormatPr defaultColWidth="9" defaultRowHeight="13.5"/>
  <cols>
    <col min="1" max="1" width="6" style="4" customWidth="1"/>
    <col min="2" max="2" width="9.625" style="4" customWidth="1"/>
    <col min="3" max="3" width="34" style="1" customWidth="1"/>
    <col min="4" max="4" width="26" style="1" customWidth="1"/>
    <col min="5" max="5" width="44" style="1" customWidth="1"/>
    <col min="6" max="6" width="40" style="1" customWidth="1"/>
    <col min="7" max="7" width="58" style="1" customWidth="1"/>
    <col min="8" max="8" width="18" style="1" customWidth="1"/>
    <col min="9" max="9" width="9" style="1" customWidth="1"/>
    <col min="10" max="10" width="10" style="1" customWidth="1"/>
    <col min="11" max="11" width="20" style="1" customWidth="1"/>
    <col min="12" max="12" width="44" style="1" customWidth="1"/>
    <col min="13" max="14" width="40" style="1" customWidth="1"/>
    <col min="15" max="15" width="34" style="1" customWidth="1"/>
    <col min="16" max="16" width="50" style="1" customWidth="1"/>
    <col min="17" max="17" width="26" style="1" customWidth="1"/>
    <col min="18" max="16384" width="9" style="1"/>
  </cols>
  <sheetData>
    <row r="1" ht="16.5" spans="1:17">
      <c r="A1" s="2" t="s">
        <v>120</v>
      </c>
      <c r="B1" s="2" t="s">
        <v>1290</v>
      </c>
      <c r="C1" s="2" t="s">
        <v>1291</v>
      </c>
      <c r="D1" s="2" t="s">
        <v>1292</v>
      </c>
      <c r="E1" s="2" t="s">
        <v>1293</v>
      </c>
      <c r="F1" s="2" t="s">
        <v>1294</v>
      </c>
      <c r="G1" s="2" t="s">
        <v>1295</v>
      </c>
      <c r="H1" s="2" t="s">
        <v>1296</v>
      </c>
      <c r="I1" s="2" t="s">
        <v>1297</v>
      </c>
      <c r="J1" s="2" t="s">
        <v>1298</v>
      </c>
      <c r="K1" s="2" t="s">
        <v>1299</v>
      </c>
      <c r="L1" s="2" t="s">
        <v>1300</v>
      </c>
      <c r="M1" s="2" t="s">
        <v>1301</v>
      </c>
      <c r="N1" s="2" t="s">
        <v>1302</v>
      </c>
      <c r="O1" s="2" t="s">
        <v>1303</v>
      </c>
      <c r="P1" s="2" t="s">
        <v>1304</v>
      </c>
      <c r="Q1" s="2" t="s">
        <v>28</v>
      </c>
    </row>
    <row r="2" ht="99" spans="1:17">
      <c r="A2" s="5">
        <v>1</v>
      </c>
      <c r="B2" s="5" t="s">
        <v>191</v>
      </c>
      <c r="C2" s="3" t="s">
        <v>522</v>
      </c>
      <c r="D2" s="3" t="s">
        <v>1305</v>
      </c>
      <c r="E2" s="3" t="s">
        <v>1306</v>
      </c>
      <c r="F2" s="3" t="s">
        <v>1307</v>
      </c>
      <c r="G2" s="3" t="s">
        <v>1308</v>
      </c>
      <c r="H2" s="3" t="s">
        <v>525</v>
      </c>
      <c r="I2" s="3" t="s">
        <v>1309</v>
      </c>
      <c r="J2" s="3" t="s">
        <v>1310</v>
      </c>
      <c r="K2" s="3" t="s">
        <v>1311</v>
      </c>
      <c r="L2" s="3" t="s">
        <v>1312</v>
      </c>
      <c r="M2" s="3" t="s">
        <v>1313</v>
      </c>
      <c r="N2" s="3" t="s">
        <v>1314</v>
      </c>
      <c r="O2" s="3" t="s">
        <v>132</v>
      </c>
      <c r="P2" s="3" t="s">
        <v>1315</v>
      </c>
      <c r="Q2" s="3" t="s">
        <v>1316</v>
      </c>
    </row>
    <row r="3" ht="49.5" spans="1:17">
      <c r="A3" s="5">
        <v>2</v>
      </c>
      <c r="B3" s="5" t="s">
        <v>200</v>
      </c>
      <c r="C3" s="3" t="s">
        <v>532</v>
      </c>
      <c r="D3" s="3" t="s">
        <v>1305</v>
      </c>
      <c r="E3" s="3" t="s">
        <v>1317</v>
      </c>
      <c r="F3" s="3" t="s">
        <v>1318</v>
      </c>
      <c r="G3" s="3" t="s">
        <v>1319</v>
      </c>
      <c r="H3" s="3" t="s">
        <v>514</v>
      </c>
      <c r="I3" s="3" t="s">
        <v>1309</v>
      </c>
      <c r="J3" s="3" t="s">
        <v>1320</v>
      </c>
      <c r="K3" s="3" t="s">
        <v>1321</v>
      </c>
      <c r="L3" s="3" t="s">
        <v>1322</v>
      </c>
      <c r="M3" s="3" t="s">
        <v>1316</v>
      </c>
      <c r="N3" s="3" t="s">
        <v>1323</v>
      </c>
      <c r="O3" s="3" t="s">
        <v>538</v>
      </c>
      <c r="P3" s="3" t="s">
        <v>1324</v>
      </c>
      <c r="Q3" s="3" t="s">
        <v>1316</v>
      </c>
    </row>
    <row r="4" ht="99" spans="1:17">
      <c r="A4" s="5">
        <v>3</v>
      </c>
      <c r="B4" s="5" t="s">
        <v>325</v>
      </c>
      <c r="C4" s="3" t="s">
        <v>312</v>
      </c>
      <c r="D4" s="3" t="s">
        <v>1305</v>
      </c>
      <c r="E4" s="3" t="s">
        <v>1325</v>
      </c>
      <c r="F4" s="3" t="s">
        <v>1326</v>
      </c>
      <c r="G4" s="3" t="s">
        <v>1327</v>
      </c>
      <c r="H4" s="3" t="s">
        <v>315</v>
      </c>
      <c r="I4" s="3" t="s">
        <v>1328</v>
      </c>
      <c r="J4" s="3" t="s">
        <v>1320</v>
      </c>
      <c r="K4" s="3" t="s">
        <v>1321</v>
      </c>
      <c r="L4" s="3" t="s">
        <v>1316</v>
      </c>
      <c r="M4" s="3" t="s">
        <v>1316</v>
      </c>
      <c r="N4" s="3" t="s">
        <v>1329</v>
      </c>
      <c r="O4" s="3" t="s">
        <v>544</v>
      </c>
      <c r="P4" s="3" t="s">
        <v>1330</v>
      </c>
      <c r="Q4" s="3" t="s">
        <v>1316</v>
      </c>
    </row>
    <row r="5" ht="181.5" spans="1:17">
      <c r="A5" s="5">
        <v>4</v>
      </c>
      <c r="B5" s="5" t="s">
        <v>146</v>
      </c>
      <c r="C5" s="3" t="s">
        <v>545</v>
      </c>
      <c r="D5" s="3" t="s">
        <v>1305</v>
      </c>
      <c r="E5" s="3" t="s">
        <v>1331</v>
      </c>
      <c r="F5" s="3" t="s">
        <v>1332</v>
      </c>
      <c r="G5" s="3" t="s">
        <v>1333</v>
      </c>
      <c r="H5" s="3" t="s">
        <v>128</v>
      </c>
      <c r="I5" s="3" t="s">
        <v>1328</v>
      </c>
      <c r="J5" s="3" t="s">
        <v>1320</v>
      </c>
      <c r="K5" s="3" t="s">
        <v>1321</v>
      </c>
      <c r="L5" s="3" t="s">
        <v>1316</v>
      </c>
      <c r="M5" s="3" t="s">
        <v>1316</v>
      </c>
      <c r="N5" s="3" t="s">
        <v>1334</v>
      </c>
      <c r="O5" s="3" t="s">
        <v>549</v>
      </c>
      <c r="P5" s="3" t="s">
        <v>1316</v>
      </c>
      <c r="Q5" s="3" t="s">
        <v>1316</v>
      </c>
    </row>
    <row r="6" ht="82.5" spans="1:17">
      <c r="A6" s="5">
        <v>5</v>
      </c>
      <c r="B6" s="5" t="s">
        <v>461</v>
      </c>
      <c r="C6" s="3" t="s">
        <v>550</v>
      </c>
      <c r="D6" s="3" t="s">
        <v>1305</v>
      </c>
      <c r="E6" s="3" t="s">
        <v>1335</v>
      </c>
      <c r="F6" s="3" t="s">
        <v>1336</v>
      </c>
      <c r="G6" s="3" t="s">
        <v>1337</v>
      </c>
      <c r="H6" s="3" t="s">
        <v>553</v>
      </c>
      <c r="I6" s="3" t="s">
        <v>1328</v>
      </c>
      <c r="J6" s="3" t="s">
        <v>1320</v>
      </c>
      <c r="K6" s="3" t="s">
        <v>1321</v>
      </c>
      <c r="L6" s="3" t="s">
        <v>1316</v>
      </c>
      <c r="M6" s="3" t="s">
        <v>1316</v>
      </c>
      <c r="N6" s="3" t="s">
        <v>1338</v>
      </c>
      <c r="O6" s="3" t="s">
        <v>555</v>
      </c>
      <c r="P6" s="3" t="s">
        <v>1316</v>
      </c>
      <c r="Q6" s="3" t="s">
        <v>1316</v>
      </c>
    </row>
    <row r="7" ht="49.5" spans="1:17">
      <c r="A7" s="5">
        <v>6</v>
      </c>
      <c r="B7" s="5" t="s">
        <v>260</v>
      </c>
      <c r="C7" s="3" t="s">
        <v>556</v>
      </c>
      <c r="D7" s="3" t="s">
        <v>1305</v>
      </c>
      <c r="E7" s="3" t="s">
        <v>1339</v>
      </c>
      <c r="F7" s="3" t="s">
        <v>1340</v>
      </c>
      <c r="G7" s="3" t="s">
        <v>1341</v>
      </c>
      <c r="H7" s="3" t="s">
        <v>514</v>
      </c>
      <c r="I7" s="3" t="s">
        <v>1328</v>
      </c>
      <c r="J7" s="3" t="s">
        <v>1320</v>
      </c>
      <c r="K7" s="3" t="s">
        <v>1321</v>
      </c>
      <c r="L7" s="3" t="s">
        <v>1316</v>
      </c>
      <c r="M7" s="3" t="s">
        <v>1316</v>
      </c>
      <c r="N7" s="3" t="s">
        <v>1342</v>
      </c>
      <c r="O7" s="3" t="s">
        <v>560</v>
      </c>
      <c r="P7" s="3" t="s">
        <v>1316</v>
      </c>
      <c r="Q7" s="3" t="s">
        <v>1316</v>
      </c>
    </row>
    <row r="8" ht="49.5" spans="1:17">
      <c r="A8" s="5">
        <v>7</v>
      </c>
      <c r="B8" s="5" t="s">
        <v>268</v>
      </c>
      <c r="C8" s="3" t="s">
        <v>561</v>
      </c>
      <c r="D8" s="3" t="s">
        <v>1305</v>
      </c>
      <c r="E8" s="3" t="s">
        <v>1343</v>
      </c>
      <c r="F8" s="3" t="s">
        <v>1344</v>
      </c>
      <c r="G8" s="3" t="s">
        <v>1345</v>
      </c>
      <c r="H8" s="3" t="s">
        <v>514</v>
      </c>
      <c r="I8" s="3" t="s">
        <v>1328</v>
      </c>
      <c r="J8" s="3" t="s">
        <v>1320</v>
      </c>
      <c r="K8" s="3" t="s">
        <v>1321</v>
      </c>
      <c r="L8" s="3" t="s">
        <v>1316</v>
      </c>
      <c r="M8" s="3" t="s">
        <v>1316</v>
      </c>
      <c r="N8" s="3" t="s">
        <v>1346</v>
      </c>
      <c r="O8" s="3" t="s">
        <v>565</v>
      </c>
      <c r="P8" s="3" t="s">
        <v>1316</v>
      </c>
      <c r="Q8" s="3" t="s">
        <v>1316</v>
      </c>
    </row>
    <row r="9" ht="49.5" spans="1:17">
      <c r="A9" s="5">
        <v>8</v>
      </c>
      <c r="B9" s="5" t="s">
        <v>566</v>
      </c>
      <c r="C9" s="3" t="s">
        <v>567</v>
      </c>
      <c r="D9" s="3" t="s">
        <v>1305</v>
      </c>
      <c r="E9" s="3" t="s">
        <v>1347</v>
      </c>
      <c r="F9" s="3" t="s">
        <v>1348</v>
      </c>
      <c r="G9" s="3" t="s">
        <v>1349</v>
      </c>
      <c r="H9" s="3" t="s">
        <v>570</v>
      </c>
      <c r="I9" s="3" t="s">
        <v>1328</v>
      </c>
      <c r="J9" s="3" t="s">
        <v>1320</v>
      </c>
      <c r="K9" s="3" t="s">
        <v>1321</v>
      </c>
      <c r="L9" s="3" t="s">
        <v>1316</v>
      </c>
      <c r="M9" s="3" t="s">
        <v>1316</v>
      </c>
      <c r="N9" s="3" t="s">
        <v>1350</v>
      </c>
      <c r="O9" s="3" t="s">
        <v>573</v>
      </c>
      <c r="P9" s="3" t="s">
        <v>1351</v>
      </c>
      <c r="Q9" s="3" t="s">
        <v>1316</v>
      </c>
    </row>
    <row r="10" ht="99" spans="1:17">
      <c r="A10" s="5">
        <v>9</v>
      </c>
      <c r="B10" s="5" t="s">
        <v>432</v>
      </c>
      <c r="C10" s="3" t="s">
        <v>574</v>
      </c>
      <c r="D10" s="3" t="s">
        <v>1305</v>
      </c>
      <c r="E10" s="3" t="s">
        <v>1352</v>
      </c>
      <c r="F10" s="3" t="s">
        <v>1353</v>
      </c>
      <c r="G10" s="3" t="s">
        <v>1354</v>
      </c>
      <c r="H10" s="3" t="s">
        <v>514</v>
      </c>
      <c r="I10" s="3" t="s">
        <v>1328</v>
      </c>
      <c r="J10" s="3" t="s">
        <v>1320</v>
      </c>
      <c r="K10" s="3" t="s">
        <v>1321</v>
      </c>
      <c r="L10" s="3" t="s">
        <v>1316</v>
      </c>
      <c r="M10" s="3" t="s">
        <v>1316</v>
      </c>
      <c r="N10" s="3" t="s">
        <v>1355</v>
      </c>
      <c r="O10" s="3" t="s">
        <v>578</v>
      </c>
      <c r="P10" s="3" t="s">
        <v>1356</v>
      </c>
      <c r="Q10" s="3" t="s">
        <v>1316</v>
      </c>
    </row>
    <row r="11" ht="82.5" spans="1:17">
      <c r="A11" s="5">
        <v>10</v>
      </c>
      <c r="B11" s="5" t="s">
        <v>579</v>
      </c>
      <c r="C11" s="3" t="s">
        <v>580</v>
      </c>
      <c r="D11" s="3" t="s">
        <v>1305</v>
      </c>
      <c r="E11" s="3" t="s">
        <v>1357</v>
      </c>
      <c r="F11" s="3" t="s">
        <v>1358</v>
      </c>
      <c r="G11" s="3" t="s">
        <v>1359</v>
      </c>
      <c r="H11" s="3" t="s">
        <v>570</v>
      </c>
      <c r="I11" s="3" t="s">
        <v>1328</v>
      </c>
      <c r="J11" s="3" t="s">
        <v>1320</v>
      </c>
      <c r="K11" s="3" t="s">
        <v>1360</v>
      </c>
      <c r="L11" s="3" t="s">
        <v>1316</v>
      </c>
      <c r="M11" s="3" t="s">
        <v>1316</v>
      </c>
      <c r="N11" s="3" t="s">
        <v>1361</v>
      </c>
      <c r="O11" s="3" t="s">
        <v>584</v>
      </c>
      <c r="P11" s="3" t="s">
        <v>1362</v>
      </c>
      <c r="Q11" s="3" t="s">
        <v>1316</v>
      </c>
    </row>
    <row r="12" ht="49.5" spans="1:17">
      <c r="A12" s="5">
        <v>11</v>
      </c>
      <c r="B12" s="5" t="s">
        <v>415</v>
      </c>
      <c r="C12" s="3" t="s">
        <v>586</v>
      </c>
      <c r="D12" s="3" t="s">
        <v>1305</v>
      </c>
      <c r="E12" s="3" t="s">
        <v>1363</v>
      </c>
      <c r="F12" s="3" t="s">
        <v>1364</v>
      </c>
      <c r="G12" s="3" t="s">
        <v>1365</v>
      </c>
      <c r="H12" s="3" t="s">
        <v>284</v>
      </c>
      <c r="I12" s="3" t="s">
        <v>1328</v>
      </c>
      <c r="J12" s="3" t="s">
        <v>1320</v>
      </c>
      <c r="K12" s="3" t="s">
        <v>1366</v>
      </c>
      <c r="L12" s="3" t="s">
        <v>1316</v>
      </c>
      <c r="M12" s="3" t="s">
        <v>1316</v>
      </c>
      <c r="N12" s="3" t="s">
        <v>1367</v>
      </c>
      <c r="O12" s="3" t="s">
        <v>132</v>
      </c>
      <c r="P12" s="3" t="s">
        <v>1368</v>
      </c>
      <c r="Q12" s="3" t="s">
        <v>1316</v>
      </c>
    </row>
    <row r="13" ht="66" spans="1:17">
      <c r="A13" s="5">
        <v>12</v>
      </c>
      <c r="B13" s="5" t="s">
        <v>395</v>
      </c>
      <c r="C13" s="3" t="s">
        <v>589</v>
      </c>
      <c r="D13" s="3" t="s">
        <v>1369</v>
      </c>
      <c r="E13" s="3" t="s">
        <v>1370</v>
      </c>
      <c r="F13" s="3" t="s">
        <v>1371</v>
      </c>
      <c r="G13" s="3" t="s">
        <v>1372</v>
      </c>
      <c r="H13" s="3" t="s">
        <v>592</v>
      </c>
      <c r="I13" s="3" t="s">
        <v>1328</v>
      </c>
      <c r="J13" s="3" t="s">
        <v>1320</v>
      </c>
      <c r="K13" s="3" t="s">
        <v>1373</v>
      </c>
      <c r="L13" s="3" t="s">
        <v>1374</v>
      </c>
      <c r="M13" s="3" t="s">
        <v>1375</v>
      </c>
      <c r="N13" s="3" t="s">
        <v>1376</v>
      </c>
      <c r="O13" s="3" t="s">
        <v>594</v>
      </c>
      <c r="P13" s="3" t="s">
        <v>1377</v>
      </c>
      <c r="Q13" s="3" t="s">
        <v>1316</v>
      </c>
    </row>
    <row r="14" ht="33" spans="1:17">
      <c r="A14" s="5">
        <v>13</v>
      </c>
      <c r="B14" s="5" t="s">
        <v>596</v>
      </c>
      <c r="C14" s="3" t="s">
        <v>597</v>
      </c>
      <c r="D14" s="3" t="s">
        <v>1369</v>
      </c>
      <c r="E14" s="3" t="s">
        <v>1378</v>
      </c>
      <c r="F14" s="3" t="s">
        <v>1379</v>
      </c>
      <c r="G14" s="3" t="s">
        <v>1380</v>
      </c>
      <c r="H14" s="3" t="s">
        <v>601</v>
      </c>
      <c r="I14" s="3" t="s">
        <v>1328</v>
      </c>
      <c r="J14" s="3" t="s">
        <v>1381</v>
      </c>
      <c r="K14" s="3" t="s">
        <v>1373</v>
      </c>
      <c r="L14" s="3" t="s">
        <v>1316</v>
      </c>
      <c r="M14" s="3" t="s">
        <v>1316</v>
      </c>
      <c r="N14" s="3" t="s">
        <v>1382</v>
      </c>
      <c r="O14" s="3" t="s">
        <v>603</v>
      </c>
      <c r="P14" s="3" t="s">
        <v>1316</v>
      </c>
      <c r="Q14" s="3" t="s">
        <v>1316</v>
      </c>
    </row>
    <row r="15" ht="33" spans="1:17">
      <c r="A15" s="5">
        <v>14</v>
      </c>
      <c r="B15" s="5" t="s">
        <v>604</v>
      </c>
      <c r="C15" s="3" t="s">
        <v>605</v>
      </c>
      <c r="D15" s="3" t="s">
        <v>1369</v>
      </c>
      <c r="E15" s="3" t="s">
        <v>1383</v>
      </c>
      <c r="F15" s="3" t="s">
        <v>1384</v>
      </c>
      <c r="G15" s="3" t="s">
        <v>1385</v>
      </c>
      <c r="H15" s="3" t="s">
        <v>608</v>
      </c>
      <c r="I15" s="3" t="s">
        <v>1328</v>
      </c>
      <c r="J15" s="3" t="s">
        <v>1381</v>
      </c>
      <c r="K15" s="3" t="s">
        <v>1373</v>
      </c>
      <c r="L15" s="3" t="s">
        <v>1316</v>
      </c>
      <c r="M15" s="3" t="s">
        <v>1316</v>
      </c>
      <c r="N15" s="3" t="s">
        <v>1386</v>
      </c>
      <c r="O15" s="3" t="s">
        <v>610</v>
      </c>
      <c r="P15" s="3" t="s">
        <v>1316</v>
      </c>
      <c r="Q15" s="3" t="s">
        <v>1316</v>
      </c>
    </row>
    <row r="16" ht="49.5" spans="1:17">
      <c r="A16" s="5">
        <v>15</v>
      </c>
      <c r="B16" s="5" t="s">
        <v>389</v>
      </c>
      <c r="C16" s="3" t="s">
        <v>611</v>
      </c>
      <c r="D16" s="3" t="s">
        <v>1369</v>
      </c>
      <c r="E16" s="3" t="s">
        <v>1387</v>
      </c>
      <c r="F16" s="3" t="s">
        <v>1388</v>
      </c>
      <c r="G16" s="3" t="s">
        <v>1389</v>
      </c>
      <c r="H16" s="3" t="s">
        <v>614</v>
      </c>
      <c r="I16" s="3" t="s">
        <v>1328</v>
      </c>
      <c r="J16" s="3" t="s">
        <v>1381</v>
      </c>
      <c r="K16" s="3" t="s">
        <v>1373</v>
      </c>
      <c r="L16" s="3" t="s">
        <v>1316</v>
      </c>
      <c r="M16" s="3" t="s">
        <v>1316</v>
      </c>
      <c r="N16" s="3" t="s">
        <v>1390</v>
      </c>
      <c r="O16" s="3" t="s">
        <v>616</v>
      </c>
      <c r="P16" s="3" t="s">
        <v>1316</v>
      </c>
      <c r="Q16" s="3" t="s">
        <v>1316</v>
      </c>
    </row>
    <row r="17" ht="33" spans="1:17">
      <c r="A17" s="5">
        <v>16</v>
      </c>
      <c r="B17" s="5" t="s">
        <v>617</v>
      </c>
      <c r="C17" s="3" t="s">
        <v>618</v>
      </c>
      <c r="D17" s="3" t="s">
        <v>1369</v>
      </c>
      <c r="E17" s="3" t="s">
        <v>1391</v>
      </c>
      <c r="F17" s="3" t="s">
        <v>1392</v>
      </c>
      <c r="G17" s="3" t="s">
        <v>1393</v>
      </c>
      <c r="H17" s="3" t="s">
        <v>621</v>
      </c>
      <c r="I17" s="3" t="s">
        <v>1328</v>
      </c>
      <c r="J17" s="3" t="s">
        <v>1381</v>
      </c>
      <c r="K17" s="3" t="s">
        <v>1373</v>
      </c>
      <c r="L17" s="3" t="s">
        <v>1316</v>
      </c>
      <c r="M17" s="3" t="s">
        <v>1316</v>
      </c>
      <c r="N17" s="3" t="s">
        <v>1394</v>
      </c>
      <c r="O17" s="3" t="s">
        <v>623</v>
      </c>
      <c r="P17" s="3" t="s">
        <v>1316</v>
      </c>
      <c r="Q17" s="3" t="s">
        <v>1316</v>
      </c>
    </row>
    <row r="18" ht="49.5" spans="1:17">
      <c r="A18" s="5">
        <v>17</v>
      </c>
      <c r="B18" s="5" t="s">
        <v>624</v>
      </c>
      <c r="C18" s="3" t="s">
        <v>625</v>
      </c>
      <c r="D18" s="3" t="s">
        <v>1395</v>
      </c>
      <c r="E18" s="3" t="s">
        <v>1396</v>
      </c>
      <c r="F18" s="3" t="s">
        <v>1397</v>
      </c>
      <c r="G18" s="3" t="s">
        <v>1398</v>
      </c>
      <c r="H18" s="3" t="s">
        <v>629</v>
      </c>
      <c r="I18" s="3" t="s">
        <v>1328</v>
      </c>
      <c r="J18" s="3" t="s">
        <v>1399</v>
      </c>
      <c r="K18" s="3" t="s">
        <v>1373</v>
      </c>
      <c r="L18" s="3" t="s">
        <v>1400</v>
      </c>
      <c r="M18" s="3" t="s">
        <v>1401</v>
      </c>
      <c r="N18" s="3" t="s">
        <v>1402</v>
      </c>
      <c r="O18" s="3" t="s">
        <v>631</v>
      </c>
      <c r="P18" s="3" t="s">
        <v>1403</v>
      </c>
      <c r="Q18" s="3" t="s">
        <v>1316</v>
      </c>
    </row>
    <row r="19" ht="49.5" spans="1:17">
      <c r="A19" s="5">
        <v>18</v>
      </c>
      <c r="B19" s="5" t="s">
        <v>632</v>
      </c>
      <c r="C19" s="3" t="s">
        <v>633</v>
      </c>
      <c r="D19" s="3" t="s">
        <v>1395</v>
      </c>
      <c r="E19" s="3" t="s">
        <v>1404</v>
      </c>
      <c r="F19" s="3" t="s">
        <v>1405</v>
      </c>
      <c r="G19" s="3" t="s">
        <v>1406</v>
      </c>
      <c r="H19" s="3" t="s">
        <v>629</v>
      </c>
      <c r="I19" s="3" t="s">
        <v>1328</v>
      </c>
      <c r="J19" s="3" t="s">
        <v>1399</v>
      </c>
      <c r="K19" s="3" t="s">
        <v>1373</v>
      </c>
      <c r="L19" s="3" t="s">
        <v>1316</v>
      </c>
      <c r="M19" s="3" t="s">
        <v>1316</v>
      </c>
      <c r="N19" s="3" t="s">
        <v>1407</v>
      </c>
      <c r="O19" s="3" t="s">
        <v>631</v>
      </c>
      <c r="P19" s="3" t="s">
        <v>1408</v>
      </c>
      <c r="Q19" s="3" t="s">
        <v>1316</v>
      </c>
    </row>
    <row r="20" ht="49.5" spans="1:17">
      <c r="A20" s="5">
        <v>19</v>
      </c>
      <c r="B20" s="5" t="s">
        <v>637</v>
      </c>
      <c r="C20" s="3" t="s">
        <v>638</v>
      </c>
      <c r="D20" s="3" t="s">
        <v>1395</v>
      </c>
      <c r="E20" s="3" t="s">
        <v>1409</v>
      </c>
      <c r="F20" s="3" t="s">
        <v>1410</v>
      </c>
      <c r="G20" s="3" t="s">
        <v>1411</v>
      </c>
      <c r="H20" s="3" t="s">
        <v>629</v>
      </c>
      <c r="I20" s="3" t="s">
        <v>1328</v>
      </c>
      <c r="J20" s="3" t="s">
        <v>1399</v>
      </c>
      <c r="K20" s="3" t="s">
        <v>1373</v>
      </c>
      <c r="L20" s="3" t="s">
        <v>1316</v>
      </c>
      <c r="M20" s="3" t="s">
        <v>1412</v>
      </c>
      <c r="N20" s="3" t="s">
        <v>1413</v>
      </c>
      <c r="O20" s="3" t="s">
        <v>631</v>
      </c>
      <c r="P20" s="3" t="s">
        <v>1403</v>
      </c>
      <c r="Q20" s="3" t="s">
        <v>1316</v>
      </c>
    </row>
    <row r="21" ht="49.5" spans="1:17">
      <c r="A21" s="5">
        <v>20</v>
      </c>
      <c r="B21" s="5" t="s">
        <v>642</v>
      </c>
      <c r="C21" s="3" t="s">
        <v>643</v>
      </c>
      <c r="D21" s="3" t="s">
        <v>1395</v>
      </c>
      <c r="E21" s="3" t="s">
        <v>1414</v>
      </c>
      <c r="F21" s="3" t="s">
        <v>1415</v>
      </c>
      <c r="G21" s="3" t="s">
        <v>1416</v>
      </c>
      <c r="H21" s="3" t="s">
        <v>629</v>
      </c>
      <c r="I21" s="3" t="s">
        <v>1328</v>
      </c>
      <c r="J21" s="3" t="s">
        <v>1399</v>
      </c>
      <c r="K21" s="3" t="s">
        <v>1373</v>
      </c>
      <c r="L21" s="3" t="s">
        <v>1316</v>
      </c>
      <c r="M21" s="3" t="s">
        <v>1316</v>
      </c>
      <c r="N21" s="3" t="s">
        <v>1417</v>
      </c>
      <c r="O21" s="3" t="s">
        <v>631</v>
      </c>
      <c r="P21" s="3" t="s">
        <v>1408</v>
      </c>
      <c r="Q21" s="3" t="s">
        <v>1316</v>
      </c>
    </row>
    <row r="22" ht="66" spans="1:17">
      <c r="A22" s="5">
        <v>21</v>
      </c>
      <c r="B22" s="5" t="s">
        <v>647</v>
      </c>
      <c r="C22" s="3" t="s">
        <v>648</v>
      </c>
      <c r="D22" s="3" t="s">
        <v>1395</v>
      </c>
      <c r="E22" s="3" t="s">
        <v>1418</v>
      </c>
      <c r="F22" s="3" t="s">
        <v>1419</v>
      </c>
      <c r="G22" s="3" t="s">
        <v>1420</v>
      </c>
      <c r="H22" s="3" t="s">
        <v>629</v>
      </c>
      <c r="I22" s="3" t="s">
        <v>1328</v>
      </c>
      <c r="J22" s="3" t="s">
        <v>1399</v>
      </c>
      <c r="K22" s="3" t="s">
        <v>1373</v>
      </c>
      <c r="L22" s="3" t="s">
        <v>1316</v>
      </c>
      <c r="M22" s="3" t="s">
        <v>1421</v>
      </c>
      <c r="N22" s="3" t="s">
        <v>1422</v>
      </c>
      <c r="O22" s="3" t="s">
        <v>631</v>
      </c>
      <c r="P22" s="3" t="s">
        <v>1403</v>
      </c>
      <c r="Q22" s="3" t="s">
        <v>1316</v>
      </c>
    </row>
    <row r="23" ht="66" spans="1:17">
      <c r="A23" s="5">
        <v>22</v>
      </c>
      <c r="B23" s="5" t="s">
        <v>652</v>
      </c>
      <c r="C23" s="3" t="s">
        <v>653</v>
      </c>
      <c r="D23" s="3" t="s">
        <v>1395</v>
      </c>
      <c r="E23" s="3" t="s">
        <v>1423</v>
      </c>
      <c r="F23" s="3" t="s">
        <v>1424</v>
      </c>
      <c r="G23" s="3" t="s">
        <v>1425</v>
      </c>
      <c r="H23" s="3" t="s">
        <v>629</v>
      </c>
      <c r="I23" s="3" t="s">
        <v>1328</v>
      </c>
      <c r="J23" s="3" t="s">
        <v>1399</v>
      </c>
      <c r="K23" s="3" t="s">
        <v>1373</v>
      </c>
      <c r="L23" s="3" t="s">
        <v>1316</v>
      </c>
      <c r="M23" s="3" t="s">
        <v>1316</v>
      </c>
      <c r="N23" s="3" t="s">
        <v>1426</v>
      </c>
      <c r="O23" s="3" t="s">
        <v>631</v>
      </c>
      <c r="P23" s="3" t="s">
        <v>1408</v>
      </c>
      <c r="Q23" s="3" t="s">
        <v>1316</v>
      </c>
    </row>
    <row r="24" ht="66" spans="1:17">
      <c r="A24" s="5">
        <v>23</v>
      </c>
      <c r="B24" s="5" t="s">
        <v>657</v>
      </c>
      <c r="C24" s="3" t="s">
        <v>658</v>
      </c>
      <c r="D24" s="3" t="s">
        <v>1395</v>
      </c>
      <c r="E24" s="3" t="s">
        <v>1427</v>
      </c>
      <c r="F24" s="3" t="s">
        <v>1428</v>
      </c>
      <c r="G24" s="3" t="s">
        <v>1429</v>
      </c>
      <c r="H24" s="3" t="s">
        <v>661</v>
      </c>
      <c r="I24" s="3" t="s">
        <v>1328</v>
      </c>
      <c r="J24" s="3" t="s">
        <v>1399</v>
      </c>
      <c r="K24" s="3" t="s">
        <v>1373</v>
      </c>
      <c r="L24" s="3" t="s">
        <v>1316</v>
      </c>
      <c r="M24" s="3" t="s">
        <v>1316</v>
      </c>
      <c r="N24" s="3" t="s">
        <v>1430</v>
      </c>
      <c r="O24" s="3" t="s">
        <v>631</v>
      </c>
      <c r="P24" s="3" t="s">
        <v>1431</v>
      </c>
      <c r="Q24" s="3" t="s">
        <v>1316</v>
      </c>
    </row>
    <row r="25" ht="66" spans="1:17">
      <c r="A25" s="5">
        <v>24</v>
      </c>
      <c r="B25" s="5" t="s">
        <v>663</v>
      </c>
      <c r="C25" s="3" t="s">
        <v>664</v>
      </c>
      <c r="D25" s="3" t="s">
        <v>1395</v>
      </c>
      <c r="E25" s="3" t="s">
        <v>1432</v>
      </c>
      <c r="F25" s="3" t="s">
        <v>1433</v>
      </c>
      <c r="G25" s="3" t="s">
        <v>1434</v>
      </c>
      <c r="H25" s="3" t="s">
        <v>629</v>
      </c>
      <c r="I25" s="3" t="s">
        <v>1328</v>
      </c>
      <c r="J25" s="3" t="s">
        <v>1399</v>
      </c>
      <c r="K25" s="3" t="s">
        <v>1373</v>
      </c>
      <c r="L25" s="3" t="s">
        <v>1316</v>
      </c>
      <c r="M25" s="3" t="s">
        <v>1412</v>
      </c>
      <c r="N25" s="3" t="s">
        <v>1435</v>
      </c>
      <c r="O25" s="3" t="s">
        <v>631</v>
      </c>
      <c r="P25" s="3" t="s">
        <v>1403</v>
      </c>
      <c r="Q25" s="3" t="s">
        <v>1316</v>
      </c>
    </row>
    <row r="26" ht="66" spans="1:17">
      <c r="A26" s="5">
        <v>25</v>
      </c>
      <c r="B26" s="5" t="s">
        <v>668</v>
      </c>
      <c r="C26" s="3" t="s">
        <v>669</v>
      </c>
      <c r="D26" s="3" t="s">
        <v>1395</v>
      </c>
      <c r="E26" s="3" t="s">
        <v>1436</v>
      </c>
      <c r="F26" s="3" t="s">
        <v>1437</v>
      </c>
      <c r="G26" s="3" t="s">
        <v>1438</v>
      </c>
      <c r="H26" s="3" t="s">
        <v>629</v>
      </c>
      <c r="I26" s="3" t="s">
        <v>1328</v>
      </c>
      <c r="J26" s="3" t="s">
        <v>1399</v>
      </c>
      <c r="K26" s="3" t="s">
        <v>1373</v>
      </c>
      <c r="L26" s="3" t="s">
        <v>1316</v>
      </c>
      <c r="M26" s="3" t="s">
        <v>1316</v>
      </c>
      <c r="N26" s="3" t="s">
        <v>1439</v>
      </c>
      <c r="O26" s="3" t="s">
        <v>631</v>
      </c>
      <c r="P26" s="3" t="s">
        <v>1408</v>
      </c>
      <c r="Q26" s="3" t="s">
        <v>1316</v>
      </c>
    </row>
    <row r="27" ht="66" spans="1:17">
      <c r="A27" s="5">
        <v>26</v>
      </c>
      <c r="B27" s="5" t="s">
        <v>673</v>
      </c>
      <c r="C27" s="3" t="s">
        <v>674</v>
      </c>
      <c r="D27" s="3" t="s">
        <v>1395</v>
      </c>
      <c r="E27" s="3" t="s">
        <v>1440</v>
      </c>
      <c r="F27" s="3" t="s">
        <v>1441</v>
      </c>
      <c r="G27" s="3" t="s">
        <v>1442</v>
      </c>
      <c r="H27" s="3" t="s">
        <v>661</v>
      </c>
      <c r="I27" s="3" t="s">
        <v>1328</v>
      </c>
      <c r="J27" s="3" t="s">
        <v>1399</v>
      </c>
      <c r="K27" s="3" t="s">
        <v>1373</v>
      </c>
      <c r="L27" s="3" t="s">
        <v>1316</v>
      </c>
      <c r="M27" s="3" t="s">
        <v>1316</v>
      </c>
      <c r="N27" s="3" t="s">
        <v>1443</v>
      </c>
      <c r="O27" s="3" t="s">
        <v>631</v>
      </c>
      <c r="P27" s="3" t="s">
        <v>1444</v>
      </c>
      <c r="Q27" s="3" t="s">
        <v>1316</v>
      </c>
    </row>
    <row r="28" ht="66" spans="1:17">
      <c r="A28" s="5">
        <v>27</v>
      </c>
      <c r="B28" s="5" t="s">
        <v>678</v>
      </c>
      <c r="C28" s="3" t="s">
        <v>679</v>
      </c>
      <c r="D28" s="3" t="s">
        <v>1395</v>
      </c>
      <c r="E28" s="3" t="s">
        <v>1445</v>
      </c>
      <c r="F28" s="3" t="s">
        <v>1446</v>
      </c>
      <c r="G28" s="3" t="s">
        <v>1447</v>
      </c>
      <c r="H28" s="3" t="s">
        <v>629</v>
      </c>
      <c r="I28" s="3" t="s">
        <v>1328</v>
      </c>
      <c r="J28" s="3" t="s">
        <v>1399</v>
      </c>
      <c r="K28" s="3" t="s">
        <v>1373</v>
      </c>
      <c r="L28" s="3" t="s">
        <v>1316</v>
      </c>
      <c r="M28" s="3" t="s">
        <v>1316</v>
      </c>
      <c r="N28" s="3" t="s">
        <v>1448</v>
      </c>
      <c r="O28" s="3" t="s">
        <v>631</v>
      </c>
      <c r="P28" s="3" t="s">
        <v>1403</v>
      </c>
      <c r="Q28" s="3" t="s">
        <v>1316</v>
      </c>
    </row>
    <row r="29" ht="66" spans="1:17">
      <c r="A29" s="5">
        <v>28</v>
      </c>
      <c r="B29" s="5" t="s">
        <v>683</v>
      </c>
      <c r="C29" s="3" t="s">
        <v>684</v>
      </c>
      <c r="D29" s="3" t="s">
        <v>1395</v>
      </c>
      <c r="E29" s="3" t="s">
        <v>1449</v>
      </c>
      <c r="F29" s="3" t="s">
        <v>1450</v>
      </c>
      <c r="G29" s="3" t="s">
        <v>1451</v>
      </c>
      <c r="H29" s="3" t="s">
        <v>629</v>
      </c>
      <c r="I29" s="3" t="s">
        <v>1328</v>
      </c>
      <c r="J29" s="3" t="s">
        <v>1399</v>
      </c>
      <c r="K29" s="3" t="s">
        <v>1373</v>
      </c>
      <c r="L29" s="3" t="s">
        <v>1316</v>
      </c>
      <c r="M29" s="3" t="s">
        <v>1316</v>
      </c>
      <c r="N29" s="3" t="s">
        <v>1452</v>
      </c>
      <c r="O29" s="3" t="s">
        <v>631</v>
      </c>
      <c r="P29" s="3" t="s">
        <v>1408</v>
      </c>
      <c r="Q29" s="3" t="s">
        <v>1316</v>
      </c>
    </row>
    <row r="30" ht="66" spans="1:17">
      <c r="A30" s="5">
        <v>29</v>
      </c>
      <c r="B30" s="5" t="s">
        <v>688</v>
      </c>
      <c r="C30" s="3" t="s">
        <v>689</v>
      </c>
      <c r="D30" s="3" t="s">
        <v>1395</v>
      </c>
      <c r="E30" s="3" t="s">
        <v>1453</v>
      </c>
      <c r="F30" s="3" t="s">
        <v>1454</v>
      </c>
      <c r="G30" s="3" t="s">
        <v>1455</v>
      </c>
      <c r="H30" s="3" t="s">
        <v>629</v>
      </c>
      <c r="I30" s="3" t="s">
        <v>1328</v>
      </c>
      <c r="J30" s="3" t="s">
        <v>1399</v>
      </c>
      <c r="K30" s="3" t="s">
        <v>1373</v>
      </c>
      <c r="L30" s="3" t="s">
        <v>1316</v>
      </c>
      <c r="M30" s="3" t="s">
        <v>1316</v>
      </c>
      <c r="N30" s="3" t="s">
        <v>1456</v>
      </c>
      <c r="O30" s="3" t="s">
        <v>631</v>
      </c>
      <c r="P30" s="3" t="s">
        <v>1403</v>
      </c>
      <c r="Q30" s="3" t="s">
        <v>1316</v>
      </c>
    </row>
    <row r="31" ht="66" spans="1:17">
      <c r="A31" s="5">
        <v>30</v>
      </c>
      <c r="B31" s="5" t="s">
        <v>693</v>
      </c>
      <c r="C31" s="3" t="s">
        <v>694</v>
      </c>
      <c r="D31" s="3" t="s">
        <v>1395</v>
      </c>
      <c r="E31" s="3" t="s">
        <v>1457</v>
      </c>
      <c r="F31" s="3" t="s">
        <v>1458</v>
      </c>
      <c r="G31" s="3" t="s">
        <v>1459</v>
      </c>
      <c r="H31" s="3" t="s">
        <v>629</v>
      </c>
      <c r="I31" s="3" t="s">
        <v>1328</v>
      </c>
      <c r="J31" s="3" t="s">
        <v>1399</v>
      </c>
      <c r="K31" s="3" t="s">
        <v>1373</v>
      </c>
      <c r="L31" s="3" t="s">
        <v>1316</v>
      </c>
      <c r="M31" s="3" t="s">
        <v>1316</v>
      </c>
      <c r="N31" s="3" t="s">
        <v>1460</v>
      </c>
      <c r="O31" s="3" t="s">
        <v>631</v>
      </c>
      <c r="P31" s="3" t="s">
        <v>1408</v>
      </c>
      <c r="Q31" s="3" t="s">
        <v>1316</v>
      </c>
    </row>
    <row r="32" ht="66" spans="1:17">
      <c r="A32" s="5">
        <v>31</v>
      </c>
      <c r="B32" s="5" t="s">
        <v>698</v>
      </c>
      <c r="C32" s="3" t="s">
        <v>699</v>
      </c>
      <c r="D32" s="3" t="s">
        <v>1395</v>
      </c>
      <c r="E32" s="3" t="s">
        <v>1461</v>
      </c>
      <c r="F32" s="3" t="s">
        <v>1462</v>
      </c>
      <c r="G32" s="3" t="s">
        <v>1463</v>
      </c>
      <c r="H32" s="3" t="s">
        <v>629</v>
      </c>
      <c r="I32" s="3" t="s">
        <v>1328</v>
      </c>
      <c r="J32" s="3" t="s">
        <v>1399</v>
      </c>
      <c r="K32" s="3" t="s">
        <v>1373</v>
      </c>
      <c r="L32" s="3" t="s">
        <v>1316</v>
      </c>
      <c r="M32" s="3" t="s">
        <v>1316</v>
      </c>
      <c r="N32" s="3" t="s">
        <v>1464</v>
      </c>
      <c r="O32" s="3" t="s">
        <v>631</v>
      </c>
      <c r="P32" s="3" t="s">
        <v>1403</v>
      </c>
      <c r="Q32" s="3" t="s">
        <v>1316</v>
      </c>
    </row>
    <row r="33" ht="66" spans="1:17">
      <c r="A33" s="5">
        <v>32</v>
      </c>
      <c r="B33" s="5" t="s">
        <v>703</v>
      </c>
      <c r="C33" s="3" t="s">
        <v>704</v>
      </c>
      <c r="D33" s="3" t="s">
        <v>1395</v>
      </c>
      <c r="E33" s="3" t="s">
        <v>1465</v>
      </c>
      <c r="F33" s="3" t="s">
        <v>1466</v>
      </c>
      <c r="G33" s="3" t="s">
        <v>1467</v>
      </c>
      <c r="H33" s="3" t="s">
        <v>629</v>
      </c>
      <c r="I33" s="3" t="s">
        <v>1328</v>
      </c>
      <c r="J33" s="3" t="s">
        <v>1399</v>
      </c>
      <c r="K33" s="3" t="s">
        <v>1373</v>
      </c>
      <c r="L33" s="3" t="s">
        <v>1316</v>
      </c>
      <c r="M33" s="3" t="s">
        <v>1316</v>
      </c>
      <c r="N33" s="3" t="s">
        <v>1468</v>
      </c>
      <c r="O33" s="3" t="s">
        <v>631</v>
      </c>
      <c r="P33" s="3" t="s">
        <v>1408</v>
      </c>
      <c r="Q33" s="3" t="s">
        <v>1316</v>
      </c>
    </row>
    <row r="34" ht="66" spans="1:17">
      <c r="A34" s="5">
        <v>33</v>
      </c>
      <c r="B34" s="5" t="s">
        <v>708</v>
      </c>
      <c r="C34" s="3" t="s">
        <v>709</v>
      </c>
      <c r="D34" s="3" t="s">
        <v>1395</v>
      </c>
      <c r="E34" s="3" t="s">
        <v>1469</v>
      </c>
      <c r="F34" s="3" t="s">
        <v>1470</v>
      </c>
      <c r="G34" s="3" t="s">
        <v>1471</v>
      </c>
      <c r="H34" s="3" t="s">
        <v>629</v>
      </c>
      <c r="I34" s="3" t="s">
        <v>1328</v>
      </c>
      <c r="J34" s="3" t="s">
        <v>1399</v>
      </c>
      <c r="K34" s="3" t="s">
        <v>1373</v>
      </c>
      <c r="L34" s="3" t="s">
        <v>1316</v>
      </c>
      <c r="M34" s="3" t="s">
        <v>1401</v>
      </c>
      <c r="N34" s="3" t="s">
        <v>1472</v>
      </c>
      <c r="O34" s="3" t="s">
        <v>631</v>
      </c>
      <c r="P34" s="3" t="s">
        <v>1403</v>
      </c>
      <c r="Q34" s="3" t="s">
        <v>1316</v>
      </c>
    </row>
    <row r="35" ht="66" spans="1:17">
      <c r="A35" s="5">
        <v>34</v>
      </c>
      <c r="B35" s="5" t="s">
        <v>713</v>
      </c>
      <c r="C35" s="3" t="s">
        <v>714</v>
      </c>
      <c r="D35" s="3" t="s">
        <v>1395</v>
      </c>
      <c r="E35" s="3" t="s">
        <v>1473</v>
      </c>
      <c r="F35" s="3" t="s">
        <v>1474</v>
      </c>
      <c r="G35" s="3" t="s">
        <v>1475</v>
      </c>
      <c r="H35" s="3" t="s">
        <v>629</v>
      </c>
      <c r="I35" s="3" t="s">
        <v>1328</v>
      </c>
      <c r="J35" s="3" t="s">
        <v>1399</v>
      </c>
      <c r="K35" s="3" t="s">
        <v>1373</v>
      </c>
      <c r="L35" s="3" t="s">
        <v>1316</v>
      </c>
      <c r="M35" s="3" t="s">
        <v>1316</v>
      </c>
      <c r="N35" s="3" t="s">
        <v>1476</v>
      </c>
      <c r="O35" s="3" t="s">
        <v>631</v>
      </c>
      <c r="P35" s="3" t="s">
        <v>1408</v>
      </c>
      <c r="Q35" s="3" t="s">
        <v>1316</v>
      </c>
    </row>
    <row r="36" ht="66" spans="1:17">
      <c r="A36" s="5">
        <v>35</v>
      </c>
      <c r="B36" s="5" t="s">
        <v>718</v>
      </c>
      <c r="C36" s="3" t="s">
        <v>719</v>
      </c>
      <c r="D36" s="3" t="s">
        <v>1395</v>
      </c>
      <c r="E36" s="3" t="s">
        <v>1477</v>
      </c>
      <c r="F36" s="3" t="s">
        <v>1478</v>
      </c>
      <c r="G36" s="3" t="s">
        <v>1479</v>
      </c>
      <c r="H36" s="3" t="s">
        <v>722</v>
      </c>
      <c r="I36" s="3" t="s">
        <v>1328</v>
      </c>
      <c r="J36" s="3" t="s">
        <v>1399</v>
      </c>
      <c r="K36" s="3" t="s">
        <v>1373</v>
      </c>
      <c r="L36" s="3" t="s">
        <v>1316</v>
      </c>
      <c r="M36" s="3" t="s">
        <v>1480</v>
      </c>
      <c r="N36" s="3" t="s">
        <v>1481</v>
      </c>
      <c r="O36" s="3" t="s">
        <v>724</v>
      </c>
      <c r="P36" s="3" t="s">
        <v>1482</v>
      </c>
      <c r="Q36" s="3" t="s">
        <v>1316</v>
      </c>
    </row>
    <row r="37" ht="66" spans="1:17">
      <c r="A37" s="5">
        <v>36</v>
      </c>
      <c r="B37" s="5" t="s">
        <v>725</v>
      </c>
      <c r="C37" s="3" t="s">
        <v>726</v>
      </c>
      <c r="D37" s="3" t="s">
        <v>1395</v>
      </c>
      <c r="E37" s="3" t="s">
        <v>1483</v>
      </c>
      <c r="F37" s="3" t="s">
        <v>1484</v>
      </c>
      <c r="G37" s="3" t="s">
        <v>1485</v>
      </c>
      <c r="H37" s="3" t="s">
        <v>729</v>
      </c>
      <c r="I37" s="3" t="s">
        <v>1328</v>
      </c>
      <c r="J37" s="3" t="s">
        <v>1399</v>
      </c>
      <c r="K37" s="3" t="s">
        <v>1373</v>
      </c>
      <c r="L37" s="3" t="s">
        <v>1316</v>
      </c>
      <c r="M37" s="3" t="s">
        <v>1316</v>
      </c>
      <c r="N37" s="3" t="s">
        <v>1486</v>
      </c>
      <c r="O37" s="3" t="s">
        <v>631</v>
      </c>
      <c r="P37" s="3" t="s">
        <v>1316</v>
      </c>
      <c r="Q37" s="3" t="s">
        <v>1316</v>
      </c>
    </row>
    <row r="38" ht="66" spans="1:17">
      <c r="A38" s="5">
        <v>37</v>
      </c>
      <c r="B38" s="5" t="s">
        <v>731</v>
      </c>
      <c r="C38" s="3" t="s">
        <v>732</v>
      </c>
      <c r="D38" s="3" t="s">
        <v>1395</v>
      </c>
      <c r="E38" s="3" t="s">
        <v>1487</v>
      </c>
      <c r="F38" s="3" t="s">
        <v>1488</v>
      </c>
      <c r="G38" s="3" t="s">
        <v>1489</v>
      </c>
      <c r="H38" s="3" t="s">
        <v>735</v>
      </c>
      <c r="I38" s="3" t="s">
        <v>1328</v>
      </c>
      <c r="J38" s="3" t="s">
        <v>1399</v>
      </c>
      <c r="K38" s="3" t="s">
        <v>1373</v>
      </c>
      <c r="L38" s="3" t="s">
        <v>1316</v>
      </c>
      <c r="M38" s="3" t="s">
        <v>1316</v>
      </c>
      <c r="N38" s="3" t="s">
        <v>1490</v>
      </c>
      <c r="O38" s="3" t="s">
        <v>737</v>
      </c>
      <c r="P38" s="3" t="s">
        <v>1316</v>
      </c>
      <c r="Q38" s="3" t="s">
        <v>1316</v>
      </c>
    </row>
    <row r="39" ht="49.5" spans="1:17">
      <c r="A39" s="5">
        <v>38</v>
      </c>
      <c r="B39" s="5" t="s">
        <v>738</v>
      </c>
      <c r="C39" s="3" t="s">
        <v>739</v>
      </c>
      <c r="D39" s="3" t="s">
        <v>1395</v>
      </c>
      <c r="E39" s="3" t="s">
        <v>1491</v>
      </c>
      <c r="F39" s="3" t="s">
        <v>1492</v>
      </c>
      <c r="G39" s="3" t="s">
        <v>1493</v>
      </c>
      <c r="H39" s="3" t="s">
        <v>722</v>
      </c>
      <c r="I39" s="3" t="s">
        <v>1328</v>
      </c>
      <c r="J39" s="3" t="s">
        <v>1399</v>
      </c>
      <c r="K39" s="3" t="s">
        <v>1373</v>
      </c>
      <c r="L39" s="3" t="s">
        <v>1316</v>
      </c>
      <c r="M39" s="3" t="s">
        <v>1316</v>
      </c>
      <c r="N39" s="3" t="s">
        <v>1494</v>
      </c>
      <c r="O39" s="3" t="s">
        <v>724</v>
      </c>
      <c r="P39" s="3" t="s">
        <v>1495</v>
      </c>
      <c r="Q39" s="3" t="s">
        <v>1316</v>
      </c>
    </row>
    <row r="40" ht="66" spans="1:17">
      <c r="A40" s="5">
        <v>39</v>
      </c>
      <c r="B40" s="5" t="s">
        <v>743</v>
      </c>
      <c r="C40" s="3" t="s">
        <v>744</v>
      </c>
      <c r="D40" s="3" t="s">
        <v>1395</v>
      </c>
      <c r="E40" s="3" t="s">
        <v>1496</v>
      </c>
      <c r="F40" s="3" t="s">
        <v>1497</v>
      </c>
      <c r="G40" s="3" t="s">
        <v>1498</v>
      </c>
      <c r="H40" s="3" t="s">
        <v>729</v>
      </c>
      <c r="I40" s="3" t="s">
        <v>1328</v>
      </c>
      <c r="J40" s="3" t="s">
        <v>1399</v>
      </c>
      <c r="K40" s="3" t="s">
        <v>1373</v>
      </c>
      <c r="L40" s="3" t="s">
        <v>1316</v>
      </c>
      <c r="M40" s="3" t="s">
        <v>1316</v>
      </c>
      <c r="N40" s="3" t="s">
        <v>1316</v>
      </c>
      <c r="O40" s="3" t="s">
        <v>631</v>
      </c>
      <c r="P40" s="3" t="s">
        <v>1316</v>
      </c>
      <c r="Q40" s="3" t="s">
        <v>1316</v>
      </c>
    </row>
    <row r="41" ht="66" spans="1:17">
      <c r="A41" s="5">
        <v>40</v>
      </c>
      <c r="B41" s="5" t="s">
        <v>748</v>
      </c>
      <c r="C41" s="3" t="s">
        <v>749</v>
      </c>
      <c r="D41" s="3" t="s">
        <v>1395</v>
      </c>
      <c r="E41" s="3" t="s">
        <v>1499</v>
      </c>
      <c r="F41" s="3" t="s">
        <v>1500</v>
      </c>
      <c r="G41" s="3" t="s">
        <v>1501</v>
      </c>
      <c r="H41" s="3" t="s">
        <v>722</v>
      </c>
      <c r="I41" s="3" t="s">
        <v>1328</v>
      </c>
      <c r="J41" s="3" t="s">
        <v>1399</v>
      </c>
      <c r="K41" s="3" t="s">
        <v>1373</v>
      </c>
      <c r="L41" s="3" t="s">
        <v>1316</v>
      </c>
      <c r="M41" s="3" t="s">
        <v>1502</v>
      </c>
      <c r="N41" s="3" t="s">
        <v>1503</v>
      </c>
      <c r="O41" s="3" t="s">
        <v>724</v>
      </c>
      <c r="P41" s="3" t="s">
        <v>1482</v>
      </c>
      <c r="Q41" s="3" t="s">
        <v>1316</v>
      </c>
    </row>
    <row r="42" ht="66" spans="1:17">
      <c r="A42" s="5">
        <v>41</v>
      </c>
      <c r="B42" s="5" t="s">
        <v>753</v>
      </c>
      <c r="C42" s="3" t="s">
        <v>754</v>
      </c>
      <c r="D42" s="3" t="s">
        <v>1395</v>
      </c>
      <c r="E42" s="3" t="s">
        <v>1504</v>
      </c>
      <c r="F42" s="3" t="s">
        <v>1505</v>
      </c>
      <c r="G42" s="3" t="s">
        <v>1506</v>
      </c>
      <c r="H42" s="3" t="s">
        <v>729</v>
      </c>
      <c r="I42" s="3" t="s">
        <v>1328</v>
      </c>
      <c r="J42" s="3" t="s">
        <v>1399</v>
      </c>
      <c r="K42" s="3" t="s">
        <v>1373</v>
      </c>
      <c r="L42" s="3" t="s">
        <v>1316</v>
      </c>
      <c r="M42" s="3" t="s">
        <v>1316</v>
      </c>
      <c r="N42" s="3" t="s">
        <v>1507</v>
      </c>
      <c r="O42" s="3" t="s">
        <v>631</v>
      </c>
      <c r="P42" s="3" t="s">
        <v>1316</v>
      </c>
      <c r="Q42" s="3" t="s">
        <v>1316</v>
      </c>
    </row>
    <row r="43" ht="66" spans="1:17">
      <c r="A43" s="5">
        <v>42</v>
      </c>
      <c r="B43" s="5" t="s">
        <v>758</v>
      </c>
      <c r="C43" s="3" t="s">
        <v>759</v>
      </c>
      <c r="D43" s="3" t="s">
        <v>1395</v>
      </c>
      <c r="E43" s="3" t="s">
        <v>1508</v>
      </c>
      <c r="F43" s="3" t="s">
        <v>1509</v>
      </c>
      <c r="G43" s="3" t="s">
        <v>1510</v>
      </c>
      <c r="H43" s="3" t="s">
        <v>735</v>
      </c>
      <c r="I43" s="3" t="s">
        <v>1328</v>
      </c>
      <c r="J43" s="3" t="s">
        <v>1399</v>
      </c>
      <c r="K43" s="3" t="s">
        <v>1373</v>
      </c>
      <c r="L43" s="3" t="s">
        <v>1316</v>
      </c>
      <c r="M43" s="3" t="s">
        <v>1316</v>
      </c>
      <c r="N43" s="3" t="s">
        <v>1511</v>
      </c>
      <c r="O43" s="3" t="s">
        <v>737</v>
      </c>
      <c r="P43" s="3" t="s">
        <v>1316</v>
      </c>
      <c r="Q43" s="3" t="s">
        <v>1316</v>
      </c>
    </row>
    <row r="44" ht="49.5" spans="1:17">
      <c r="A44" s="5">
        <v>43</v>
      </c>
      <c r="B44" s="5" t="s">
        <v>763</v>
      </c>
      <c r="C44" s="3" t="s">
        <v>764</v>
      </c>
      <c r="D44" s="3" t="s">
        <v>1395</v>
      </c>
      <c r="E44" s="3" t="s">
        <v>1512</v>
      </c>
      <c r="F44" s="3" t="s">
        <v>1513</v>
      </c>
      <c r="G44" s="3" t="s">
        <v>1514</v>
      </c>
      <c r="H44" s="3" t="s">
        <v>722</v>
      </c>
      <c r="I44" s="3" t="s">
        <v>1328</v>
      </c>
      <c r="J44" s="3" t="s">
        <v>1399</v>
      </c>
      <c r="K44" s="3" t="s">
        <v>1373</v>
      </c>
      <c r="L44" s="3" t="s">
        <v>1316</v>
      </c>
      <c r="M44" s="3" t="s">
        <v>1316</v>
      </c>
      <c r="N44" s="3" t="s">
        <v>1515</v>
      </c>
      <c r="O44" s="3" t="s">
        <v>724</v>
      </c>
      <c r="P44" s="3" t="s">
        <v>1495</v>
      </c>
      <c r="Q44" s="3" t="s">
        <v>1316</v>
      </c>
    </row>
    <row r="45" ht="66" spans="1:17">
      <c r="A45" s="5">
        <v>44</v>
      </c>
      <c r="B45" s="5" t="s">
        <v>768</v>
      </c>
      <c r="C45" s="3" t="s">
        <v>769</v>
      </c>
      <c r="D45" s="3" t="s">
        <v>1395</v>
      </c>
      <c r="E45" s="3" t="s">
        <v>1516</v>
      </c>
      <c r="F45" s="3" t="s">
        <v>1517</v>
      </c>
      <c r="G45" s="3" t="s">
        <v>1518</v>
      </c>
      <c r="H45" s="3" t="s">
        <v>729</v>
      </c>
      <c r="I45" s="3" t="s">
        <v>1328</v>
      </c>
      <c r="J45" s="3" t="s">
        <v>1399</v>
      </c>
      <c r="K45" s="3" t="s">
        <v>1373</v>
      </c>
      <c r="L45" s="3" t="s">
        <v>1316</v>
      </c>
      <c r="M45" s="3" t="s">
        <v>1316</v>
      </c>
      <c r="N45" s="3" t="s">
        <v>1316</v>
      </c>
      <c r="O45" s="3" t="s">
        <v>631</v>
      </c>
      <c r="P45" s="3" t="s">
        <v>1316</v>
      </c>
      <c r="Q45" s="3" t="s">
        <v>1316</v>
      </c>
    </row>
    <row r="46" ht="66" spans="1:17">
      <c r="A46" s="5">
        <v>45</v>
      </c>
      <c r="B46" s="5" t="s">
        <v>773</v>
      </c>
      <c r="C46" s="3" t="s">
        <v>774</v>
      </c>
      <c r="D46" s="3" t="s">
        <v>1395</v>
      </c>
      <c r="E46" s="3" t="s">
        <v>1519</v>
      </c>
      <c r="F46" s="3" t="s">
        <v>1520</v>
      </c>
      <c r="G46" s="3" t="s">
        <v>1521</v>
      </c>
      <c r="H46" s="3" t="s">
        <v>722</v>
      </c>
      <c r="I46" s="3" t="s">
        <v>1328</v>
      </c>
      <c r="J46" s="3" t="s">
        <v>1399</v>
      </c>
      <c r="K46" s="3" t="s">
        <v>1373</v>
      </c>
      <c r="L46" s="3" t="s">
        <v>1316</v>
      </c>
      <c r="M46" s="3" t="s">
        <v>1522</v>
      </c>
      <c r="N46" s="3" t="s">
        <v>1523</v>
      </c>
      <c r="O46" s="3" t="s">
        <v>724</v>
      </c>
      <c r="P46" s="3" t="s">
        <v>1482</v>
      </c>
      <c r="Q46" s="3" t="s">
        <v>1316</v>
      </c>
    </row>
    <row r="47" ht="66" spans="1:17">
      <c r="A47" s="5">
        <v>46</v>
      </c>
      <c r="B47" s="5" t="s">
        <v>778</v>
      </c>
      <c r="C47" s="3" t="s">
        <v>779</v>
      </c>
      <c r="D47" s="3" t="s">
        <v>1395</v>
      </c>
      <c r="E47" s="3" t="s">
        <v>1524</v>
      </c>
      <c r="F47" s="3" t="s">
        <v>1525</v>
      </c>
      <c r="G47" s="3" t="s">
        <v>1526</v>
      </c>
      <c r="H47" s="3" t="s">
        <v>729</v>
      </c>
      <c r="I47" s="3" t="s">
        <v>1328</v>
      </c>
      <c r="J47" s="3" t="s">
        <v>1399</v>
      </c>
      <c r="K47" s="3" t="s">
        <v>1373</v>
      </c>
      <c r="L47" s="3" t="s">
        <v>1316</v>
      </c>
      <c r="M47" s="3" t="s">
        <v>1316</v>
      </c>
      <c r="N47" s="3" t="s">
        <v>1527</v>
      </c>
      <c r="O47" s="3" t="s">
        <v>631</v>
      </c>
      <c r="P47" s="3" t="s">
        <v>1316</v>
      </c>
      <c r="Q47" s="3" t="s">
        <v>1316</v>
      </c>
    </row>
    <row r="48" ht="66" spans="1:17">
      <c r="A48" s="5">
        <v>47</v>
      </c>
      <c r="B48" s="5" t="s">
        <v>783</v>
      </c>
      <c r="C48" s="3" t="s">
        <v>784</v>
      </c>
      <c r="D48" s="3" t="s">
        <v>1395</v>
      </c>
      <c r="E48" s="3" t="s">
        <v>1528</v>
      </c>
      <c r="F48" s="3" t="s">
        <v>1529</v>
      </c>
      <c r="G48" s="3" t="s">
        <v>1530</v>
      </c>
      <c r="H48" s="3" t="s">
        <v>735</v>
      </c>
      <c r="I48" s="3" t="s">
        <v>1328</v>
      </c>
      <c r="J48" s="3" t="s">
        <v>1399</v>
      </c>
      <c r="K48" s="3" t="s">
        <v>1373</v>
      </c>
      <c r="L48" s="3" t="s">
        <v>1316</v>
      </c>
      <c r="M48" s="3" t="s">
        <v>1316</v>
      </c>
      <c r="N48" s="3" t="s">
        <v>1531</v>
      </c>
      <c r="O48" s="3" t="s">
        <v>737</v>
      </c>
      <c r="P48" s="3" t="s">
        <v>1316</v>
      </c>
      <c r="Q48" s="3" t="s">
        <v>1316</v>
      </c>
    </row>
    <row r="49" ht="49.5" spans="1:17">
      <c r="A49" s="5">
        <v>48</v>
      </c>
      <c r="B49" s="5" t="s">
        <v>788</v>
      </c>
      <c r="C49" s="3" t="s">
        <v>789</v>
      </c>
      <c r="D49" s="3" t="s">
        <v>1395</v>
      </c>
      <c r="E49" s="3" t="s">
        <v>1532</v>
      </c>
      <c r="F49" s="3" t="s">
        <v>1533</v>
      </c>
      <c r="G49" s="3" t="s">
        <v>1534</v>
      </c>
      <c r="H49" s="3" t="s">
        <v>722</v>
      </c>
      <c r="I49" s="3" t="s">
        <v>1328</v>
      </c>
      <c r="J49" s="3" t="s">
        <v>1399</v>
      </c>
      <c r="K49" s="3" t="s">
        <v>1373</v>
      </c>
      <c r="L49" s="3" t="s">
        <v>1316</v>
      </c>
      <c r="M49" s="3" t="s">
        <v>1316</v>
      </c>
      <c r="N49" s="3" t="s">
        <v>1535</v>
      </c>
      <c r="O49" s="3" t="s">
        <v>724</v>
      </c>
      <c r="P49" s="3" t="s">
        <v>1495</v>
      </c>
      <c r="Q49" s="3" t="s">
        <v>1316</v>
      </c>
    </row>
    <row r="50" ht="49.5" spans="1:17">
      <c r="A50" s="5">
        <v>49</v>
      </c>
      <c r="B50" s="5" t="s">
        <v>793</v>
      </c>
      <c r="C50" s="3" t="s">
        <v>794</v>
      </c>
      <c r="D50" s="3" t="s">
        <v>1395</v>
      </c>
      <c r="E50" s="3" t="s">
        <v>1536</v>
      </c>
      <c r="F50" s="3" t="s">
        <v>1537</v>
      </c>
      <c r="G50" s="3" t="s">
        <v>1538</v>
      </c>
      <c r="H50" s="3" t="s">
        <v>729</v>
      </c>
      <c r="I50" s="3" t="s">
        <v>1328</v>
      </c>
      <c r="J50" s="3" t="s">
        <v>1399</v>
      </c>
      <c r="K50" s="3" t="s">
        <v>1373</v>
      </c>
      <c r="L50" s="3" t="s">
        <v>1316</v>
      </c>
      <c r="M50" s="3" t="s">
        <v>1316</v>
      </c>
      <c r="N50" s="3" t="s">
        <v>1316</v>
      </c>
      <c r="O50" s="3" t="s">
        <v>631</v>
      </c>
      <c r="P50" s="3" t="s">
        <v>1316</v>
      </c>
      <c r="Q50" s="3" t="s">
        <v>1316</v>
      </c>
    </row>
    <row r="51" ht="66" spans="1:17">
      <c r="A51" s="5">
        <v>50</v>
      </c>
      <c r="B51" s="5" t="s">
        <v>798</v>
      </c>
      <c r="C51" s="3" t="s">
        <v>799</v>
      </c>
      <c r="D51" s="3" t="s">
        <v>1395</v>
      </c>
      <c r="E51" s="3" t="s">
        <v>1539</v>
      </c>
      <c r="F51" s="3" t="s">
        <v>1540</v>
      </c>
      <c r="G51" s="3" t="s">
        <v>1541</v>
      </c>
      <c r="H51" s="3" t="s">
        <v>722</v>
      </c>
      <c r="I51" s="3" t="s">
        <v>1328</v>
      </c>
      <c r="J51" s="3" t="s">
        <v>1399</v>
      </c>
      <c r="K51" s="3" t="s">
        <v>1373</v>
      </c>
      <c r="L51" s="3" t="s">
        <v>1316</v>
      </c>
      <c r="M51" s="3" t="s">
        <v>1542</v>
      </c>
      <c r="N51" s="3" t="s">
        <v>1543</v>
      </c>
      <c r="O51" s="3" t="s">
        <v>724</v>
      </c>
      <c r="P51" s="3" t="s">
        <v>1544</v>
      </c>
      <c r="Q51" s="3" t="s">
        <v>1316</v>
      </c>
    </row>
    <row r="52" ht="66" spans="1:17">
      <c r="A52" s="5">
        <v>51</v>
      </c>
      <c r="B52" s="5" t="s">
        <v>803</v>
      </c>
      <c r="C52" s="3" t="s">
        <v>804</v>
      </c>
      <c r="D52" s="3" t="s">
        <v>1395</v>
      </c>
      <c r="E52" s="3" t="s">
        <v>1545</v>
      </c>
      <c r="F52" s="3" t="s">
        <v>1546</v>
      </c>
      <c r="G52" s="3" t="s">
        <v>1547</v>
      </c>
      <c r="H52" s="3" t="s">
        <v>729</v>
      </c>
      <c r="I52" s="3" t="s">
        <v>1328</v>
      </c>
      <c r="J52" s="3" t="s">
        <v>1399</v>
      </c>
      <c r="K52" s="3" t="s">
        <v>1373</v>
      </c>
      <c r="L52" s="3" t="s">
        <v>1316</v>
      </c>
      <c r="M52" s="3" t="s">
        <v>1316</v>
      </c>
      <c r="N52" s="3" t="s">
        <v>1316</v>
      </c>
      <c r="O52" s="3" t="s">
        <v>631</v>
      </c>
      <c r="P52" s="3" t="s">
        <v>1316</v>
      </c>
      <c r="Q52" s="3" t="s">
        <v>1316</v>
      </c>
    </row>
    <row r="53" ht="66" spans="1:17">
      <c r="A53" s="5">
        <v>52</v>
      </c>
      <c r="B53" s="5" t="s">
        <v>808</v>
      </c>
      <c r="C53" s="3" t="s">
        <v>809</v>
      </c>
      <c r="D53" s="3" t="s">
        <v>1395</v>
      </c>
      <c r="E53" s="3" t="s">
        <v>1548</v>
      </c>
      <c r="F53" s="3" t="s">
        <v>1549</v>
      </c>
      <c r="G53" s="3" t="s">
        <v>1550</v>
      </c>
      <c r="H53" s="3" t="s">
        <v>722</v>
      </c>
      <c r="I53" s="3" t="s">
        <v>1328</v>
      </c>
      <c r="J53" s="3" t="s">
        <v>1399</v>
      </c>
      <c r="K53" s="3" t="s">
        <v>1373</v>
      </c>
      <c r="L53" s="3" t="s">
        <v>1316</v>
      </c>
      <c r="M53" s="3" t="s">
        <v>1316</v>
      </c>
      <c r="N53" s="3" t="s">
        <v>1551</v>
      </c>
      <c r="O53" s="3" t="s">
        <v>724</v>
      </c>
      <c r="P53" s="3" t="s">
        <v>1495</v>
      </c>
      <c r="Q53" s="3" t="s">
        <v>1316</v>
      </c>
    </row>
    <row r="54" ht="66" spans="1:17">
      <c r="A54" s="5">
        <v>53</v>
      </c>
      <c r="B54" s="5" t="s">
        <v>813</v>
      </c>
      <c r="C54" s="3" t="s">
        <v>814</v>
      </c>
      <c r="D54" s="3" t="s">
        <v>1395</v>
      </c>
      <c r="E54" s="3" t="s">
        <v>1552</v>
      </c>
      <c r="F54" s="3" t="s">
        <v>1553</v>
      </c>
      <c r="G54" s="3" t="s">
        <v>1554</v>
      </c>
      <c r="H54" s="3" t="s">
        <v>729</v>
      </c>
      <c r="I54" s="3" t="s">
        <v>1328</v>
      </c>
      <c r="J54" s="3" t="s">
        <v>1399</v>
      </c>
      <c r="K54" s="3" t="s">
        <v>1373</v>
      </c>
      <c r="L54" s="3" t="s">
        <v>1316</v>
      </c>
      <c r="M54" s="3" t="s">
        <v>1316</v>
      </c>
      <c r="N54" s="3" t="s">
        <v>1316</v>
      </c>
      <c r="O54" s="3" t="s">
        <v>631</v>
      </c>
      <c r="P54" s="3" t="s">
        <v>1316</v>
      </c>
      <c r="Q54" s="3" t="s">
        <v>1316</v>
      </c>
    </row>
    <row r="55" ht="66" spans="1:17">
      <c r="A55" s="5">
        <v>54</v>
      </c>
      <c r="B55" s="5" t="s">
        <v>818</v>
      </c>
      <c r="C55" s="3" t="s">
        <v>819</v>
      </c>
      <c r="D55" s="3" t="s">
        <v>1395</v>
      </c>
      <c r="E55" s="3" t="s">
        <v>1555</v>
      </c>
      <c r="F55" s="3" t="s">
        <v>1556</v>
      </c>
      <c r="G55" s="3" t="s">
        <v>1557</v>
      </c>
      <c r="H55" s="3" t="s">
        <v>722</v>
      </c>
      <c r="I55" s="3" t="s">
        <v>1328</v>
      </c>
      <c r="J55" s="3" t="s">
        <v>1399</v>
      </c>
      <c r="K55" s="3" t="s">
        <v>1373</v>
      </c>
      <c r="L55" s="3" t="s">
        <v>1316</v>
      </c>
      <c r="M55" s="3" t="s">
        <v>1558</v>
      </c>
      <c r="N55" s="3" t="s">
        <v>1559</v>
      </c>
      <c r="O55" s="3" t="s">
        <v>724</v>
      </c>
      <c r="P55" s="3" t="s">
        <v>1544</v>
      </c>
      <c r="Q55" s="3" t="s">
        <v>1316</v>
      </c>
    </row>
    <row r="56" ht="66" spans="1:17">
      <c r="A56" s="5">
        <v>55</v>
      </c>
      <c r="B56" s="5" t="s">
        <v>823</v>
      </c>
      <c r="C56" s="3" t="s">
        <v>824</v>
      </c>
      <c r="D56" s="3" t="s">
        <v>1395</v>
      </c>
      <c r="E56" s="3" t="s">
        <v>1560</v>
      </c>
      <c r="F56" s="3" t="s">
        <v>1561</v>
      </c>
      <c r="G56" s="3" t="s">
        <v>1562</v>
      </c>
      <c r="H56" s="3" t="s">
        <v>729</v>
      </c>
      <c r="I56" s="3" t="s">
        <v>1328</v>
      </c>
      <c r="J56" s="3" t="s">
        <v>1399</v>
      </c>
      <c r="K56" s="3" t="s">
        <v>1373</v>
      </c>
      <c r="L56" s="3" t="s">
        <v>1316</v>
      </c>
      <c r="M56" s="3" t="s">
        <v>1316</v>
      </c>
      <c r="N56" s="3" t="s">
        <v>1316</v>
      </c>
      <c r="O56" s="3" t="s">
        <v>631</v>
      </c>
      <c r="P56" s="3" t="s">
        <v>1316</v>
      </c>
      <c r="Q56" s="3" t="s">
        <v>1316</v>
      </c>
    </row>
    <row r="57" ht="66" spans="1:17">
      <c r="A57" s="5">
        <v>56</v>
      </c>
      <c r="B57" s="5" t="s">
        <v>828</v>
      </c>
      <c r="C57" s="3" t="s">
        <v>829</v>
      </c>
      <c r="D57" s="3" t="s">
        <v>1395</v>
      </c>
      <c r="E57" s="3" t="s">
        <v>1563</v>
      </c>
      <c r="F57" s="3" t="s">
        <v>1564</v>
      </c>
      <c r="G57" s="3" t="s">
        <v>1565</v>
      </c>
      <c r="H57" s="3" t="s">
        <v>722</v>
      </c>
      <c r="I57" s="3" t="s">
        <v>1328</v>
      </c>
      <c r="J57" s="3" t="s">
        <v>1399</v>
      </c>
      <c r="K57" s="3" t="s">
        <v>1373</v>
      </c>
      <c r="L57" s="3" t="s">
        <v>1316</v>
      </c>
      <c r="M57" s="3" t="s">
        <v>1316</v>
      </c>
      <c r="N57" s="3" t="s">
        <v>1566</v>
      </c>
      <c r="O57" s="3" t="s">
        <v>724</v>
      </c>
      <c r="P57" s="3" t="s">
        <v>1495</v>
      </c>
      <c r="Q57" s="3" t="s">
        <v>1316</v>
      </c>
    </row>
    <row r="58" ht="66" spans="1:17">
      <c r="A58" s="5">
        <v>57</v>
      </c>
      <c r="B58" s="5" t="s">
        <v>833</v>
      </c>
      <c r="C58" s="3" t="s">
        <v>834</v>
      </c>
      <c r="D58" s="3" t="s">
        <v>1395</v>
      </c>
      <c r="E58" s="3" t="s">
        <v>1567</v>
      </c>
      <c r="F58" s="3" t="s">
        <v>1568</v>
      </c>
      <c r="G58" s="3" t="s">
        <v>1569</v>
      </c>
      <c r="H58" s="3" t="s">
        <v>729</v>
      </c>
      <c r="I58" s="3" t="s">
        <v>1328</v>
      </c>
      <c r="J58" s="3" t="s">
        <v>1399</v>
      </c>
      <c r="K58" s="3" t="s">
        <v>1373</v>
      </c>
      <c r="L58" s="3" t="s">
        <v>1316</v>
      </c>
      <c r="M58" s="3" t="s">
        <v>1316</v>
      </c>
      <c r="N58" s="3" t="s">
        <v>1316</v>
      </c>
      <c r="O58" s="3" t="s">
        <v>631</v>
      </c>
      <c r="P58" s="3" t="s">
        <v>1316</v>
      </c>
      <c r="Q58" s="3" t="s">
        <v>1316</v>
      </c>
    </row>
    <row r="59" ht="66" spans="1:17">
      <c r="A59" s="5">
        <v>58</v>
      </c>
      <c r="B59" s="5" t="s">
        <v>838</v>
      </c>
      <c r="C59" s="3" t="s">
        <v>839</v>
      </c>
      <c r="D59" s="3" t="s">
        <v>1395</v>
      </c>
      <c r="E59" s="3" t="s">
        <v>1570</v>
      </c>
      <c r="F59" s="3" t="s">
        <v>1571</v>
      </c>
      <c r="G59" s="3" t="s">
        <v>1572</v>
      </c>
      <c r="H59" s="3" t="s">
        <v>722</v>
      </c>
      <c r="I59" s="3" t="s">
        <v>1328</v>
      </c>
      <c r="J59" s="3" t="s">
        <v>1399</v>
      </c>
      <c r="K59" s="3" t="s">
        <v>1373</v>
      </c>
      <c r="L59" s="3" t="s">
        <v>1316</v>
      </c>
      <c r="M59" s="3" t="s">
        <v>1573</v>
      </c>
      <c r="N59" s="3" t="s">
        <v>1574</v>
      </c>
      <c r="O59" s="3" t="s">
        <v>724</v>
      </c>
      <c r="P59" s="3" t="s">
        <v>1544</v>
      </c>
      <c r="Q59" s="3" t="s">
        <v>1316</v>
      </c>
    </row>
    <row r="60" ht="66" spans="1:17">
      <c r="A60" s="5">
        <v>59</v>
      </c>
      <c r="B60" s="5" t="s">
        <v>843</v>
      </c>
      <c r="C60" s="3" t="s">
        <v>844</v>
      </c>
      <c r="D60" s="3" t="s">
        <v>1395</v>
      </c>
      <c r="E60" s="3" t="s">
        <v>1575</v>
      </c>
      <c r="F60" s="3" t="s">
        <v>1576</v>
      </c>
      <c r="G60" s="3" t="s">
        <v>1577</v>
      </c>
      <c r="H60" s="3" t="s">
        <v>729</v>
      </c>
      <c r="I60" s="3" t="s">
        <v>1328</v>
      </c>
      <c r="J60" s="3" t="s">
        <v>1399</v>
      </c>
      <c r="K60" s="3" t="s">
        <v>1373</v>
      </c>
      <c r="L60" s="3" t="s">
        <v>1316</v>
      </c>
      <c r="M60" s="3" t="s">
        <v>1316</v>
      </c>
      <c r="N60" s="3" t="s">
        <v>1316</v>
      </c>
      <c r="O60" s="3" t="s">
        <v>631</v>
      </c>
      <c r="P60" s="3" t="s">
        <v>1316</v>
      </c>
      <c r="Q60" s="3" t="s">
        <v>1316</v>
      </c>
    </row>
    <row r="61" ht="66" spans="1:17">
      <c r="A61" s="5">
        <v>60</v>
      </c>
      <c r="B61" s="5" t="s">
        <v>848</v>
      </c>
      <c r="C61" s="3" t="s">
        <v>849</v>
      </c>
      <c r="D61" s="3" t="s">
        <v>1395</v>
      </c>
      <c r="E61" s="3" t="s">
        <v>1578</v>
      </c>
      <c r="F61" s="3" t="s">
        <v>1579</v>
      </c>
      <c r="G61" s="3" t="s">
        <v>1580</v>
      </c>
      <c r="H61" s="3" t="s">
        <v>722</v>
      </c>
      <c r="I61" s="3" t="s">
        <v>1328</v>
      </c>
      <c r="J61" s="3" t="s">
        <v>1399</v>
      </c>
      <c r="K61" s="3" t="s">
        <v>1373</v>
      </c>
      <c r="L61" s="3" t="s">
        <v>1316</v>
      </c>
      <c r="M61" s="3" t="s">
        <v>1316</v>
      </c>
      <c r="N61" s="3" t="s">
        <v>1581</v>
      </c>
      <c r="O61" s="3" t="s">
        <v>724</v>
      </c>
      <c r="P61" s="3" t="s">
        <v>1495</v>
      </c>
      <c r="Q61" s="3" t="s">
        <v>1316</v>
      </c>
    </row>
    <row r="62" ht="66" spans="1:17">
      <c r="A62" s="5">
        <v>61</v>
      </c>
      <c r="B62" s="5" t="s">
        <v>853</v>
      </c>
      <c r="C62" s="3" t="s">
        <v>854</v>
      </c>
      <c r="D62" s="3" t="s">
        <v>1395</v>
      </c>
      <c r="E62" s="3" t="s">
        <v>1582</v>
      </c>
      <c r="F62" s="3" t="s">
        <v>1583</v>
      </c>
      <c r="G62" s="3" t="s">
        <v>1584</v>
      </c>
      <c r="H62" s="3" t="s">
        <v>729</v>
      </c>
      <c r="I62" s="3" t="s">
        <v>1328</v>
      </c>
      <c r="J62" s="3" t="s">
        <v>1399</v>
      </c>
      <c r="K62" s="3" t="s">
        <v>1373</v>
      </c>
      <c r="L62" s="3" t="s">
        <v>1316</v>
      </c>
      <c r="M62" s="3" t="s">
        <v>1316</v>
      </c>
      <c r="N62" s="3" t="s">
        <v>1316</v>
      </c>
      <c r="O62" s="3" t="s">
        <v>631</v>
      </c>
      <c r="P62" s="3" t="s">
        <v>1316</v>
      </c>
      <c r="Q62" s="3" t="s">
        <v>1316</v>
      </c>
    </row>
    <row r="63" ht="66" spans="1:17">
      <c r="A63" s="5">
        <v>62</v>
      </c>
      <c r="B63" s="5" t="s">
        <v>858</v>
      </c>
      <c r="C63" s="3" t="s">
        <v>859</v>
      </c>
      <c r="D63" s="3" t="s">
        <v>1395</v>
      </c>
      <c r="E63" s="3" t="s">
        <v>1585</v>
      </c>
      <c r="F63" s="3" t="s">
        <v>1586</v>
      </c>
      <c r="G63" s="3" t="s">
        <v>1587</v>
      </c>
      <c r="H63" s="3" t="s">
        <v>722</v>
      </c>
      <c r="I63" s="3" t="s">
        <v>1328</v>
      </c>
      <c r="J63" s="3" t="s">
        <v>1399</v>
      </c>
      <c r="K63" s="3" t="s">
        <v>1373</v>
      </c>
      <c r="L63" s="3" t="s">
        <v>1316</v>
      </c>
      <c r="M63" s="3" t="s">
        <v>1588</v>
      </c>
      <c r="N63" s="3" t="s">
        <v>1589</v>
      </c>
      <c r="O63" s="3" t="s">
        <v>724</v>
      </c>
      <c r="P63" s="3" t="s">
        <v>1590</v>
      </c>
      <c r="Q63" s="3" t="s">
        <v>1316</v>
      </c>
    </row>
    <row r="64" ht="66" spans="1:17">
      <c r="A64" s="5">
        <v>63</v>
      </c>
      <c r="B64" s="5" t="s">
        <v>863</v>
      </c>
      <c r="C64" s="3" t="s">
        <v>864</v>
      </c>
      <c r="D64" s="3" t="s">
        <v>1395</v>
      </c>
      <c r="E64" s="3" t="s">
        <v>1591</v>
      </c>
      <c r="F64" s="3" t="s">
        <v>1592</v>
      </c>
      <c r="G64" s="3" t="s">
        <v>1593</v>
      </c>
      <c r="H64" s="3" t="s">
        <v>729</v>
      </c>
      <c r="I64" s="3" t="s">
        <v>1328</v>
      </c>
      <c r="J64" s="3" t="s">
        <v>1399</v>
      </c>
      <c r="K64" s="3" t="s">
        <v>1373</v>
      </c>
      <c r="L64" s="3" t="s">
        <v>1316</v>
      </c>
      <c r="M64" s="3" t="s">
        <v>1316</v>
      </c>
      <c r="N64" s="3" t="s">
        <v>1316</v>
      </c>
      <c r="O64" s="3" t="s">
        <v>631</v>
      </c>
      <c r="P64" s="3" t="s">
        <v>1316</v>
      </c>
      <c r="Q64" s="3" t="s">
        <v>1316</v>
      </c>
    </row>
    <row r="65" ht="66" spans="1:17">
      <c r="A65" s="5">
        <v>64</v>
      </c>
      <c r="B65" s="5" t="s">
        <v>868</v>
      </c>
      <c r="C65" s="3" t="s">
        <v>869</v>
      </c>
      <c r="D65" s="3" t="s">
        <v>1395</v>
      </c>
      <c r="E65" s="3" t="s">
        <v>1594</v>
      </c>
      <c r="F65" s="3" t="s">
        <v>1595</v>
      </c>
      <c r="G65" s="3" t="s">
        <v>1596</v>
      </c>
      <c r="H65" s="3" t="s">
        <v>722</v>
      </c>
      <c r="I65" s="3" t="s">
        <v>1328</v>
      </c>
      <c r="J65" s="3" t="s">
        <v>1399</v>
      </c>
      <c r="K65" s="3" t="s">
        <v>1373</v>
      </c>
      <c r="L65" s="3" t="s">
        <v>1316</v>
      </c>
      <c r="M65" s="3" t="s">
        <v>1316</v>
      </c>
      <c r="N65" s="3" t="s">
        <v>1597</v>
      </c>
      <c r="O65" s="3" t="s">
        <v>724</v>
      </c>
      <c r="P65" s="3" t="s">
        <v>1495</v>
      </c>
      <c r="Q65" s="3" t="s">
        <v>1316</v>
      </c>
    </row>
    <row r="66" ht="66" spans="1:17">
      <c r="A66" s="5">
        <v>65</v>
      </c>
      <c r="B66" s="5" t="s">
        <v>873</v>
      </c>
      <c r="C66" s="3" t="s">
        <v>874</v>
      </c>
      <c r="D66" s="3" t="s">
        <v>1395</v>
      </c>
      <c r="E66" s="3" t="s">
        <v>1598</v>
      </c>
      <c r="F66" s="3" t="s">
        <v>1599</v>
      </c>
      <c r="G66" s="3" t="s">
        <v>1600</v>
      </c>
      <c r="H66" s="3" t="s">
        <v>729</v>
      </c>
      <c r="I66" s="3" t="s">
        <v>1328</v>
      </c>
      <c r="J66" s="3" t="s">
        <v>1399</v>
      </c>
      <c r="K66" s="3" t="s">
        <v>1373</v>
      </c>
      <c r="L66" s="3" t="s">
        <v>1316</v>
      </c>
      <c r="M66" s="3" t="s">
        <v>1316</v>
      </c>
      <c r="N66" s="3" t="s">
        <v>1316</v>
      </c>
      <c r="O66" s="3" t="s">
        <v>631</v>
      </c>
      <c r="P66" s="3" t="s">
        <v>1316</v>
      </c>
      <c r="Q66" s="3" t="s">
        <v>1316</v>
      </c>
    </row>
    <row r="67" ht="49.5" spans="1:17">
      <c r="A67" s="5">
        <v>66</v>
      </c>
      <c r="B67" s="5" t="s">
        <v>878</v>
      </c>
      <c r="C67" s="3" t="s">
        <v>879</v>
      </c>
      <c r="D67" s="3" t="s">
        <v>1395</v>
      </c>
      <c r="E67" s="3" t="s">
        <v>1601</v>
      </c>
      <c r="F67" s="3" t="s">
        <v>1602</v>
      </c>
      <c r="G67" s="3" t="s">
        <v>1603</v>
      </c>
      <c r="H67" s="3" t="s">
        <v>882</v>
      </c>
      <c r="I67" s="3" t="s">
        <v>1328</v>
      </c>
      <c r="J67" s="3" t="s">
        <v>1399</v>
      </c>
      <c r="K67" s="3" t="s">
        <v>1373</v>
      </c>
      <c r="L67" s="3" t="s">
        <v>1316</v>
      </c>
      <c r="M67" s="3" t="s">
        <v>1604</v>
      </c>
      <c r="N67" s="3" t="s">
        <v>1605</v>
      </c>
      <c r="O67" s="3" t="s">
        <v>884</v>
      </c>
      <c r="P67" s="3" t="s">
        <v>1606</v>
      </c>
      <c r="Q67" s="3" t="s">
        <v>1607</v>
      </c>
    </row>
    <row r="68" ht="49.5" spans="1:17">
      <c r="A68" s="5">
        <v>67</v>
      </c>
      <c r="B68" s="5" t="s">
        <v>886</v>
      </c>
      <c r="C68" s="3" t="s">
        <v>887</v>
      </c>
      <c r="D68" s="3" t="s">
        <v>1395</v>
      </c>
      <c r="E68" s="3" t="s">
        <v>1608</v>
      </c>
      <c r="F68" s="3" t="s">
        <v>1609</v>
      </c>
      <c r="G68" s="3" t="s">
        <v>1610</v>
      </c>
      <c r="H68" s="3" t="s">
        <v>882</v>
      </c>
      <c r="I68" s="3" t="s">
        <v>1328</v>
      </c>
      <c r="J68" s="3" t="s">
        <v>1399</v>
      </c>
      <c r="K68" s="3" t="s">
        <v>1373</v>
      </c>
      <c r="L68" s="3" t="s">
        <v>1316</v>
      </c>
      <c r="M68" s="3" t="s">
        <v>1604</v>
      </c>
      <c r="N68" s="3" t="s">
        <v>1611</v>
      </c>
      <c r="O68" s="3" t="s">
        <v>884</v>
      </c>
      <c r="P68" s="3" t="s">
        <v>1612</v>
      </c>
      <c r="Q68" s="3" t="s">
        <v>1316</v>
      </c>
    </row>
    <row r="69" ht="49.5" spans="1:17">
      <c r="A69" s="5">
        <v>68</v>
      </c>
      <c r="B69" s="5" t="s">
        <v>891</v>
      </c>
      <c r="C69" s="3" t="s">
        <v>892</v>
      </c>
      <c r="D69" s="3" t="s">
        <v>1395</v>
      </c>
      <c r="E69" s="3" t="s">
        <v>1613</v>
      </c>
      <c r="F69" s="3" t="s">
        <v>1614</v>
      </c>
      <c r="G69" s="3" t="s">
        <v>1615</v>
      </c>
      <c r="H69" s="3" t="s">
        <v>882</v>
      </c>
      <c r="I69" s="3" t="s">
        <v>1328</v>
      </c>
      <c r="J69" s="3" t="s">
        <v>1399</v>
      </c>
      <c r="K69" s="3" t="s">
        <v>1373</v>
      </c>
      <c r="L69" s="3" t="s">
        <v>1316</v>
      </c>
      <c r="M69" s="3" t="s">
        <v>1616</v>
      </c>
      <c r="N69" s="3" t="s">
        <v>1617</v>
      </c>
      <c r="O69" s="3" t="s">
        <v>884</v>
      </c>
      <c r="P69" s="3" t="s">
        <v>1618</v>
      </c>
      <c r="Q69" s="3" t="s">
        <v>1619</v>
      </c>
    </row>
    <row r="70" ht="49.5" spans="1:17">
      <c r="A70" s="5">
        <v>69</v>
      </c>
      <c r="B70" s="5" t="s">
        <v>897</v>
      </c>
      <c r="C70" s="3" t="s">
        <v>1620</v>
      </c>
      <c r="D70" s="3" t="s">
        <v>1395</v>
      </c>
      <c r="E70" s="3" t="s">
        <v>1621</v>
      </c>
      <c r="F70" s="3" t="s">
        <v>1622</v>
      </c>
      <c r="G70" s="3" t="s">
        <v>1623</v>
      </c>
      <c r="H70" s="3" t="s">
        <v>882</v>
      </c>
      <c r="I70" s="3" t="s">
        <v>1328</v>
      </c>
      <c r="J70" s="3" t="s">
        <v>1399</v>
      </c>
      <c r="K70" s="3" t="s">
        <v>1373</v>
      </c>
      <c r="L70" s="3" t="s">
        <v>1316</v>
      </c>
      <c r="M70" s="3" t="s">
        <v>1316</v>
      </c>
      <c r="N70" s="3" t="s">
        <v>1624</v>
      </c>
      <c r="O70" s="3" t="s">
        <v>884</v>
      </c>
      <c r="P70" s="3" t="s">
        <v>1625</v>
      </c>
      <c r="Q70" s="3" t="s">
        <v>1626</v>
      </c>
    </row>
    <row r="71" ht="49.5" spans="1:17">
      <c r="A71" s="5">
        <v>70</v>
      </c>
      <c r="B71" s="5" t="s">
        <v>903</v>
      </c>
      <c r="C71" s="3" t="s">
        <v>1627</v>
      </c>
      <c r="D71" s="3" t="s">
        <v>1395</v>
      </c>
      <c r="E71" s="3" t="s">
        <v>1628</v>
      </c>
      <c r="F71" s="3" t="s">
        <v>1629</v>
      </c>
      <c r="G71" s="3" t="s">
        <v>1630</v>
      </c>
      <c r="H71" s="3" t="s">
        <v>882</v>
      </c>
      <c r="I71" s="3" t="s">
        <v>1328</v>
      </c>
      <c r="J71" s="3" t="s">
        <v>1399</v>
      </c>
      <c r="K71" s="3" t="s">
        <v>1373</v>
      </c>
      <c r="L71" s="3" t="s">
        <v>1316</v>
      </c>
      <c r="M71" s="3" t="s">
        <v>1316</v>
      </c>
      <c r="N71" s="3" t="s">
        <v>1631</v>
      </c>
      <c r="O71" s="3" t="s">
        <v>884</v>
      </c>
      <c r="P71" s="3" t="s">
        <v>1632</v>
      </c>
      <c r="Q71" s="3" t="s">
        <v>1626</v>
      </c>
    </row>
    <row r="72" ht="49.5" spans="1:17">
      <c r="A72" s="5">
        <v>71</v>
      </c>
      <c r="B72" s="5" t="s">
        <v>908</v>
      </c>
      <c r="C72" s="3" t="s">
        <v>909</v>
      </c>
      <c r="D72" s="3" t="s">
        <v>1395</v>
      </c>
      <c r="E72" s="3" t="s">
        <v>1633</v>
      </c>
      <c r="F72" s="3" t="s">
        <v>1634</v>
      </c>
      <c r="G72" s="3" t="s">
        <v>1635</v>
      </c>
      <c r="H72" s="3" t="s">
        <v>570</v>
      </c>
      <c r="I72" s="3" t="s">
        <v>1328</v>
      </c>
      <c r="J72" s="3" t="s">
        <v>1399</v>
      </c>
      <c r="K72" s="3" t="s">
        <v>1373</v>
      </c>
      <c r="L72" s="3" t="s">
        <v>1316</v>
      </c>
      <c r="M72" s="3" t="s">
        <v>1636</v>
      </c>
      <c r="N72" s="3" t="s">
        <v>1637</v>
      </c>
      <c r="O72" s="3" t="s">
        <v>913</v>
      </c>
      <c r="P72" s="3" t="s">
        <v>1638</v>
      </c>
      <c r="Q72" s="3" t="s">
        <v>1619</v>
      </c>
    </row>
    <row r="73" ht="49.5" spans="1:17">
      <c r="A73" s="5">
        <v>72</v>
      </c>
      <c r="B73" s="5" t="s">
        <v>914</v>
      </c>
      <c r="C73" s="3" t="s">
        <v>915</v>
      </c>
      <c r="D73" s="3" t="s">
        <v>1395</v>
      </c>
      <c r="E73" s="3" t="s">
        <v>1639</v>
      </c>
      <c r="F73" s="3" t="s">
        <v>1640</v>
      </c>
      <c r="G73" s="3" t="s">
        <v>1641</v>
      </c>
      <c r="H73" s="3" t="s">
        <v>882</v>
      </c>
      <c r="I73" s="3" t="s">
        <v>1328</v>
      </c>
      <c r="J73" s="3" t="s">
        <v>1399</v>
      </c>
      <c r="K73" s="3" t="s">
        <v>1373</v>
      </c>
      <c r="L73" s="3" t="s">
        <v>1316</v>
      </c>
      <c r="M73" s="3" t="s">
        <v>1316</v>
      </c>
      <c r="N73" s="3" t="s">
        <v>1642</v>
      </c>
      <c r="O73" s="3" t="s">
        <v>884</v>
      </c>
      <c r="P73" s="3" t="s">
        <v>1316</v>
      </c>
      <c r="Q73" s="3" t="s">
        <v>1316</v>
      </c>
    </row>
    <row r="74" ht="49.5" spans="1:17">
      <c r="A74" s="5">
        <v>73</v>
      </c>
      <c r="B74" s="5" t="s">
        <v>919</v>
      </c>
      <c r="C74" s="3" t="s">
        <v>920</v>
      </c>
      <c r="D74" s="3" t="s">
        <v>1395</v>
      </c>
      <c r="E74" s="3" t="s">
        <v>1643</v>
      </c>
      <c r="F74" s="3" t="s">
        <v>1644</v>
      </c>
      <c r="G74" s="3" t="s">
        <v>1645</v>
      </c>
      <c r="H74" s="3" t="s">
        <v>923</v>
      </c>
      <c r="I74" s="3" t="s">
        <v>1328</v>
      </c>
      <c r="J74" s="3" t="s">
        <v>1399</v>
      </c>
      <c r="K74" s="3" t="s">
        <v>1373</v>
      </c>
      <c r="L74" s="3" t="s">
        <v>1316</v>
      </c>
      <c r="M74" s="3" t="s">
        <v>1316</v>
      </c>
      <c r="N74" s="3" t="s">
        <v>1646</v>
      </c>
      <c r="O74" s="3" t="s">
        <v>925</v>
      </c>
      <c r="P74" s="3" t="s">
        <v>1316</v>
      </c>
      <c r="Q74" s="3" t="s">
        <v>1316</v>
      </c>
    </row>
    <row r="75" ht="49.5" spans="1:17">
      <c r="A75" s="5">
        <v>74</v>
      </c>
      <c r="B75" s="5" t="s">
        <v>926</v>
      </c>
      <c r="C75" s="3" t="s">
        <v>927</v>
      </c>
      <c r="D75" s="3" t="s">
        <v>1395</v>
      </c>
      <c r="E75" s="3" t="s">
        <v>1647</v>
      </c>
      <c r="F75" s="3" t="s">
        <v>1648</v>
      </c>
      <c r="G75" s="3" t="s">
        <v>1649</v>
      </c>
      <c r="H75" s="3" t="s">
        <v>882</v>
      </c>
      <c r="I75" s="3" t="s">
        <v>1328</v>
      </c>
      <c r="J75" s="3" t="s">
        <v>1399</v>
      </c>
      <c r="K75" s="3" t="s">
        <v>1373</v>
      </c>
      <c r="L75" s="3" t="s">
        <v>1316</v>
      </c>
      <c r="M75" s="3" t="s">
        <v>1316</v>
      </c>
      <c r="N75" s="3" t="s">
        <v>1650</v>
      </c>
      <c r="O75" s="3" t="s">
        <v>884</v>
      </c>
      <c r="P75" s="3" t="s">
        <v>1651</v>
      </c>
      <c r="Q75" s="3" t="s">
        <v>1316</v>
      </c>
    </row>
    <row r="76" ht="49.5" spans="1:17">
      <c r="A76" s="5">
        <v>75</v>
      </c>
      <c r="B76" s="5" t="s">
        <v>931</v>
      </c>
      <c r="C76" s="3" t="s">
        <v>932</v>
      </c>
      <c r="D76" s="3" t="s">
        <v>1395</v>
      </c>
      <c r="E76" s="3" t="s">
        <v>1652</v>
      </c>
      <c r="F76" s="3" t="s">
        <v>1653</v>
      </c>
      <c r="G76" s="3" t="s">
        <v>1654</v>
      </c>
      <c r="H76" s="3" t="s">
        <v>882</v>
      </c>
      <c r="I76" s="3" t="s">
        <v>1328</v>
      </c>
      <c r="J76" s="3" t="s">
        <v>1399</v>
      </c>
      <c r="K76" s="3" t="s">
        <v>1373</v>
      </c>
      <c r="L76" s="3" t="s">
        <v>1316</v>
      </c>
      <c r="M76" s="3" t="s">
        <v>1655</v>
      </c>
      <c r="N76" s="3" t="s">
        <v>1656</v>
      </c>
      <c r="O76" s="3" t="s">
        <v>884</v>
      </c>
      <c r="P76" s="3" t="s">
        <v>1657</v>
      </c>
      <c r="Q76" s="3" t="s">
        <v>1316</v>
      </c>
    </row>
    <row r="77" ht="49.5" spans="1:17">
      <c r="A77" s="5">
        <v>76</v>
      </c>
      <c r="B77" s="5" t="s">
        <v>936</v>
      </c>
      <c r="C77" s="3" t="s">
        <v>937</v>
      </c>
      <c r="D77" s="3" t="s">
        <v>1395</v>
      </c>
      <c r="E77" s="3" t="s">
        <v>1658</v>
      </c>
      <c r="F77" s="3" t="s">
        <v>1659</v>
      </c>
      <c r="G77" s="3" t="s">
        <v>1660</v>
      </c>
      <c r="H77" s="3" t="s">
        <v>882</v>
      </c>
      <c r="I77" s="3" t="s">
        <v>1328</v>
      </c>
      <c r="J77" s="3" t="s">
        <v>1399</v>
      </c>
      <c r="K77" s="3" t="s">
        <v>1373</v>
      </c>
      <c r="L77" s="3" t="s">
        <v>1316</v>
      </c>
      <c r="M77" s="3" t="s">
        <v>1316</v>
      </c>
      <c r="N77" s="3" t="s">
        <v>1661</v>
      </c>
      <c r="O77" s="3" t="s">
        <v>884</v>
      </c>
      <c r="P77" s="3" t="s">
        <v>1662</v>
      </c>
      <c r="Q77" s="3" t="s">
        <v>1316</v>
      </c>
    </row>
    <row r="78" ht="49.5" spans="1:17">
      <c r="A78" s="5">
        <v>77</v>
      </c>
      <c r="B78" s="5" t="s">
        <v>941</v>
      </c>
      <c r="C78" s="3" t="s">
        <v>942</v>
      </c>
      <c r="D78" s="3" t="s">
        <v>1395</v>
      </c>
      <c r="E78" s="3" t="s">
        <v>1663</v>
      </c>
      <c r="F78" s="3" t="s">
        <v>1664</v>
      </c>
      <c r="G78" s="3" t="s">
        <v>1665</v>
      </c>
      <c r="H78" s="3" t="s">
        <v>882</v>
      </c>
      <c r="I78" s="3" t="s">
        <v>1328</v>
      </c>
      <c r="J78" s="3" t="s">
        <v>1399</v>
      </c>
      <c r="K78" s="3" t="s">
        <v>1373</v>
      </c>
      <c r="L78" s="3" t="s">
        <v>1316</v>
      </c>
      <c r="M78" s="3" t="s">
        <v>1316</v>
      </c>
      <c r="N78" s="3" t="s">
        <v>1666</v>
      </c>
      <c r="O78" s="3" t="s">
        <v>884</v>
      </c>
      <c r="P78" s="3" t="s">
        <v>1667</v>
      </c>
      <c r="Q78" s="3" t="s">
        <v>1316</v>
      </c>
    </row>
    <row r="79" ht="49.5" spans="1:17">
      <c r="A79" s="5">
        <v>78</v>
      </c>
      <c r="B79" s="5" t="s">
        <v>946</v>
      </c>
      <c r="C79" s="3" t="s">
        <v>947</v>
      </c>
      <c r="D79" s="3" t="s">
        <v>1395</v>
      </c>
      <c r="E79" s="3" t="s">
        <v>1668</v>
      </c>
      <c r="F79" s="3" t="s">
        <v>1669</v>
      </c>
      <c r="G79" s="3" t="s">
        <v>1670</v>
      </c>
      <c r="H79" s="3" t="s">
        <v>950</v>
      </c>
      <c r="I79" s="3" t="s">
        <v>1328</v>
      </c>
      <c r="J79" s="3" t="s">
        <v>1399</v>
      </c>
      <c r="K79" s="3" t="s">
        <v>1373</v>
      </c>
      <c r="L79" s="3" t="s">
        <v>1316</v>
      </c>
      <c r="M79" s="3" t="s">
        <v>1671</v>
      </c>
      <c r="N79" s="3" t="s">
        <v>1672</v>
      </c>
      <c r="O79" s="3" t="s">
        <v>631</v>
      </c>
      <c r="P79" s="3" t="s">
        <v>1673</v>
      </c>
      <c r="Q79" s="3" t="s">
        <v>1674</v>
      </c>
    </row>
    <row r="80" ht="49.5" spans="1:17">
      <c r="A80" s="5">
        <v>79</v>
      </c>
      <c r="B80" s="5" t="s">
        <v>953</v>
      </c>
      <c r="C80" s="3" t="s">
        <v>954</v>
      </c>
      <c r="D80" s="3" t="s">
        <v>1395</v>
      </c>
      <c r="E80" s="3" t="s">
        <v>1675</v>
      </c>
      <c r="F80" s="3" t="s">
        <v>1676</v>
      </c>
      <c r="G80" s="3" t="s">
        <v>1677</v>
      </c>
      <c r="H80" s="3" t="s">
        <v>950</v>
      </c>
      <c r="I80" s="3" t="s">
        <v>1328</v>
      </c>
      <c r="J80" s="3" t="s">
        <v>1399</v>
      </c>
      <c r="K80" s="3" t="s">
        <v>1373</v>
      </c>
      <c r="L80" s="3" t="s">
        <v>1316</v>
      </c>
      <c r="M80" s="3" t="s">
        <v>1316</v>
      </c>
      <c r="N80" s="3" t="s">
        <v>1678</v>
      </c>
      <c r="O80" s="3" t="s">
        <v>631</v>
      </c>
      <c r="P80" s="3" t="s">
        <v>1679</v>
      </c>
      <c r="Q80" s="3" t="s">
        <v>1680</v>
      </c>
    </row>
    <row r="81" ht="49.5" spans="1:17">
      <c r="A81" s="5">
        <v>80</v>
      </c>
      <c r="B81" s="5" t="s">
        <v>959</v>
      </c>
      <c r="C81" s="3" t="s">
        <v>960</v>
      </c>
      <c r="D81" s="3" t="s">
        <v>1395</v>
      </c>
      <c r="E81" s="3" t="s">
        <v>1681</v>
      </c>
      <c r="F81" s="3" t="s">
        <v>1682</v>
      </c>
      <c r="G81" s="3" t="s">
        <v>1683</v>
      </c>
      <c r="H81" s="3" t="s">
        <v>950</v>
      </c>
      <c r="I81" s="3" t="s">
        <v>1328</v>
      </c>
      <c r="J81" s="3" t="s">
        <v>1399</v>
      </c>
      <c r="K81" s="3" t="s">
        <v>1373</v>
      </c>
      <c r="L81" s="3" t="s">
        <v>1316</v>
      </c>
      <c r="M81" s="3" t="s">
        <v>1316</v>
      </c>
      <c r="N81" s="3" t="s">
        <v>1684</v>
      </c>
      <c r="O81" s="3" t="s">
        <v>631</v>
      </c>
      <c r="P81" s="3" t="s">
        <v>1685</v>
      </c>
      <c r="Q81" s="3" t="s">
        <v>1674</v>
      </c>
    </row>
    <row r="82" ht="49.5" spans="1:17">
      <c r="A82" s="5">
        <v>81</v>
      </c>
      <c r="B82" s="5" t="s">
        <v>964</v>
      </c>
      <c r="C82" s="3" t="s">
        <v>965</v>
      </c>
      <c r="D82" s="3" t="s">
        <v>1395</v>
      </c>
      <c r="E82" s="3" t="s">
        <v>1686</v>
      </c>
      <c r="F82" s="3" t="s">
        <v>1687</v>
      </c>
      <c r="G82" s="3" t="s">
        <v>1688</v>
      </c>
      <c r="H82" s="3" t="s">
        <v>950</v>
      </c>
      <c r="I82" s="3" t="s">
        <v>1328</v>
      </c>
      <c r="J82" s="3" t="s">
        <v>1399</v>
      </c>
      <c r="K82" s="3" t="s">
        <v>1373</v>
      </c>
      <c r="L82" s="3" t="s">
        <v>1316</v>
      </c>
      <c r="M82" s="3" t="s">
        <v>1316</v>
      </c>
      <c r="N82" s="3" t="s">
        <v>1689</v>
      </c>
      <c r="O82" s="3" t="s">
        <v>631</v>
      </c>
      <c r="P82" s="3" t="s">
        <v>1690</v>
      </c>
      <c r="Q82" s="3" t="s">
        <v>1674</v>
      </c>
    </row>
    <row r="83" ht="49.5" spans="1:17">
      <c r="A83" s="5">
        <v>82</v>
      </c>
      <c r="B83" s="5" t="s">
        <v>969</v>
      </c>
      <c r="C83" s="3" t="s">
        <v>970</v>
      </c>
      <c r="D83" s="3" t="s">
        <v>1395</v>
      </c>
      <c r="E83" s="3" t="s">
        <v>1691</v>
      </c>
      <c r="F83" s="3" t="s">
        <v>1692</v>
      </c>
      <c r="G83" s="3" t="s">
        <v>1693</v>
      </c>
      <c r="H83" s="3" t="s">
        <v>882</v>
      </c>
      <c r="I83" s="3" t="s">
        <v>1328</v>
      </c>
      <c r="J83" s="3" t="s">
        <v>1399</v>
      </c>
      <c r="K83" s="3" t="s">
        <v>1373</v>
      </c>
      <c r="L83" s="3" t="s">
        <v>1316</v>
      </c>
      <c r="M83" s="3" t="s">
        <v>1694</v>
      </c>
      <c r="N83" s="3" t="s">
        <v>1695</v>
      </c>
      <c r="O83" s="3" t="s">
        <v>884</v>
      </c>
      <c r="P83" s="3" t="s">
        <v>1696</v>
      </c>
      <c r="Q83" s="3" t="s">
        <v>1697</v>
      </c>
    </row>
    <row r="84" ht="49.5" spans="1:17">
      <c r="A84" s="5">
        <v>83</v>
      </c>
      <c r="B84" s="5" t="s">
        <v>975</v>
      </c>
      <c r="C84" s="3" t="s">
        <v>976</v>
      </c>
      <c r="D84" s="3" t="s">
        <v>1395</v>
      </c>
      <c r="E84" s="3" t="s">
        <v>1698</v>
      </c>
      <c r="F84" s="3" t="s">
        <v>1699</v>
      </c>
      <c r="G84" s="3" t="s">
        <v>1700</v>
      </c>
      <c r="H84" s="3" t="s">
        <v>882</v>
      </c>
      <c r="I84" s="3" t="s">
        <v>1328</v>
      </c>
      <c r="J84" s="3" t="s">
        <v>1399</v>
      </c>
      <c r="K84" s="3" t="s">
        <v>1373</v>
      </c>
      <c r="L84" s="3" t="s">
        <v>1316</v>
      </c>
      <c r="M84" s="3" t="s">
        <v>1316</v>
      </c>
      <c r="N84" s="3" t="s">
        <v>1701</v>
      </c>
      <c r="O84" s="3" t="s">
        <v>884</v>
      </c>
      <c r="P84" s="3" t="s">
        <v>1702</v>
      </c>
      <c r="Q84" s="3" t="s">
        <v>1703</v>
      </c>
    </row>
    <row r="85" ht="49.5" spans="1:17">
      <c r="A85" s="5">
        <v>84</v>
      </c>
      <c r="B85" s="5" t="s">
        <v>981</v>
      </c>
      <c r="C85" s="3" t="s">
        <v>982</v>
      </c>
      <c r="D85" s="3" t="s">
        <v>1395</v>
      </c>
      <c r="E85" s="3" t="s">
        <v>1704</v>
      </c>
      <c r="F85" s="3" t="s">
        <v>1705</v>
      </c>
      <c r="G85" s="3" t="s">
        <v>1706</v>
      </c>
      <c r="H85" s="3" t="s">
        <v>882</v>
      </c>
      <c r="I85" s="3" t="s">
        <v>1328</v>
      </c>
      <c r="J85" s="3" t="s">
        <v>1399</v>
      </c>
      <c r="K85" s="3" t="s">
        <v>1373</v>
      </c>
      <c r="L85" s="3" t="s">
        <v>1316</v>
      </c>
      <c r="M85" s="3" t="s">
        <v>1707</v>
      </c>
      <c r="N85" s="3" t="s">
        <v>1708</v>
      </c>
      <c r="O85" s="3" t="s">
        <v>884</v>
      </c>
      <c r="P85" s="3" t="s">
        <v>1709</v>
      </c>
      <c r="Q85" s="3" t="s">
        <v>1703</v>
      </c>
    </row>
    <row r="86" ht="49.5" spans="1:17">
      <c r="A86" s="5">
        <v>85</v>
      </c>
      <c r="B86" s="5" t="s">
        <v>986</v>
      </c>
      <c r="C86" s="3" t="s">
        <v>987</v>
      </c>
      <c r="D86" s="3" t="s">
        <v>1395</v>
      </c>
      <c r="E86" s="3" t="s">
        <v>1710</v>
      </c>
      <c r="F86" s="3" t="s">
        <v>1711</v>
      </c>
      <c r="G86" s="3" t="s">
        <v>1712</v>
      </c>
      <c r="H86" s="3" t="s">
        <v>882</v>
      </c>
      <c r="I86" s="3" t="s">
        <v>1328</v>
      </c>
      <c r="J86" s="3" t="s">
        <v>1399</v>
      </c>
      <c r="K86" s="3" t="s">
        <v>1373</v>
      </c>
      <c r="L86" s="3" t="s">
        <v>1316</v>
      </c>
      <c r="M86" s="3" t="s">
        <v>1316</v>
      </c>
      <c r="N86" s="3" t="s">
        <v>1713</v>
      </c>
      <c r="O86" s="3" t="s">
        <v>884</v>
      </c>
      <c r="P86" s="3" t="s">
        <v>1709</v>
      </c>
      <c r="Q86" s="3" t="s">
        <v>1316</v>
      </c>
    </row>
    <row r="87" ht="49.5" spans="1:17">
      <c r="A87" s="5">
        <v>86</v>
      </c>
      <c r="B87" s="5" t="s">
        <v>991</v>
      </c>
      <c r="C87" s="3" t="s">
        <v>992</v>
      </c>
      <c r="D87" s="3" t="s">
        <v>1395</v>
      </c>
      <c r="E87" s="3" t="s">
        <v>1714</v>
      </c>
      <c r="F87" s="3" t="s">
        <v>1715</v>
      </c>
      <c r="G87" s="3" t="s">
        <v>1716</v>
      </c>
      <c r="H87" s="3" t="s">
        <v>882</v>
      </c>
      <c r="I87" s="3" t="s">
        <v>1328</v>
      </c>
      <c r="J87" s="3" t="s">
        <v>1399</v>
      </c>
      <c r="K87" s="3" t="s">
        <v>1373</v>
      </c>
      <c r="L87" s="3" t="s">
        <v>1316</v>
      </c>
      <c r="M87" s="3" t="s">
        <v>1316</v>
      </c>
      <c r="N87" s="3" t="s">
        <v>1717</v>
      </c>
      <c r="O87" s="3" t="s">
        <v>884</v>
      </c>
      <c r="P87" s="3" t="s">
        <v>1718</v>
      </c>
      <c r="Q87" s="3" t="s">
        <v>1316</v>
      </c>
    </row>
    <row r="88" ht="49.5" spans="1:17">
      <c r="A88" s="5">
        <v>87</v>
      </c>
      <c r="B88" s="5" t="s">
        <v>996</v>
      </c>
      <c r="C88" s="3" t="s">
        <v>997</v>
      </c>
      <c r="D88" s="3" t="s">
        <v>1395</v>
      </c>
      <c r="E88" s="3" t="s">
        <v>1719</v>
      </c>
      <c r="F88" s="3" t="s">
        <v>1720</v>
      </c>
      <c r="G88" s="3" t="s">
        <v>1721</v>
      </c>
      <c r="H88" s="3" t="s">
        <v>882</v>
      </c>
      <c r="I88" s="3" t="s">
        <v>1328</v>
      </c>
      <c r="J88" s="3" t="s">
        <v>1399</v>
      </c>
      <c r="K88" s="3" t="s">
        <v>1373</v>
      </c>
      <c r="L88" s="3" t="s">
        <v>1316</v>
      </c>
      <c r="M88" s="3" t="s">
        <v>1722</v>
      </c>
      <c r="N88" s="3" t="s">
        <v>1723</v>
      </c>
      <c r="O88" s="3" t="s">
        <v>884</v>
      </c>
      <c r="P88" s="3" t="s">
        <v>1724</v>
      </c>
      <c r="Q88" s="3" t="s">
        <v>1725</v>
      </c>
    </row>
    <row r="89" ht="49.5" spans="1:17">
      <c r="A89" s="5">
        <v>88</v>
      </c>
      <c r="B89" s="5" t="s">
        <v>1002</v>
      </c>
      <c r="C89" s="3" t="s">
        <v>1003</v>
      </c>
      <c r="D89" s="3" t="s">
        <v>1395</v>
      </c>
      <c r="E89" s="3" t="s">
        <v>1726</v>
      </c>
      <c r="F89" s="3" t="s">
        <v>1727</v>
      </c>
      <c r="G89" s="3" t="s">
        <v>1728</v>
      </c>
      <c r="H89" s="3" t="s">
        <v>882</v>
      </c>
      <c r="I89" s="3" t="s">
        <v>1328</v>
      </c>
      <c r="J89" s="3" t="s">
        <v>1399</v>
      </c>
      <c r="K89" s="3" t="s">
        <v>1373</v>
      </c>
      <c r="L89" s="3" t="s">
        <v>1316</v>
      </c>
      <c r="M89" s="3" t="s">
        <v>1316</v>
      </c>
      <c r="N89" s="3" t="s">
        <v>1729</v>
      </c>
      <c r="O89" s="3" t="s">
        <v>884</v>
      </c>
      <c r="P89" s="3" t="s">
        <v>1730</v>
      </c>
      <c r="Q89" s="3" t="s">
        <v>1316</v>
      </c>
    </row>
    <row r="90" ht="49.5" spans="1:17">
      <c r="A90" s="5">
        <v>89</v>
      </c>
      <c r="B90" s="5" t="s">
        <v>1007</v>
      </c>
      <c r="C90" s="3" t="s">
        <v>1008</v>
      </c>
      <c r="D90" s="3" t="s">
        <v>1395</v>
      </c>
      <c r="E90" s="3" t="s">
        <v>1731</v>
      </c>
      <c r="F90" s="3" t="s">
        <v>1732</v>
      </c>
      <c r="G90" s="3" t="s">
        <v>1733</v>
      </c>
      <c r="H90" s="3" t="s">
        <v>882</v>
      </c>
      <c r="I90" s="3" t="s">
        <v>1328</v>
      </c>
      <c r="J90" s="3" t="s">
        <v>1399</v>
      </c>
      <c r="K90" s="3" t="s">
        <v>1373</v>
      </c>
      <c r="L90" s="3" t="s">
        <v>1316</v>
      </c>
      <c r="M90" s="3" t="s">
        <v>1316</v>
      </c>
      <c r="N90" s="3" t="s">
        <v>1734</v>
      </c>
      <c r="O90" s="3" t="s">
        <v>884</v>
      </c>
      <c r="P90" s="3" t="s">
        <v>1735</v>
      </c>
      <c r="Q90" s="3" t="s">
        <v>1316</v>
      </c>
    </row>
    <row r="91" ht="49.5" spans="1:17">
      <c r="A91" s="5">
        <v>90</v>
      </c>
      <c r="B91" s="5" t="s">
        <v>1012</v>
      </c>
      <c r="C91" s="3" t="s">
        <v>1013</v>
      </c>
      <c r="D91" s="3" t="s">
        <v>1395</v>
      </c>
      <c r="E91" s="3" t="s">
        <v>1736</v>
      </c>
      <c r="F91" s="3" t="s">
        <v>1737</v>
      </c>
      <c r="G91" s="3" t="s">
        <v>1738</v>
      </c>
      <c r="H91" s="3" t="s">
        <v>882</v>
      </c>
      <c r="I91" s="3" t="s">
        <v>1328</v>
      </c>
      <c r="J91" s="3" t="s">
        <v>1399</v>
      </c>
      <c r="K91" s="3" t="s">
        <v>1373</v>
      </c>
      <c r="L91" s="3" t="s">
        <v>1316</v>
      </c>
      <c r="M91" s="3" t="s">
        <v>1316</v>
      </c>
      <c r="N91" s="3" t="s">
        <v>1739</v>
      </c>
      <c r="O91" s="3" t="s">
        <v>884</v>
      </c>
      <c r="P91" s="3" t="s">
        <v>1740</v>
      </c>
      <c r="Q91" s="3" t="s">
        <v>1316</v>
      </c>
    </row>
    <row r="92" ht="49.5" spans="1:17">
      <c r="A92" s="5">
        <v>91</v>
      </c>
      <c r="B92" s="5" t="s">
        <v>1017</v>
      </c>
      <c r="C92" s="3" t="s">
        <v>1018</v>
      </c>
      <c r="D92" s="3" t="s">
        <v>1395</v>
      </c>
      <c r="E92" s="3" t="s">
        <v>1741</v>
      </c>
      <c r="F92" s="3" t="s">
        <v>1742</v>
      </c>
      <c r="G92" s="3" t="s">
        <v>1743</v>
      </c>
      <c r="H92" s="3" t="s">
        <v>629</v>
      </c>
      <c r="I92" s="3" t="s">
        <v>1328</v>
      </c>
      <c r="J92" s="3" t="s">
        <v>1399</v>
      </c>
      <c r="K92" s="3" t="s">
        <v>1373</v>
      </c>
      <c r="L92" s="3" t="s">
        <v>1316</v>
      </c>
      <c r="M92" s="3" t="s">
        <v>1744</v>
      </c>
      <c r="N92" s="3" t="s">
        <v>1745</v>
      </c>
      <c r="O92" s="3" t="s">
        <v>631</v>
      </c>
      <c r="P92" s="3" t="s">
        <v>1746</v>
      </c>
      <c r="Q92" s="3" t="s">
        <v>1316</v>
      </c>
    </row>
    <row r="93" ht="49.5" spans="1:17">
      <c r="A93" s="5">
        <v>92</v>
      </c>
      <c r="B93" s="5" t="s">
        <v>1022</v>
      </c>
      <c r="C93" s="3" t="s">
        <v>1023</v>
      </c>
      <c r="D93" s="3" t="s">
        <v>1395</v>
      </c>
      <c r="E93" s="3" t="s">
        <v>1747</v>
      </c>
      <c r="F93" s="3" t="s">
        <v>1748</v>
      </c>
      <c r="G93" s="3" t="s">
        <v>1749</v>
      </c>
      <c r="H93" s="3" t="s">
        <v>629</v>
      </c>
      <c r="I93" s="3" t="s">
        <v>1328</v>
      </c>
      <c r="J93" s="3" t="s">
        <v>1399</v>
      </c>
      <c r="K93" s="3" t="s">
        <v>1373</v>
      </c>
      <c r="L93" s="3" t="s">
        <v>1316</v>
      </c>
      <c r="M93" s="3" t="s">
        <v>1316</v>
      </c>
      <c r="N93" s="3" t="s">
        <v>1750</v>
      </c>
      <c r="O93" s="3" t="s">
        <v>631</v>
      </c>
      <c r="P93" s="3" t="s">
        <v>1751</v>
      </c>
      <c r="Q93" s="3" t="s">
        <v>1316</v>
      </c>
    </row>
    <row r="94" ht="49.5" spans="1:17">
      <c r="A94" s="5">
        <v>93</v>
      </c>
      <c r="B94" s="5" t="s">
        <v>1027</v>
      </c>
      <c r="C94" s="3" t="s">
        <v>1028</v>
      </c>
      <c r="D94" s="3" t="s">
        <v>1395</v>
      </c>
      <c r="E94" s="3" t="s">
        <v>1752</v>
      </c>
      <c r="F94" s="3" t="s">
        <v>1753</v>
      </c>
      <c r="G94" s="3" t="s">
        <v>1754</v>
      </c>
      <c r="H94" s="3" t="s">
        <v>629</v>
      </c>
      <c r="I94" s="3" t="s">
        <v>1328</v>
      </c>
      <c r="J94" s="3" t="s">
        <v>1399</v>
      </c>
      <c r="K94" s="3" t="s">
        <v>1373</v>
      </c>
      <c r="L94" s="3" t="s">
        <v>1316</v>
      </c>
      <c r="M94" s="3" t="s">
        <v>1316</v>
      </c>
      <c r="N94" s="3" t="s">
        <v>1755</v>
      </c>
      <c r="O94" s="3" t="s">
        <v>631</v>
      </c>
      <c r="P94" s="3" t="s">
        <v>1756</v>
      </c>
      <c r="Q94" s="3" t="s">
        <v>1316</v>
      </c>
    </row>
    <row r="95" ht="49.5" spans="1:17">
      <c r="A95" s="5">
        <v>94</v>
      </c>
      <c r="B95" s="5" t="s">
        <v>1032</v>
      </c>
      <c r="C95" s="3" t="s">
        <v>1033</v>
      </c>
      <c r="D95" s="3" t="s">
        <v>1395</v>
      </c>
      <c r="E95" s="3" t="s">
        <v>1757</v>
      </c>
      <c r="F95" s="3" t="s">
        <v>1758</v>
      </c>
      <c r="G95" s="3" t="s">
        <v>1759</v>
      </c>
      <c r="H95" s="3" t="s">
        <v>629</v>
      </c>
      <c r="I95" s="3" t="s">
        <v>1328</v>
      </c>
      <c r="J95" s="3" t="s">
        <v>1399</v>
      </c>
      <c r="K95" s="3" t="s">
        <v>1373</v>
      </c>
      <c r="L95" s="3" t="s">
        <v>1316</v>
      </c>
      <c r="M95" s="3" t="s">
        <v>1316</v>
      </c>
      <c r="N95" s="3" t="s">
        <v>1760</v>
      </c>
      <c r="O95" s="3" t="s">
        <v>631</v>
      </c>
      <c r="P95" s="3" t="s">
        <v>1761</v>
      </c>
      <c r="Q95" s="3" t="s">
        <v>1316</v>
      </c>
    </row>
  </sheetData>
  <autoFilter xmlns:etc="http://www.wps.cn/officeDocument/2017/etCustomData" ref="A1:Q95"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5"/>
  <sheetViews>
    <sheetView workbookViewId="0">
      <pane xSplit="2" ySplit="1" topLeftCell="C2" activePane="bottomRight" state="frozen"/>
      <selection/>
      <selection pane="topRight"/>
      <selection pane="bottomLeft"/>
      <selection pane="bottomRight" activeCell="E10" sqref="E10"/>
    </sheetView>
  </sheetViews>
  <sheetFormatPr defaultColWidth="9" defaultRowHeight="13.5"/>
  <cols>
    <col min="1" max="1" width="11" style="4" customWidth="1"/>
    <col min="2" max="2" width="34" style="4" customWidth="1"/>
    <col min="3" max="3" width="9" style="4" customWidth="1"/>
    <col min="4" max="4" width="21" style="4" customWidth="1"/>
    <col min="5" max="5" width="42" style="1" customWidth="1"/>
    <col min="6" max="6" width="20" style="1" customWidth="1"/>
    <col min="7" max="7" width="14" style="1" customWidth="1"/>
    <col min="8" max="8" width="22" style="1" customWidth="1"/>
    <col min="9" max="9" width="60" style="1" customWidth="1"/>
    <col min="10" max="16384" width="9" style="1"/>
  </cols>
  <sheetData>
    <row r="1" ht="16.5" spans="1:9">
      <c r="A1" s="2" t="s">
        <v>1290</v>
      </c>
      <c r="B1" s="2" t="s">
        <v>1291</v>
      </c>
      <c r="C1" s="2" t="s">
        <v>1762</v>
      </c>
      <c r="D1" s="2" t="s">
        <v>1763</v>
      </c>
      <c r="E1" s="2" t="s">
        <v>1764</v>
      </c>
      <c r="F1" s="2" t="s">
        <v>1765</v>
      </c>
      <c r="G1" s="2" t="s">
        <v>1766</v>
      </c>
      <c r="H1" s="2" t="s">
        <v>1767</v>
      </c>
      <c r="I1" s="2" t="s">
        <v>1768</v>
      </c>
    </row>
    <row r="2" ht="16.5" spans="1:9">
      <c r="A2" s="5" t="s">
        <v>191</v>
      </c>
      <c r="B2" s="5" t="s">
        <v>522</v>
      </c>
      <c r="C2" s="5">
        <v>0</v>
      </c>
      <c r="D2" s="5" t="s">
        <v>132</v>
      </c>
      <c r="E2" s="3" t="s">
        <v>1769</v>
      </c>
      <c r="F2" s="3" t="s">
        <v>1770</v>
      </c>
      <c r="G2" s="3" t="s">
        <v>191</v>
      </c>
      <c r="H2" s="3" t="s">
        <v>525</v>
      </c>
      <c r="I2" s="3" t="s">
        <v>1308</v>
      </c>
    </row>
    <row r="3" ht="16.5" spans="1:9">
      <c r="A3" s="5" t="s">
        <v>200</v>
      </c>
      <c r="B3" s="5" t="s">
        <v>532</v>
      </c>
      <c r="C3" s="5">
        <v>1</v>
      </c>
      <c r="D3" s="5" t="s">
        <v>1771</v>
      </c>
      <c r="E3" s="3" t="s">
        <v>532</v>
      </c>
      <c r="F3" s="3" t="s">
        <v>1770</v>
      </c>
      <c r="G3" s="3" t="s">
        <v>200</v>
      </c>
      <c r="H3" s="3" t="s">
        <v>514</v>
      </c>
      <c r="I3" s="3" t="s">
        <v>532</v>
      </c>
    </row>
    <row r="4" ht="33" spans="1:9">
      <c r="A4" s="5" t="s">
        <v>200</v>
      </c>
      <c r="B4" s="5" t="s">
        <v>532</v>
      </c>
      <c r="C4" s="5">
        <v>2</v>
      </c>
      <c r="D4" s="5" t="s">
        <v>195</v>
      </c>
      <c r="E4" s="3" t="s">
        <v>1772</v>
      </c>
      <c r="F4" s="3" t="s">
        <v>1773</v>
      </c>
      <c r="G4" s="3" t="s">
        <v>193</v>
      </c>
      <c r="H4" s="3" t="s">
        <v>197</v>
      </c>
      <c r="I4" s="3" t="s">
        <v>1772</v>
      </c>
    </row>
    <row r="5" ht="16.5" spans="1:9">
      <c r="A5" s="5" t="s">
        <v>200</v>
      </c>
      <c r="B5" s="5" t="s">
        <v>532</v>
      </c>
      <c r="C5" s="5">
        <v>3</v>
      </c>
      <c r="D5" s="5" t="s">
        <v>205</v>
      </c>
      <c r="E5" s="3" t="s">
        <v>204</v>
      </c>
      <c r="F5" s="3" t="s">
        <v>1774</v>
      </c>
      <c r="G5" s="3" t="s">
        <v>203</v>
      </c>
      <c r="H5" s="3" t="s">
        <v>197</v>
      </c>
      <c r="I5" s="3" t="s">
        <v>204</v>
      </c>
    </row>
    <row r="6" ht="16.5" spans="1:9">
      <c r="A6" s="5" t="s">
        <v>325</v>
      </c>
      <c r="B6" s="5" t="s">
        <v>312</v>
      </c>
      <c r="C6" s="5">
        <v>1</v>
      </c>
      <c r="D6" s="5" t="s">
        <v>313</v>
      </c>
      <c r="E6" s="3" t="s">
        <v>1775</v>
      </c>
      <c r="F6" s="3" t="s">
        <v>1770</v>
      </c>
      <c r="G6" s="3" t="s">
        <v>325</v>
      </c>
      <c r="H6" s="3" t="s">
        <v>315</v>
      </c>
      <c r="I6" s="3" t="s">
        <v>1776</v>
      </c>
    </row>
    <row r="7" ht="16.5" spans="1:9">
      <c r="A7" s="5" t="s">
        <v>325</v>
      </c>
      <c r="B7" s="5" t="s">
        <v>312</v>
      </c>
      <c r="C7" s="5">
        <v>2</v>
      </c>
      <c r="D7" s="5" t="s">
        <v>321</v>
      </c>
      <c r="E7" s="3" t="s">
        <v>320</v>
      </c>
      <c r="F7" s="3" t="s">
        <v>1777</v>
      </c>
      <c r="G7" s="3" t="s">
        <v>319</v>
      </c>
      <c r="H7" s="3" t="s">
        <v>197</v>
      </c>
      <c r="I7" s="3" t="s">
        <v>320</v>
      </c>
    </row>
    <row r="8" ht="33" spans="1:9">
      <c r="A8" s="5" t="s">
        <v>325</v>
      </c>
      <c r="B8" s="5" t="s">
        <v>312</v>
      </c>
      <c r="C8" s="5">
        <v>3</v>
      </c>
      <c r="D8" s="5" t="s">
        <v>330</v>
      </c>
      <c r="E8" s="3" t="s">
        <v>1778</v>
      </c>
      <c r="F8" s="3" t="s">
        <v>1779</v>
      </c>
      <c r="G8" s="3" t="s">
        <v>328</v>
      </c>
      <c r="H8" s="3" t="s">
        <v>332</v>
      </c>
      <c r="I8" s="3" t="s">
        <v>1778</v>
      </c>
    </row>
    <row r="9" ht="33" spans="1:9">
      <c r="A9" s="5" t="s">
        <v>325</v>
      </c>
      <c r="B9" s="5" t="s">
        <v>312</v>
      </c>
      <c r="C9" s="5">
        <v>4</v>
      </c>
      <c r="D9" s="5" t="s">
        <v>337</v>
      </c>
      <c r="E9" s="3" t="s">
        <v>1780</v>
      </c>
      <c r="F9" s="3" t="s">
        <v>1781</v>
      </c>
      <c r="G9" s="3" t="s">
        <v>335</v>
      </c>
      <c r="H9" s="3" t="s">
        <v>339</v>
      </c>
      <c r="I9" s="3" t="s">
        <v>1780</v>
      </c>
    </row>
    <row r="10" ht="16.5" spans="1:9">
      <c r="A10" s="5" t="s">
        <v>146</v>
      </c>
      <c r="B10" s="5" t="s">
        <v>545</v>
      </c>
      <c r="C10" s="5">
        <v>1</v>
      </c>
      <c r="D10" s="5" t="s">
        <v>126</v>
      </c>
      <c r="E10" s="3" t="s">
        <v>124</v>
      </c>
      <c r="F10" s="3" t="s">
        <v>1770</v>
      </c>
      <c r="G10" s="3" t="s">
        <v>146</v>
      </c>
      <c r="H10" s="3" t="s">
        <v>1782</v>
      </c>
      <c r="I10" s="3" t="s">
        <v>1783</v>
      </c>
    </row>
    <row r="11" ht="33" spans="1:9">
      <c r="A11" s="5" t="s">
        <v>146</v>
      </c>
      <c r="B11" s="5" t="s">
        <v>545</v>
      </c>
      <c r="C11" s="5">
        <v>2</v>
      </c>
      <c r="D11" s="5" t="s">
        <v>143</v>
      </c>
      <c r="E11" s="3" t="s">
        <v>144</v>
      </c>
      <c r="F11" s="3" t="s">
        <v>1784</v>
      </c>
      <c r="G11" s="3" t="s">
        <v>141</v>
      </c>
      <c r="H11" s="3" t="s">
        <v>1782</v>
      </c>
      <c r="I11" s="3" t="s">
        <v>1785</v>
      </c>
    </row>
    <row r="12" ht="16.5" spans="1:9">
      <c r="A12" s="5" t="s">
        <v>146</v>
      </c>
      <c r="B12" s="5" t="s">
        <v>545</v>
      </c>
      <c r="C12" s="5">
        <v>3</v>
      </c>
      <c r="D12" s="5" t="s">
        <v>150</v>
      </c>
      <c r="E12" s="3" t="s">
        <v>1786</v>
      </c>
      <c r="F12" s="3" t="s">
        <v>1787</v>
      </c>
      <c r="G12" s="3" t="s">
        <v>148</v>
      </c>
      <c r="H12" s="3" t="s">
        <v>1782</v>
      </c>
      <c r="I12" s="3" t="s">
        <v>1788</v>
      </c>
    </row>
    <row r="13" ht="16.5" spans="1:9">
      <c r="A13" s="5" t="s">
        <v>146</v>
      </c>
      <c r="B13" s="5" t="s">
        <v>545</v>
      </c>
      <c r="C13" s="5">
        <v>4</v>
      </c>
      <c r="D13" s="5" t="s">
        <v>157</v>
      </c>
      <c r="E13" s="3" t="s">
        <v>1789</v>
      </c>
      <c r="F13" s="3" t="s">
        <v>1790</v>
      </c>
      <c r="G13" s="3" t="s">
        <v>155</v>
      </c>
      <c r="H13" s="3" t="s">
        <v>1782</v>
      </c>
      <c r="I13" s="3" t="s">
        <v>1791</v>
      </c>
    </row>
    <row r="14" ht="33" spans="1:9">
      <c r="A14" s="5" t="s">
        <v>146</v>
      </c>
      <c r="B14" s="5" t="s">
        <v>545</v>
      </c>
      <c r="C14" s="5">
        <v>5</v>
      </c>
      <c r="D14" s="5" t="s">
        <v>162</v>
      </c>
      <c r="E14" s="3" t="s">
        <v>1792</v>
      </c>
      <c r="F14" s="3" t="s">
        <v>1793</v>
      </c>
      <c r="G14" s="3" t="s">
        <v>160</v>
      </c>
      <c r="H14" s="3" t="s">
        <v>1782</v>
      </c>
      <c r="I14" s="3" t="s">
        <v>1794</v>
      </c>
    </row>
    <row r="15" ht="16.5" spans="1:9">
      <c r="A15" s="5" t="s">
        <v>146</v>
      </c>
      <c r="B15" s="5" t="s">
        <v>545</v>
      </c>
      <c r="C15" s="5">
        <v>6</v>
      </c>
      <c r="D15" s="5" t="s">
        <v>167</v>
      </c>
      <c r="E15" s="3" t="s">
        <v>1795</v>
      </c>
      <c r="F15" s="3" t="s">
        <v>1796</v>
      </c>
      <c r="G15" s="3" t="s">
        <v>165</v>
      </c>
      <c r="H15" s="3" t="s">
        <v>1782</v>
      </c>
      <c r="I15" s="3" t="s">
        <v>1797</v>
      </c>
    </row>
    <row r="16" ht="33" spans="1:9">
      <c r="A16" s="5" t="s">
        <v>146</v>
      </c>
      <c r="B16" s="5" t="s">
        <v>545</v>
      </c>
      <c r="C16" s="5">
        <v>7</v>
      </c>
      <c r="D16" s="5" t="s">
        <v>172</v>
      </c>
      <c r="E16" s="3" t="s">
        <v>1798</v>
      </c>
      <c r="F16" s="3" t="s">
        <v>1799</v>
      </c>
      <c r="G16" s="3" t="s">
        <v>170</v>
      </c>
      <c r="H16" s="3" t="s">
        <v>1782</v>
      </c>
      <c r="I16" s="3" t="s">
        <v>1800</v>
      </c>
    </row>
    <row r="17" ht="49.5" spans="1:9">
      <c r="A17" s="5" t="s">
        <v>146</v>
      </c>
      <c r="B17" s="5" t="s">
        <v>545</v>
      </c>
      <c r="C17" s="5">
        <v>8</v>
      </c>
      <c r="D17" s="5" t="s">
        <v>177</v>
      </c>
      <c r="E17" s="3" t="s">
        <v>1801</v>
      </c>
      <c r="F17" s="3" t="s">
        <v>1802</v>
      </c>
      <c r="G17" s="3" t="s">
        <v>175</v>
      </c>
      <c r="H17" s="3" t="s">
        <v>1782</v>
      </c>
      <c r="I17" s="3" t="s">
        <v>1803</v>
      </c>
    </row>
    <row r="18" ht="16.5" spans="1:9">
      <c r="A18" s="5" t="s">
        <v>461</v>
      </c>
      <c r="B18" s="5" t="s">
        <v>550</v>
      </c>
      <c r="C18" s="5">
        <v>1</v>
      </c>
      <c r="D18" s="5" t="s">
        <v>1804</v>
      </c>
      <c r="E18" s="3" t="s">
        <v>550</v>
      </c>
      <c r="F18" s="3" t="s">
        <v>1770</v>
      </c>
      <c r="G18" s="3" t="s">
        <v>461</v>
      </c>
      <c r="H18" s="3" t="s">
        <v>553</v>
      </c>
      <c r="I18" s="3" t="s">
        <v>550</v>
      </c>
    </row>
    <row r="19" ht="16.5" spans="1:9">
      <c r="A19" s="5" t="s">
        <v>461</v>
      </c>
      <c r="B19" s="5" t="s">
        <v>550</v>
      </c>
      <c r="C19" s="5">
        <v>2</v>
      </c>
      <c r="D19" s="5" t="s">
        <v>126</v>
      </c>
      <c r="E19" s="3" t="s">
        <v>124</v>
      </c>
      <c r="F19" s="3" t="s">
        <v>1805</v>
      </c>
      <c r="G19" s="3" t="s">
        <v>123</v>
      </c>
      <c r="H19" s="3" t="s">
        <v>128</v>
      </c>
      <c r="I19" s="3" t="s">
        <v>1806</v>
      </c>
    </row>
    <row r="20" ht="16.5" spans="1:9">
      <c r="A20" s="5" t="s">
        <v>461</v>
      </c>
      <c r="B20" s="5" t="s">
        <v>550</v>
      </c>
      <c r="C20" s="5">
        <v>3</v>
      </c>
      <c r="D20" s="5" t="s">
        <v>313</v>
      </c>
      <c r="E20" s="3" t="s">
        <v>1775</v>
      </c>
      <c r="F20" s="3" t="s">
        <v>1807</v>
      </c>
      <c r="G20" s="3" t="s">
        <v>5</v>
      </c>
      <c r="H20" s="3" t="s">
        <v>315</v>
      </c>
      <c r="I20" s="3" t="s">
        <v>1776</v>
      </c>
    </row>
    <row r="21" ht="16.5" spans="1:9">
      <c r="A21" s="5" t="s">
        <v>260</v>
      </c>
      <c r="B21" s="5" t="s">
        <v>556</v>
      </c>
      <c r="C21" s="5">
        <v>1</v>
      </c>
      <c r="D21" s="5" t="s">
        <v>1808</v>
      </c>
      <c r="E21" s="3" t="s">
        <v>556</v>
      </c>
      <c r="F21" s="3" t="s">
        <v>1770</v>
      </c>
      <c r="G21" s="3" t="s">
        <v>260</v>
      </c>
      <c r="H21" s="3" t="s">
        <v>514</v>
      </c>
      <c r="I21" s="3" t="s">
        <v>556</v>
      </c>
    </row>
    <row r="22" ht="16.5" spans="1:9">
      <c r="A22" s="5" t="s">
        <v>260</v>
      </c>
      <c r="B22" s="5" t="s">
        <v>556</v>
      </c>
      <c r="C22" s="5">
        <v>2</v>
      </c>
      <c r="D22" s="5" t="s">
        <v>348</v>
      </c>
      <c r="E22" s="3" t="s">
        <v>1809</v>
      </c>
      <c r="F22" s="3" t="s">
        <v>1810</v>
      </c>
      <c r="G22" s="3" t="s">
        <v>346</v>
      </c>
      <c r="H22" s="3" t="s">
        <v>315</v>
      </c>
      <c r="I22" s="3" t="s">
        <v>1811</v>
      </c>
    </row>
    <row r="23" ht="16.5" spans="1:9">
      <c r="A23" s="5" t="s">
        <v>260</v>
      </c>
      <c r="B23" s="5" t="s">
        <v>556</v>
      </c>
      <c r="C23" s="5">
        <v>3</v>
      </c>
      <c r="D23" s="5" t="s">
        <v>313</v>
      </c>
      <c r="E23" s="3" t="s">
        <v>1812</v>
      </c>
      <c r="F23" s="3" t="s">
        <v>1807</v>
      </c>
      <c r="G23" s="3" t="s">
        <v>5</v>
      </c>
      <c r="H23" s="3" t="s">
        <v>315</v>
      </c>
      <c r="I23" s="3" t="s">
        <v>1813</v>
      </c>
    </row>
    <row r="24" ht="16.5" spans="1:9">
      <c r="A24" s="5" t="s">
        <v>268</v>
      </c>
      <c r="B24" s="5" t="s">
        <v>561</v>
      </c>
      <c r="C24" s="5">
        <v>1</v>
      </c>
      <c r="D24" s="5" t="s">
        <v>1814</v>
      </c>
      <c r="E24" s="3" t="s">
        <v>561</v>
      </c>
      <c r="F24" s="3" t="s">
        <v>1770</v>
      </c>
      <c r="G24" s="3" t="s">
        <v>268</v>
      </c>
      <c r="H24" s="3" t="s">
        <v>514</v>
      </c>
      <c r="I24" s="3" t="s">
        <v>561</v>
      </c>
    </row>
    <row r="25" ht="33" spans="1:9">
      <c r="A25" s="5" t="s">
        <v>268</v>
      </c>
      <c r="B25" s="5" t="s">
        <v>561</v>
      </c>
      <c r="C25" s="5">
        <v>2</v>
      </c>
      <c r="D25" s="5" t="s">
        <v>264</v>
      </c>
      <c r="E25" s="3" t="s">
        <v>1815</v>
      </c>
      <c r="F25" s="3" t="s">
        <v>1816</v>
      </c>
      <c r="G25" s="3" t="s">
        <v>262</v>
      </c>
      <c r="H25" s="3" t="s">
        <v>232</v>
      </c>
      <c r="I25" s="3" t="s">
        <v>1817</v>
      </c>
    </row>
    <row r="26" ht="16.5" spans="1:9">
      <c r="A26" s="5" t="s">
        <v>268</v>
      </c>
      <c r="B26" s="5" t="s">
        <v>561</v>
      </c>
      <c r="C26" s="5">
        <v>3</v>
      </c>
      <c r="D26" s="5" t="s">
        <v>365</v>
      </c>
      <c r="E26" s="3" t="s">
        <v>364</v>
      </c>
      <c r="F26" s="3" t="s">
        <v>1818</v>
      </c>
      <c r="G26" s="3" t="s">
        <v>363</v>
      </c>
      <c r="H26" s="3" t="s">
        <v>1819</v>
      </c>
      <c r="I26" s="3" t="s">
        <v>1820</v>
      </c>
    </row>
    <row r="27" ht="16.5" spans="1:9">
      <c r="A27" s="5" t="s">
        <v>566</v>
      </c>
      <c r="B27" s="5" t="s">
        <v>567</v>
      </c>
      <c r="C27" s="5">
        <v>1</v>
      </c>
      <c r="D27" s="5" t="s">
        <v>1821</v>
      </c>
      <c r="E27" s="3" t="s">
        <v>567</v>
      </c>
      <c r="F27" s="3" t="s">
        <v>1770</v>
      </c>
      <c r="G27" s="3" t="s">
        <v>566</v>
      </c>
      <c r="H27" s="3" t="s">
        <v>570</v>
      </c>
      <c r="I27" s="3" t="s">
        <v>1822</v>
      </c>
    </row>
    <row r="28" ht="16.5" spans="1:9">
      <c r="A28" s="5" t="s">
        <v>566</v>
      </c>
      <c r="B28" s="5" t="s">
        <v>567</v>
      </c>
      <c r="C28" s="5">
        <v>2</v>
      </c>
      <c r="D28" s="5" t="s">
        <v>313</v>
      </c>
      <c r="E28" s="3" t="s">
        <v>312</v>
      </c>
      <c r="F28" s="3" t="s">
        <v>1823</v>
      </c>
      <c r="G28" s="3" t="s">
        <v>5</v>
      </c>
      <c r="H28" s="3" t="s">
        <v>315</v>
      </c>
      <c r="I28" s="3" t="s">
        <v>1824</v>
      </c>
    </row>
    <row r="29" ht="16.5" spans="1:9">
      <c r="A29" s="5" t="s">
        <v>566</v>
      </c>
      <c r="B29" s="5" t="s">
        <v>567</v>
      </c>
      <c r="C29" s="5">
        <v>3</v>
      </c>
      <c r="D29" s="5" t="s">
        <v>1214</v>
      </c>
      <c r="E29" s="3" t="s">
        <v>1213</v>
      </c>
      <c r="F29" s="3" t="s">
        <v>1825</v>
      </c>
      <c r="G29" s="3" t="s">
        <v>1212</v>
      </c>
      <c r="H29" s="3" t="s">
        <v>1216</v>
      </c>
      <c r="I29" s="3" t="s">
        <v>1826</v>
      </c>
    </row>
    <row r="30" ht="16.5" spans="1:9">
      <c r="A30" s="5" t="s">
        <v>432</v>
      </c>
      <c r="B30" s="5" t="s">
        <v>574</v>
      </c>
      <c r="C30" s="5">
        <v>1</v>
      </c>
      <c r="D30" s="5" t="s">
        <v>1827</v>
      </c>
      <c r="E30" s="3" t="s">
        <v>574</v>
      </c>
      <c r="F30" s="3" t="s">
        <v>1770</v>
      </c>
      <c r="G30" s="3" t="s">
        <v>432</v>
      </c>
      <c r="H30" s="3" t="s">
        <v>514</v>
      </c>
      <c r="I30" s="3" t="s">
        <v>574</v>
      </c>
    </row>
    <row r="31" ht="49.5" spans="1:9">
      <c r="A31" s="5" t="s">
        <v>432</v>
      </c>
      <c r="B31" s="5" t="s">
        <v>574</v>
      </c>
      <c r="C31" s="5">
        <v>2</v>
      </c>
      <c r="D31" s="5" t="s">
        <v>426</v>
      </c>
      <c r="E31" s="3" t="s">
        <v>1828</v>
      </c>
      <c r="F31" s="3" t="s">
        <v>1829</v>
      </c>
      <c r="G31" s="3" t="s">
        <v>424</v>
      </c>
      <c r="H31" s="3" t="s">
        <v>428</v>
      </c>
      <c r="I31" s="3" t="s">
        <v>1830</v>
      </c>
    </row>
    <row r="32" ht="66" spans="1:9">
      <c r="A32" s="5" t="s">
        <v>432</v>
      </c>
      <c r="B32" s="5" t="s">
        <v>574</v>
      </c>
      <c r="C32" s="5">
        <v>3</v>
      </c>
      <c r="D32" s="5" t="s">
        <v>437</v>
      </c>
      <c r="E32" s="3" t="s">
        <v>1831</v>
      </c>
      <c r="F32" s="3" t="s">
        <v>1832</v>
      </c>
      <c r="G32" s="3" t="s">
        <v>435</v>
      </c>
      <c r="H32" s="3" t="s">
        <v>428</v>
      </c>
      <c r="I32" s="3" t="s">
        <v>1833</v>
      </c>
    </row>
    <row r="33" ht="16.5" spans="1:9">
      <c r="A33" s="5" t="s">
        <v>579</v>
      </c>
      <c r="B33" s="5" t="s">
        <v>580</v>
      </c>
      <c r="C33" s="5">
        <v>1</v>
      </c>
      <c r="D33" s="5" t="s">
        <v>1834</v>
      </c>
      <c r="E33" s="3" t="s">
        <v>580</v>
      </c>
      <c r="F33" s="3" t="s">
        <v>1770</v>
      </c>
      <c r="G33" s="3" t="s">
        <v>579</v>
      </c>
      <c r="H33" s="3" t="s">
        <v>570</v>
      </c>
      <c r="I33" s="3" t="s">
        <v>1835</v>
      </c>
    </row>
    <row r="34" ht="16.5" spans="1:9">
      <c r="A34" s="5" t="s">
        <v>579</v>
      </c>
      <c r="B34" s="5" t="s">
        <v>580</v>
      </c>
      <c r="C34" s="5">
        <v>2</v>
      </c>
      <c r="D34" s="5" t="s">
        <v>313</v>
      </c>
      <c r="E34" s="3" t="s">
        <v>312</v>
      </c>
      <c r="F34" s="3" t="s">
        <v>1823</v>
      </c>
      <c r="G34" s="3" t="s">
        <v>5</v>
      </c>
      <c r="H34" s="3" t="s">
        <v>315</v>
      </c>
      <c r="I34" s="3" t="s">
        <v>1824</v>
      </c>
    </row>
    <row r="35" ht="16.5" spans="1:9">
      <c r="A35" s="5" t="s">
        <v>579</v>
      </c>
      <c r="B35" s="5" t="s">
        <v>580</v>
      </c>
      <c r="C35" s="5">
        <v>3</v>
      </c>
      <c r="D35" s="5" t="s">
        <v>1222</v>
      </c>
      <c r="E35" s="3" t="s">
        <v>1221</v>
      </c>
      <c r="F35" s="3" t="s">
        <v>1836</v>
      </c>
      <c r="G35" s="3" t="s">
        <v>1220</v>
      </c>
      <c r="H35" s="3" t="s">
        <v>1216</v>
      </c>
      <c r="I35" s="3" t="s">
        <v>1837</v>
      </c>
    </row>
    <row r="36" ht="16.5" spans="1:9">
      <c r="A36" s="5" t="s">
        <v>415</v>
      </c>
      <c r="B36" s="5" t="s">
        <v>586</v>
      </c>
      <c r="C36" s="5">
        <v>0</v>
      </c>
      <c r="D36" s="5" t="s">
        <v>132</v>
      </c>
      <c r="E36" s="3" t="s">
        <v>1769</v>
      </c>
      <c r="F36" s="3" t="s">
        <v>1770</v>
      </c>
      <c r="G36" s="3" t="s">
        <v>415</v>
      </c>
      <c r="H36" s="3" t="s">
        <v>284</v>
      </c>
      <c r="I36" s="3" t="s">
        <v>1365</v>
      </c>
    </row>
    <row r="37" ht="33" spans="1:9">
      <c r="A37" s="5" t="s">
        <v>395</v>
      </c>
      <c r="B37" s="5" t="s">
        <v>589</v>
      </c>
      <c r="C37" s="5">
        <v>1</v>
      </c>
      <c r="D37" s="5" t="s">
        <v>1838</v>
      </c>
      <c r="E37" s="3" t="s">
        <v>1839</v>
      </c>
      <c r="F37" s="3" t="s">
        <v>1770</v>
      </c>
      <c r="G37" s="3" t="s">
        <v>395</v>
      </c>
      <c r="H37" s="3" t="s">
        <v>1840</v>
      </c>
      <c r="I37" s="3" t="s">
        <v>1841</v>
      </c>
    </row>
    <row r="38" ht="33" spans="1:9">
      <c r="A38" s="5" t="s">
        <v>395</v>
      </c>
      <c r="B38" s="5" t="s">
        <v>589</v>
      </c>
      <c r="C38" s="5">
        <v>2</v>
      </c>
      <c r="D38" s="5" t="s">
        <v>313</v>
      </c>
      <c r="E38" s="3" t="s">
        <v>312</v>
      </c>
      <c r="F38" s="3" t="s">
        <v>1823</v>
      </c>
      <c r="G38" s="3" t="s">
        <v>5</v>
      </c>
      <c r="H38" s="3" t="s">
        <v>315</v>
      </c>
      <c r="I38" s="3" t="s">
        <v>1824</v>
      </c>
    </row>
    <row r="39" ht="33" spans="1:9">
      <c r="A39" s="5" t="s">
        <v>395</v>
      </c>
      <c r="B39" s="5" t="s">
        <v>589</v>
      </c>
      <c r="C39" s="5">
        <v>3</v>
      </c>
      <c r="D39" s="5" t="s">
        <v>1151</v>
      </c>
      <c r="E39" s="3" t="s">
        <v>1842</v>
      </c>
      <c r="F39" s="3" t="s">
        <v>1843</v>
      </c>
      <c r="G39" s="3" t="s">
        <v>1198</v>
      </c>
      <c r="H39" s="3" t="s">
        <v>1844</v>
      </c>
      <c r="I39" s="3" t="s">
        <v>1845</v>
      </c>
    </row>
    <row r="40" ht="16.5" spans="1:9">
      <c r="A40" s="5" t="s">
        <v>596</v>
      </c>
      <c r="B40" s="5" t="s">
        <v>597</v>
      </c>
      <c r="C40" s="5">
        <v>1</v>
      </c>
      <c r="D40" s="5" t="s">
        <v>1846</v>
      </c>
      <c r="E40" s="3" t="s">
        <v>597</v>
      </c>
      <c r="F40" s="3" t="s">
        <v>1770</v>
      </c>
      <c r="G40" s="3" t="s">
        <v>596</v>
      </c>
      <c r="H40" s="3" t="s">
        <v>1847</v>
      </c>
      <c r="I40" s="3" t="s">
        <v>1848</v>
      </c>
    </row>
    <row r="41" ht="16.5" spans="1:9">
      <c r="A41" s="5" t="s">
        <v>596</v>
      </c>
      <c r="B41" s="5" t="s">
        <v>597</v>
      </c>
      <c r="C41" s="5">
        <v>2</v>
      </c>
      <c r="D41" s="5" t="s">
        <v>230</v>
      </c>
      <c r="E41" s="3" t="s">
        <v>1849</v>
      </c>
      <c r="F41" s="3" t="s">
        <v>1850</v>
      </c>
      <c r="G41" s="3" t="s">
        <v>228</v>
      </c>
      <c r="H41" s="3" t="s">
        <v>232</v>
      </c>
      <c r="I41" s="3" t="s">
        <v>1851</v>
      </c>
    </row>
    <row r="42" ht="33" spans="1:9">
      <c r="A42" s="5" t="s">
        <v>596</v>
      </c>
      <c r="B42" s="5" t="s">
        <v>597</v>
      </c>
      <c r="C42" s="5">
        <v>3</v>
      </c>
      <c r="D42" s="5" t="s">
        <v>1151</v>
      </c>
      <c r="E42" s="3" t="s">
        <v>1842</v>
      </c>
      <c r="F42" s="3" t="s">
        <v>1843</v>
      </c>
      <c r="G42" s="3" t="s">
        <v>1198</v>
      </c>
      <c r="H42" s="3" t="s">
        <v>1844</v>
      </c>
      <c r="I42" s="3" t="s">
        <v>1845</v>
      </c>
    </row>
    <row r="43" ht="16.5" spans="1:9">
      <c r="A43" s="5" t="s">
        <v>604</v>
      </c>
      <c r="B43" s="5" t="s">
        <v>605</v>
      </c>
      <c r="C43" s="5">
        <v>1</v>
      </c>
      <c r="D43" s="5" t="s">
        <v>1852</v>
      </c>
      <c r="E43" s="3" t="s">
        <v>605</v>
      </c>
      <c r="F43" s="3" t="s">
        <v>1770</v>
      </c>
      <c r="G43" s="3" t="s">
        <v>604</v>
      </c>
      <c r="H43" s="3" t="s">
        <v>1853</v>
      </c>
      <c r="I43" s="3" t="s">
        <v>1854</v>
      </c>
    </row>
    <row r="44" ht="33" spans="1:9">
      <c r="A44" s="5" t="s">
        <v>604</v>
      </c>
      <c r="B44" s="5" t="s">
        <v>605</v>
      </c>
      <c r="C44" s="5">
        <v>2</v>
      </c>
      <c r="D44" s="5" t="s">
        <v>282</v>
      </c>
      <c r="E44" s="3" t="s">
        <v>1855</v>
      </c>
      <c r="F44" s="3" t="s">
        <v>1856</v>
      </c>
      <c r="G44" s="3" t="s">
        <v>280</v>
      </c>
      <c r="H44" s="3" t="s">
        <v>220</v>
      </c>
      <c r="I44" s="3" t="s">
        <v>1857</v>
      </c>
    </row>
    <row r="45" ht="33" spans="1:9">
      <c r="A45" s="5" t="s">
        <v>604</v>
      </c>
      <c r="B45" s="5" t="s">
        <v>605</v>
      </c>
      <c r="C45" s="5">
        <v>3</v>
      </c>
      <c r="D45" s="5" t="s">
        <v>1151</v>
      </c>
      <c r="E45" s="3" t="s">
        <v>1842</v>
      </c>
      <c r="F45" s="3" t="s">
        <v>1843</v>
      </c>
      <c r="G45" s="3" t="s">
        <v>1198</v>
      </c>
      <c r="H45" s="3" t="s">
        <v>1844</v>
      </c>
      <c r="I45" s="3" t="s">
        <v>1845</v>
      </c>
    </row>
    <row r="46" ht="16.5" spans="1:9">
      <c r="A46" s="5" t="s">
        <v>389</v>
      </c>
      <c r="B46" s="5" t="s">
        <v>611</v>
      </c>
      <c r="C46" s="5">
        <v>1</v>
      </c>
      <c r="D46" s="5" t="s">
        <v>1858</v>
      </c>
      <c r="E46" s="3" t="s">
        <v>611</v>
      </c>
      <c r="F46" s="3" t="s">
        <v>1770</v>
      </c>
      <c r="G46" s="3" t="s">
        <v>389</v>
      </c>
      <c r="H46" s="3" t="s">
        <v>1859</v>
      </c>
      <c r="I46" s="3" t="s">
        <v>1860</v>
      </c>
    </row>
    <row r="47" ht="16.5" spans="1:9">
      <c r="A47" s="5" t="s">
        <v>389</v>
      </c>
      <c r="B47" s="5" t="s">
        <v>611</v>
      </c>
      <c r="C47" s="5">
        <v>2</v>
      </c>
      <c r="D47" s="5" t="s">
        <v>272</v>
      </c>
      <c r="E47" s="3" t="s">
        <v>1861</v>
      </c>
      <c r="F47" s="3" t="s">
        <v>1862</v>
      </c>
      <c r="G47" s="3" t="s">
        <v>270</v>
      </c>
      <c r="H47" s="3" t="s">
        <v>274</v>
      </c>
      <c r="I47" s="3" t="s">
        <v>1863</v>
      </c>
    </row>
    <row r="48" ht="33" spans="1:9">
      <c r="A48" s="5" t="s">
        <v>389</v>
      </c>
      <c r="B48" s="5" t="s">
        <v>611</v>
      </c>
      <c r="C48" s="5">
        <v>3</v>
      </c>
      <c r="D48" s="5" t="s">
        <v>1151</v>
      </c>
      <c r="E48" s="3" t="s">
        <v>1842</v>
      </c>
      <c r="F48" s="3" t="s">
        <v>1843</v>
      </c>
      <c r="G48" s="3" t="s">
        <v>1198</v>
      </c>
      <c r="H48" s="3" t="s">
        <v>1844</v>
      </c>
      <c r="I48" s="3" t="s">
        <v>1845</v>
      </c>
    </row>
    <row r="49" ht="16.5" spans="1:9">
      <c r="A49" s="5" t="s">
        <v>617</v>
      </c>
      <c r="B49" s="5" t="s">
        <v>618</v>
      </c>
      <c r="C49" s="5">
        <v>1</v>
      </c>
      <c r="D49" s="5" t="s">
        <v>1864</v>
      </c>
      <c r="E49" s="3" t="s">
        <v>618</v>
      </c>
      <c r="F49" s="3" t="s">
        <v>1770</v>
      </c>
      <c r="G49" s="3" t="s">
        <v>617</v>
      </c>
      <c r="H49" s="3" t="s">
        <v>1865</v>
      </c>
      <c r="I49" s="3" t="s">
        <v>1866</v>
      </c>
    </row>
    <row r="50" ht="16.5" spans="1:9">
      <c r="A50" s="5" t="s">
        <v>617</v>
      </c>
      <c r="B50" s="5" t="s">
        <v>618</v>
      </c>
      <c r="C50" s="5">
        <v>2</v>
      </c>
      <c r="D50" s="5" t="s">
        <v>404</v>
      </c>
      <c r="E50" s="3" t="s">
        <v>1867</v>
      </c>
      <c r="F50" s="3" t="s">
        <v>1868</v>
      </c>
      <c r="G50" s="3" t="s">
        <v>402</v>
      </c>
      <c r="H50" s="3" t="s">
        <v>284</v>
      </c>
      <c r="I50" s="3" t="s">
        <v>1869</v>
      </c>
    </row>
    <row r="51" ht="33" spans="1:9">
      <c r="A51" s="5" t="s">
        <v>617</v>
      </c>
      <c r="B51" s="5" t="s">
        <v>618</v>
      </c>
      <c r="C51" s="5">
        <v>3</v>
      </c>
      <c r="D51" s="5" t="s">
        <v>1151</v>
      </c>
      <c r="E51" s="3" t="s">
        <v>1842</v>
      </c>
      <c r="F51" s="3" t="s">
        <v>1843</v>
      </c>
      <c r="G51" s="3" t="s">
        <v>1198</v>
      </c>
      <c r="H51" s="3" t="s">
        <v>1844</v>
      </c>
      <c r="I51" s="3" t="s">
        <v>1845</v>
      </c>
    </row>
    <row r="52" ht="16.5" spans="1:9">
      <c r="A52" s="5" t="s">
        <v>624</v>
      </c>
      <c r="B52" s="5" t="s">
        <v>625</v>
      </c>
      <c r="C52" s="5">
        <v>1</v>
      </c>
      <c r="D52" s="5" t="s">
        <v>1870</v>
      </c>
      <c r="E52" s="3" t="s">
        <v>1871</v>
      </c>
      <c r="F52" s="3" t="s">
        <v>1770</v>
      </c>
      <c r="G52" s="3" t="s">
        <v>624</v>
      </c>
      <c r="H52" s="3" t="s">
        <v>629</v>
      </c>
      <c r="I52" s="3" t="s">
        <v>1872</v>
      </c>
    </row>
    <row r="53" ht="33" spans="1:9">
      <c r="A53" s="5" t="s">
        <v>624</v>
      </c>
      <c r="B53" s="5" t="s">
        <v>625</v>
      </c>
      <c r="C53" s="5">
        <v>2</v>
      </c>
      <c r="D53" s="5" t="s">
        <v>1873</v>
      </c>
      <c r="E53" s="3" t="s">
        <v>1874</v>
      </c>
      <c r="F53" s="3" t="s">
        <v>1875</v>
      </c>
      <c r="G53" s="3" t="s">
        <v>368</v>
      </c>
      <c r="H53" s="3" t="s">
        <v>232</v>
      </c>
      <c r="I53" s="3" t="s">
        <v>1876</v>
      </c>
    </row>
    <row r="54" ht="33" spans="1:9">
      <c r="A54" s="5" t="s">
        <v>624</v>
      </c>
      <c r="B54" s="5" t="s">
        <v>625</v>
      </c>
      <c r="C54" s="5">
        <v>3</v>
      </c>
      <c r="D54" s="5" t="s">
        <v>1877</v>
      </c>
      <c r="E54" s="3" t="s">
        <v>1878</v>
      </c>
      <c r="F54" s="3" t="s">
        <v>1843</v>
      </c>
      <c r="G54" s="3" t="s">
        <v>1198</v>
      </c>
      <c r="H54" s="3" t="s">
        <v>284</v>
      </c>
      <c r="I54" s="3" t="s">
        <v>1879</v>
      </c>
    </row>
    <row r="55" ht="16.5" spans="1:9">
      <c r="A55" s="5" t="s">
        <v>632</v>
      </c>
      <c r="B55" s="5" t="s">
        <v>633</v>
      </c>
      <c r="C55" s="5">
        <v>1</v>
      </c>
      <c r="D55" s="5" t="s">
        <v>1880</v>
      </c>
      <c r="E55" s="3" t="s">
        <v>1881</v>
      </c>
      <c r="F55" s="3" t="s">
        <v>1770</v>
      </c>
      <c r="G55" s="3" t="s">
        <v>632</v>
      </c>
      <c r="H55" s="3" t="s">
        <v>629</v>
      </c>
      <c r="I55" s="3" t="s">
        <v>1882</v>
      </c>
    </row>
    <row r="56" ht="33" spans="1:9">
      <c r="A56" s="5" t="s">
        <v>632</v>
      </c>
      <c r="B56" s="5" t="s">
        <v>633</v>
      </c>
      <c r="C56" s="5">
        <v>2</v>
      </c>
      <c r="D56" s="5" t="s">
        <v>1883</v>
      </c>
      <c r="E56" s="3" t="s">
        <v>1874</v>
      </c>
      <c r="F56" s="3" t="s">
        <v>1875</v>
      </c>
      <c r="G56" s="3" t="s">
        <v>368</v>
      </c>
      <c r="H56" s="3" t="s">
        <v>232</v>
      </c>
      <c r="I56" s="3" t="s">
        <v>1876</v>
      </c>
    </row>
    <row r="57" ht="33" spans="1:9">
      <c r="A57" s="5" t="s">
        <v>632</v>
      </c>
      <c r="B57" s="5" t="s">
        <v>633</v>
      </c>
      <c r="C57" s="5">
        <v>3</v>
      </c>
      <c r="D57" s="5" t="s">
        <v>1884</v>
      </c>
      <c r="E57" s="3" t="s">
        <v>1885</v>
      </c>
      <c r="F57" s="3" t="s">
        <v>1843</v>
      </c>
      <c r="G57" s="3" t="s">
        <v>1198</v>
      </c>
      <c r="H57" s="3" t="s">
        <v>284</v>
      </c>
      <c r="I57" s="3" t="s">
        <v>1886</v>
      </c>
    </row>
    <row r="58" ht="16.5" spans="1:9">
      <c r="A58" s="5" t="s">
        <v>637</v>
      </c>
      <c r="B58" s="5" t="s">
        <v>638</v>
      </c>
      <c r="C58" s="5">
        <v>1</v>
      </c>
      <c r="D58" s="5" t="s">
        <v>1887</v>
      </c>
      <c r="E58" s="3" t="s">
        <v>1888</v>
      </c>
      <c r="F58" s="3" t="s">
        <v>1770</v>
      </c>
      <c r="G58" s="3" t="s">
        <v>637</v>
      </c>
      <c r="H58" s="3" t="s">
        <v>629</v>
      </c>
      <c r="I58" s="3" t="s">
        <v>1889</v>
      </c>
    </row>
    <row r="59" ht="33" spans="1:9">
      <c r="A59" s="5" t="s">
        <v>637</v>
      </c>
      <c r="B59" s="5" t="s">
        <v>638</v>
      </c>
      <c r="C59" s="5">
        <v>2</v>
      </c>
      <c r="D59" s="5" t="s">
        <v>1890</v>
      </c>
      <c r="E59" s="3" t="s">
        <v>1891</v>
      </c>
      <c r="F59" s="3" t="s">
        <v>1875</v>
      </c>
      <c r="G59" s="3" t="s">
        <v>368</v>
      </c>
      <c r="H59" s="3" t="s">
        <v>232</v>
      </c>
      <c r="I59" s="3" t="s">
        <v>1892</v>
      </c>
    </row>
    <row r="60" ht="33" spans="1:9">
      <c r="A60" s="5" t="s">
        <v>637</v>
      </c>
      <c r="B60" s="5" t="s">
        <v>638</v>
      </c>
      <c r="C60" s="5">
        <v>3</v>
      </c>
      <c r="D60" s="5" t="s">
        <v>1893</v>
      </c>
      <c r="E60" s="3" t="s">
        <v>1894</v>
      </c>
      <c r="F60" s="3" t="s">
        <v>1843</v>
      </c>
      <c r="G60" s="3" t="s">
        <v>1198</v>
      </c>
      <c r="H60" s="3" t="s">
        <v>284</v>
      </c>
      <c r="I60" s="3" t="s">
        <v>1895</v>
      </c>
    </row>
    <row r="61" ht="16.5" spans="1:9">
      <c r="A61" s="5" t="s">
        <v>642</v>
      </c>
      <c r="B61" s="5" t="s">
        <v>643</v>
      </c>
      <c r="C61" s="5">
        <v>1</v>
      </c>
      <c r="D61" s="5" t="s">
        <v>1896</v>
      </c>
      <c r="E61" s="3" t="s">
        <v>1897</v>
      </c>
      <c r="F61" s="3" t="s">
        <v>1770</v>
      </c>
      <c r="G61" s="3" t="s">
        <v>642</v>
      </c>
      <c r="H61" s="3" t="s">
        <v>629</v>
      </c>
      <c r="I61" s="3" t="s">
        <v>1898</v>
      </c>
    </row>
    <row r="62" ht="33" spans="1:9">
      <c r="A62" s="5" t="s">
        <v>642</v>
      </c>
      <c r="B62" s="5" t="s">
        <v>643</v>
      </c>
      <c r="C62" s="5">
        <v>2</v>
      </c>
      <c r="D62" s="5" t="s">
        <v>1899</v>
      </c>
      <c r="E62" s="3" t="s">
        <v>1891</v>
      </c>
      <c r="F62" s="3" t="s">
        <v>1875</v>
      </c>
      <c r="G62" s="3" t="s">
        <v>368</v>
      </c>
      <c r="H62" s="3" t="s">
        <v>232</v>
      </c>
      <c r="I62" s="3" t="s">
        <v>1892</v>
      </c>
    </row>
    <row r="63" ht="33" spans="1:9">
      <c r="A63" s="5" t="s">
        <v>642</v>
      </c>
      <c r="B63" s="5" t="s">
        <v>643</v>
      </c>
      <c r="C63" s="5">
        <v>3</v>
      </c>
      <c r="D63" s="5" t="s">
        <v>1900</v>
      </c>
      <c r="E63" s="3" t="s">
        <v>1901</v>
      </c>
      <c r="F63" s="3" t="s">
        <v>1843</v>
      </c>
      <c r="G63" s="3" t="s">
        <v>1198</v>
      </c>
      <c r="H63" s="3" t="s">
        <v>284</v>
      </c>
      <c r="I63" s="3" t="s">
        <v>1902</v>
      </c>
    </row>
    <row r="64" ht="16.5" spans="1:9">
      <c r="A64" s="5" t="s">
        <v>647</v>
      </c>
      <c r="B64" s="5" t="s">
        <v>648</v>
      </c>
      <c r="C64" s="5">
        <v>1</v>
      </c>
      <c r="D64" s="5" t="s">
        <v>1903</v>
      </c>
      <c r="E64" s="3" t="s">
        <v>1904</v>
      </c>
      <c r="F64" s="3" t="s">
        <v>1770</v>
      </c>
      <c r="G64" s="3" t="s">
        <v>647</v>
      </c>
      <c r="H64" s="3" t="s">
        <v>629</v>
      </c>
      <c r="I64" s="3" t="s">
        <v>1905</v>
      </c>
    </row>
    <row r="65" ht="33" spans="1:9">
      <c r="A65" s="5" t="s">
        <v>647</v>
      </c>
      <c r="B65" s="5" t="s">
        <v>648</v>
      </c>
      <c r="C65" s="5">
        <v>2</v>
      </c>
      <c r="D65" s="5" t="s">
        <v>1906</v>
      </c>
      <c r="E65" s="3" t="s">
        <v>1907</v>
      </c>
      <c r="F65" s="3" t="s">
        <v>1875</v>
      </c>
      <c r="G65" s="3" t="s">
        <v>368</v>
      </c>
      <c r="H65" s="3" t="s">
        <v>232</v>
      </c>
      <c r="I65" s="3" t="s">
        <v>1908</v>
      </c>
    </row>
    <row r="66" ht="33" spans="1:9">
      <c r="A66" s="5" t="s">
        <v>647</v>
      </c>
      <c r="B66" s="5" t="s">
        <v>648</v>
      </c>
      <c r="C66" s="5">
        <v>3</v>
      </c>
      <c r="D66" s="5" t="s">
        <v>1909</v>
      </c>
      <c r="E66" s="3" t="s">
        <v>1910</v>
      </c>
      <c r="F66" s="3" t="s">
        <v>1843</v>
      </c>
      <c r="G66" s="3" t="s">
        <v>1198</v>
      </c>
      <c r="H66" s="3" t="s">
        <v>284</v>
      </c>
      <c r="I66" s="3" t="s">
        <v>1911</v>
      </c>
    </row>
    <row r="67" ht="16.5" spans="1:9">
      <c r="A67" s="5" t="s">
        <v>652</v>
      </c>
      <c r="B67" s="5" t="s">
        <v>653</v>
      </c>
      <c r="C67" s="5">
        <v>1</v>
      </c>
      <c r="D67" s="5" t="s">
        <v>1912</v>
      </c>
      <c r="E67" s="3" t="s">
        <v>1913</v>
      </c>
      <c r="F67" s="3" t="s">
        <v>1770</v>
      </c>
      <c r="G67" s="3" t="s">
        <v>652</v>
      </c>
      <c r="H67" s="3" t="s">
        <v>629</v>
      </c>
      <c r="I67" s="3" t="s">
        <v>1914</v>
      </c>
    </row>
    <row r="68" ht="33" spans="1:9">
      <c r="A68" s="5" t="s">
        <v>652</v>
      </c>
      <c r="B68" s="5" t="s">
        <v>653</v>
      </c>
      <c r="C68" s="5">
        <v>2</v>
      </c>
      <c r="D68" s="5" t="s">
        <v>1915</v>
      </c>
      <c r="E68" s="3" t="s">
        <v>1907</v>
      </c>
      <c r="F68" s="3" t="s">
        <v>1875</v>
      </c>
      <c r="G68" s="3" t="s">
        <v>368</v>
      </c>
      <c r="H68" s="3" t="s">
        <v>232</v>
      </c>
      <c r="I68" s="3" t="s">
        <v>1908</v>
      </c>
    </row>
    <row r="69" ht="33" spans="1:9">
      <c r="A69" s="5" t="s">
        <v>652</v>
      </c>
      <c r="B69" s="5" t="s">
        <v>653</v>
      </c>
      <c r="C69" s="5">
        <v>3</v>
      </c>
      <c r="D69" s="5" t="s">
        <v>1916</v>
      </c>
      <c r="E69" s="3" t="s">
        <v>1917</v>
      </c>
      <c r="F69" s="3" t="s">
        <v>1843</v>
      </c>
      <c r="G69" s="3" t="s">
        <v>1198</v>
      </c>
      <c r="H69" s="3" t="s">
        <v>284</v>
      </c>
      <c r="I69" s="3" t="s">
        <v>1918</v>
      </c>
    </row>
    <row r="70" ht="16.5" spans="1:9">
      <c r="A70" s="5" t="s">
        <v>657</v>
      </c>
      <c r="B70" s="5" t="s">
        <v>658</v>
      </c>
      <c r="C70" s="5">
        <v>1</v>
      </c>
      <c r="D70" s="5" t="s">
        <v>1919</v>
      </c>
      <c r="E70" s="3" t="s">
        <v>1920</v>
      </c>
      <c r="F70" s="3" t="s">
        <v>1770</v>
      </c>
      <c r="G70" s="3" t="s">
        <v>657</v>
      </c>
      <c r="H70" s="3" t="s">
        <v>661</v>
      </c>
      <c r="I70" s="3" t="s">
        <v>1921</v>
      </c>
    </row>
    <row r="71" ht="33" spans="1:9">
      <c r="A71" s="5" t="s">
        <v>657</v>
      </c>
      <c r="B71" s="5" t="s">
        <v>658</v>
      </c>
      <c r="C71" s="5">
        <v>2</v>
      </c>
      <c r="D71" s="5" t="s">
        <v>1922</v>
      </c>
      <c r="E71" s="3" t="s">
        <v>1923</v>
      </c>
      <c r="F71" s="3" t="s">
        <v>1875</v>
      </c>
      <c r="G71" s="3" t="s">
        <v>368</v>
      </c>
      <c r="H71" s="3" t="s">
        <v>232</v>
      </c>
      <c r="I71" s="3" t="s">
        <v>1924</v>
      </c>
    </row>
    <row r="72" ht="33" spans="1:9">
      <c r="A72" s="5" t="s">
        <v>657</v>
      </c>
      <c r="B72" s="5" t="s">
        <v>658</v>
      </c>
      <c r="C72" s="5">
        <v>3</v>
      </c>
      <c r="D72" s="5" t="s">
        <v>1925</v>
      </c>
      <c r="E72" s="3" t="s">
        <v>1926</v>
      </c>
      <c r="F72" s="3" t="s">
        <v>1843</v>
      </c>
      <c r="G72" s="3" t="s">
        <v>1198</v>
      </c>
      <c r="H72" s="3" t="s">
        <v>1927</v>
      </c>
      <c r="I72" s="3" t="s">
        <v>1928</v>
      </c>
    </row>
    <row r="73" ht="16.5" spans="1:9">
      <c r="A73" s="5" t="s">
        <v>663</v>
      </c>
      <c r="B73" s="5" t="s">
        <v>664</v>
      </c>
      <c r="C73" s="5">
        <v>1</v>
      </c>
      <c r="D73" s="5" t="s">
        <v>1929</v>
      </c>
      <c r="E73" s="3" t="s">
        <v>1930</v>
      </c>
      <c r="F73" s="3" t="s">
        <v>1770</v>
      </c>
      <c r="G73" s="3" t="s">
        <v>663</v>
      </c>
      <c r="H73" s="3" t="s">
        <v>629</v>
      </c>
      <c r="I73" s="3" t="s">
        <v>1931</v>
      </c>
    </row>
    <row r="74" ht="33" spans="1:9">
      <c r="A74" s="5" t="s">
        <v>663</v>
      </c>
      <c r="B74" s="5" t="s">
        <v>664</v>
      </c>
      <c r="C74" s="5">
        <v>2</v>
      </c>
      <c r="D74" s="5" t="s">
        <v>1932</v>
      </c>
      <c r="E74" s="3" t="s">
        <v>1933</v>
      </c>
      <c r="F74" s="3" t="s">
        <v>1875</v>
      </c>
      <c r="G74" s="3" t="s">
        <v>368</v>
      </c>
      <c r="H74" s="3" t="s">
        <v>232</v>
      </c>
      <c r="I74" s="3" t="s">
        <v>1934</v>
      </c>
    </row>
    <row r="75" ht="33" spans="1:9">
      <c r="A75" s="5" t="s">
        <v>663</v>
      </c>
      <c r="B75" s="5" t="s">
        <v>664</v>
      </c>
      <c r="C75" s="5">
        <v>3</v>
      </c>
      <c r="D75" s="5" t="s">
        <v>1935</v>
      </c>
      <c r="E75" s="3" t="s">
        <v>1936</v>
      </c>
      <c r="F75" s="3" t="s">
        <v>1843</v>
      </c>
      <c r="G75" s="3" t="s">
        <v>1198</v>
      </c>
      <c r="H75" s="3" t="s">
        <v>284</v>
      </c>
      <c r="I75" s="3" t="s">
        <v>1937</v>
      </c>
    </row>
    <row r="76" ht="16.5" spans="1:9">
      <c r="A76" s="5" t="s">
        <v>668</v>
      </c>
      <c r="B76" s="5" t="s">
        <v>669</v>
      </c>
      <c r="C76" s="5">
        <v>1</v>
      </c>
      <c r="D76" s="5" t="s">
        <v>1938</v>
      </c>
      <c r="E76" s="3" t="s">
        <v>1939</v>
      </c>
      <c r="F76" s="3" t="s">
        <v>1770</v>
      </c>
      <c r="G76" s="3" t="s">
        <v>668</v>
      </c>
      <c r="H76" s="3" t="s">
        <v>629</v>
      </c>
      <c r="I76" s="3" t="s">
        <v>1940</v>
      </c>
    </row>
    <row r="77" ht="33" spans="1:9">
      <c r="A77" s="5" t="s">
        <v>668</v>
      </c>
      <c r="B77" s="5" t="s">
        <v>669</v>
      </c>
      <c r="C77" s="5">
        <v>2</v>
      </c>
      <c r="D77" s="5" t="s">
        <v>1941</v>
      </c>
      <c r="E77" s="3" t="s">
        <v>1933</v>
      </c>
      <c r="F77" s="3" t="s">
        <v>1875</v>
      </c>
      <c r="G77" s="3" t="s">
        <v>368</v>
      </c>
      <c r="H77" s="3" t="s">
        <v>232</v>
      </c>
      <c r="I77" s="3" t="s">
        <v>1934</v>
      </c>
    </row>
    <row r="78" ht="33" spans="1:9">
      <c r="A78" s="5" t="s">
        <v>668</v>
      </c>
      <c r="B78" s="5" t="s">
        <v>669</v>
      </c>
      <c r="C78" s="5">
        <v>3</v>
      </c>
      <c r="D78" s="5" t="s">
        <v>1942</v>
      </c>
      <c r="E78" s="3" t="s">
        <v>1943</v>
      </c>
      <c r="F78" s="3" t="s">
        <v>1843</v>
      </c>
      <c r="G78" s="3" t="s">
        <v>1198</v>
      </c>
      <c r="H78" s="3" t="s">
        <v>284</v>
      </c>
      <c r="I78" s="3" t="s">
        <v>1944</v>
      </c>
    </row>
    <row r="79" ht="16.5" spans="1:9">
      <c r="A79" s="5" t="s">
        <v>673</v>
      </c>
      <c r="B79" s="5" t="s">
        <v>674</v>
      </c>
      <c r="C79" s="5">
        <v>1</v>
      </c>
      <c r="D79" s="5" t="s">
        <v>1945</v>
      </c>
      <c r="E79" s="3" t="s">
        <v>1946</v>
      </c>
      <c r="F79" s="3" t="s">
        <v>1770</v>
      </c>
      <c r="G79" s="3" t="s">
        <v>673</v>
      </c>
      <c r="H79" s="3" t="s">
        <v>661</v>
      </c>
      <c r="I79" s="3" t="s">
        <v>1947</v>
      </c>
    </row>
    <row r="80" ht="33" spans="1:9">
      <c r="A80" s="5" t="s">
        <v>673</v>
      </c>
      <c r="B80" s="5" t="s">
        <v>674</v>
      </c>
      <c r="C80" s="5">
        <v>2</v>
      </c>
      <c r="D80" s="5" t="s">
        <v>1948</v>
      </c>
      <c r="E80" s="3" t="s">
        <v>1949</v>
      </c>
      <c r="F80" s="3" t="s">
        <v>1875</v>
      </c>
      <c r="G80" s="3" t="s">
        <v>368</v>
      </c>
      <c r="H80" s="3" t="s">
        <v>232</v>
      </c>
      <c r="I80" s="3" t="s">
        <v>1950</v>
      </c>
    </row>
    <row r="81" ht="33" spans="1:9">
      <c r="A81" s="5" t="s">
        <v>673</v>
      </c>
      <c r="B81" s="5" t="s">
        <v>674</v>
      </c>
      <c r="C81" s="5">
        <v>3</v>
      </c>
      <c r="D81" s="5" t="s">
        <v>1951</v>
      </c>
      <c r="E81" s="3" t="s">
        <v>1952</v>
      </c>
      <c r="F81" s="3" t="s">
        <v>1843</v>
      </c>
      <c r="G81" s="3" t="s">
        <v>1198</v>
      </c>
      <c r="H81" s="3" t="s">
        <v>1927</v>
      </c>
      <c r="I81" s="3" t="s">
        <v>1953</v>
      </c>
    </row>
    <row r="82" ht="16.5" spans="1:9">
      <c r="A82" s="5" t="s">
        <v>678</v>
      </c>
      <c r="B82" s="5" t="s">
        <v>679</v>
      </c>
      <c r="C82" s="5">
        <v>1</v>
      </c>
      <c r="D82" s="5" t="s">
        <v>1954</v>
      </c>
      <c r="E82" s="3" t="s">
        <v>1955</v>
      </c>
      <c r="F82" s="3" t="s">
        <v>1770</v>
      </c>
      <c r="G82" s="3" t="s">
        <v>678</v>
      </c>
      <c r="H82" s="3" t="s">
        <v>629</v>
      </c>
      <c r="I82" s="3" t="s">
        <v>1956</v>
      </c>
    </row>
    <row r="83" ht="33" spans="1:9">
      <c r="A83" s="5" t="s">
        <v>678</v>
      </c>
      <c r="B83" s="5" t="s">
        <v>679</v>
      </c>
      <c r="C83" s="5">
        <v>2</v>
      </c>
      <c r="D83" s="5" t="s">
        <v>1957</v>
      </c>
      <c r="E83" s="3" t="s">
        <v>1958</v>
      </c>
      <c r="F83" s="3" t="s">
        <v>1875</v>
      </c>
      <c r="G83" s="3" t="s">
        <v>368</v>
      </c>
      <c r="H83" s="3" t="s">
        <v>232</v>
      </c>
      <c r="I83" s="3" t="s">
        <v>1959</v>
      </c>
    </row>
    <row r="84" ht="33" spans="1:9">
      <c r="A84" s="5" t="s">
        <v>678</v>
      </c>
      <c r="B84" s="5" t="s">
        <v>679</v>
      </c>
      <c r="C84" s="5">
        <v>3</v>
      </c>
      <c r="D84" s="5" t="s">
        <v>1960</v>
      </c>
      <c r="E84" s="3" t="s">
        <v>1961</v>
      </c>
      <c r="F84" s="3" t="s">
        <v>1843</v>
      </c>
      <c r="G84" s="3" t="s">
        <v>1198</v>
      </c>
      <c r="H84" s="3" t="s">
        <v>284</v>
      </c>
      <c r="I84" s="3" t="s">
        <v>1962</v>
      </c>
    </row>
    <row r="85" ht="16.5" spans="1:9">
      <c r="A85" s="5" t="s">
        <v>683</v>
      </c>
      <c r="B85" s="5" t="s">
        <v>684</v>
      </c>
      <c r="C85" s="5">
        <v>1</v>
      </c>
      <c r="D85" s="5" t="s">
        <v>1963</v>
      </c>
      <c r="E85" s="3" t="s">
        <v>1964</v>
      </c>
      <c r="F85" s="3" t="s">
        <v>1770</v>
      </c>
      <c r="G85" s="3" t="s">
        <v>683</v>
      </c>
      <c r="H85" s="3" t="s">
        <v>629</v>
      </c>
      <c r="I85" s="3" t="s">
        <v>1965</v>
      </c>
    </row>
    <row r="86" ht="33" spans="1:9">
      <c r="A86" s="5" t="s">
        <v>683</v>
      </c>
      <c r="B86" s="5" t="s">
        <v>684</v>
      </c>
      <c r="C86" s="5">
        <v>2</v>
      </c>
      <c r="D86" s="5" t="s">
        <v>1966</v>
      </c>
      <c r="E86" s="3" t="s">
        <v>1958</v>
      </c>
      <c r="F86" s="3" t="s">
        <v>1875</v>
      </c>
      <c r="G86" s="3" t="s">
        <v>368</v>
      </c>
      <c r="H86" s="3" t="s">
        <v>232</v>
      </c>
      <c r="I86" s="3" t="s">
        <v>1959</v>
      </c>
    </row>
    <row r="87" ht="33" spans="1:9">
      <c r="A87" s="5" t="s">
        <v>683</v>
      </c>
      <c r="B87" s="5" t="s">
        <v>684</v>
      </c>
      <c r="C87" s="5">
        <v>3</v>
      </c>
      <c r="D87" s="5" t="s">
        <v>1967</v>
      </c>
      <c r="E87" s="3" t="s">
        <v>1968</v>
      </c>
      <c r="F87" s="3" t="s">
        <v>1843</v>
      </c>
      <c r="G87" s="3" t="s">
        <v>1198</v>
      </c>
      <c r="H87" s="3" t="s">
        <v>284</v>
      </c>
      <c r="I87" s="3" t="s">
        <v>1969</v>
      </c>
    </row>
    <row r="88" ht="16.5" spans="1:9">
      <c r="A88" s="5" t="s">
        <v>688</v>
      </c>
      <c r="B88" s="5" t="s">
        <v>689</v>
      </c>
      <c r="C88" s="5">
        <v>1</v>
      </c>
      <c r="D88" s="5" t="s">
        <v>1970</v>
      </c>
      <c r="E88" s="3" t="s">
        <v>1971</v>
      </c>
      <c r="F88" s="3" t="s">
        <v>1770</v>
      </c>
      <c r="G88" s="3" t="s">
        <v>688</v>
      </c>
      <c r="H88" s="3" t="s">
        <v>629</v>
      </c>
      <c r="I88" s="3" t="s">
        <v>1972</v>
      </c>
    </row>
    <row r="89" ht="33" spans="1:9">
      <c r="A89" s="5" t="s">
        <v>688</v>
      </c>
      <c r="B89" s="5" t="s">
        <v>689</v>
      </c>
      <c r="C89" s="5">
        <v>2</v>
      </c>
      <c r="D89" s="5" t="s">
        <v>1973</v>
      </c>
      <c r="E89" s="3" t="s">
        <v>1974</v>
      </c>
      <c r="F89" s="3" t="s">
        <v>1875</v>
      </c>
      <c r="G89" s="3" t="s">
        <v>368</v>
      </c>
      <c r="H89" s="3" t="s">
        <v>232</v>
      </c>
      <c r="I89" s="3" t="s">
        <v>1975</v>
      </c>
    </row>
    <row r="90" ht="33" spans="1:9">
      <c r="A90" s="5" t="s">
        <v>688</v>
      </c>
      <c r="B90" s="5" t="s">
        <v>689</v>
      </c>
      <c r="C90" s="5">
        <v>3</v>
      </c>
      <c r="D90" s="5" t="s">
        <v>1976</v>
      </c>
      <c r="E90" s="3" t="s">
        <v>1977</v>
      </c>
      <c r="F90" s="3" t="s">
        <v>1843</v>
      </c>
      <c r="G90" s="3" t="s">
        <v>1198</v>
      </c>
      <c r="H90" s="3" t="s">
        <v>284</v>
      </c>
      <c r="I90" s="3" t="s">
        <v>1978</v>
      </c>
    </row>
    <row r="91" ht="16.5" spans="1:9">
      <c r="A91" s="5" t="s">
        <v>693</v>
      </c>
      <c r="B91" s="5" t="s">
        <v>694</v>
      </c>
      <c r="C91" s="5">
        <v>1</v>
      </c>
      <c r="D91" s="5" t="s">
        <v>1979</v>
      </c>
      <c r="E91" s="3" t="s">
        <v>1980</v>
      </c>
      <c r="F91" s="3" t="s">
        <v>1770</v>
      </c>
      <c r="G91" s="3" t="s">
        <v>693</v>
      </c>
      <c r="H91" s="3" t="s">
        <v>629</v>
      </c>
      <c r="I91" s="3" t="s">
        <v>1981</v>
      </c>
    </row>
    <row r="92" ht="33" spans="1:9">
      <c r="A92" s="5" t="s">
        <v>693</v>
      </c>
      <c r="B92" s="5" t="s">
        <v>694</v>
      </c>
      <c r="C92" s="5">
        <v>2</v>
      </c>
      <c r="D92" s="5" t="s">
        <v>1982</v>
      </c>
      <c r="E92" s="3" t="s">
        <v>1974</v>
      </c>
      <c r="F92" s="3" t="s">
        <v>1875</v>
      </c>
      <c r="G92" s="3" t="s">
        <v>368</v>
      </c>
      <c r="H92" s="3" t="s">
        <v>232</v>
      </c>
      <c r="I92" s="3" t="s">
        <v>1975</v>
      </c>
    </row>
    <row r="93" ht="33" spans="1:9">
      <c r="A93" s="5" t="s">
        <v>693</v>
      </c>
      <c r="B93" s="5" t="s">
        <v>694</v>
      </c>
      <c r="C93" s="5">
        <v>3</v>
      </c>
      <c r="D93" s="5" t="s">
        <v>1983</v>
      </c>
      <c r="E93" s="3" t="s">
        <v>1984</v>
      </c>
      <c r="F93" s="3" t="s">
        <v>1843</v>
      </c>
      <c r="G93" s="3" t="s">
        <v>1198</v>
      </c>
      <c r="H93" s="3" t="s">
        <v>284</v>
      </c>
      <c r="I93" s="3" t="s">
        <v>1985</v>
      </c>
    </row>
    <row r="94" ht="16.5" spans="1:9">
      <c r="A94" s="5" t="s">
        <v>698</v>
      </c>
      <c r="B94" s="5" t="s">
        <v>699</v>
      </c>
      <c r="C94" s="5">
        <v>1</v>
      </c>
      <c r="D94" s="5" t="s">
        <v>1986</v>
      </c>
      <c r="E94" s="3" t="s">
        <v>1987</v>
      </c>
      <c r="F94" s="3" t="s">
        <v>1770</v>
      </c>
      <c r="G94" s="3" t="s">
        <v>698</v>
      </c>
      <c r="H94" s="3" t="s">
        <v>629</v>
      </c>
      <c r="I94" s="3" t="s">
        <v>1988</v>
      </c>
    </row>
    <row r="95" ht="33" spans="1:9">
      <c r="A95" s="5" t="s">
        <v>698</v>
      </c>
      <c r="B95" s="5" t="s">
        <v>699</v>
      </c>
      <c r="C95" s="5">
        <v>2</v>
      </c>
      <c r="D95" s="5" t="s">
        <v>1989</v>
      </c>
      <c r="E95" s="3" t="s">
        <v>1990</v>
      </c>
      <c r="F95" s="3" t="s">
        <v>1875</v>
      </c>
      <c r="G95" s="3" t="s">
        <v>368</v>
      </c>
      <c r="H95" s="3" t="s">
        <v>232</v>
      </c>
      <c r="I95" s="3" t="s">
        <v>1991</v>
      </c>
    </row>
    <row r="96" ht="33" spans="1:9">
      <c r="A96" s="5" t="s">
        <v>698</v>
      </c>
      <c r="B96" s="5" t="s">
        <v>699</v>
      </c>
      <c r="C96" s="5">
        <v>3</v>
      </c>
      <c r="D96" s="5" t="s">
        <v>1992</v>
      </c>
      <c r="E96" s="3" t="s">
        <v>1993</v>
      </c>
      <c r="F96" s="3" t="s">
        <v>1843</v>
      </c>
      <c r="G96" s="3" t="s">
        <v>1198</v>
      </c>
      <c r="H96" s="3" t="s">
        <v>284</v>
      </c>
      <c r="I96" s="3" t="s">
        <v>1994</v>
      </c>
    </row>
    <row r="97" ht="16.5" spans="1:9">
      <c r="A97" s="5" t="s">
        <v>703</v>
      </c>
      <c r="B97" s="5" t="s">
        <v>704</v>
      </c>
      <c r="C97" s="5">
        <v>1</v>
      </c>
      <c r="D97" s="5" t="s">
        <v>1995</v>
      </c>
      <c r="E97" s="3" t="s">
        <v>1996</v>
      </c>
      <c r="F97" s="3" t="s">
        <v>1770</v>
      </c>
      <c r="G97" s="3" t="s">
        <v>703</v>
      </c>
      <c r="H97" s="3" t="s">
        <v>629</v>
      </c>
      <c r="I97" s="3" t="s">
        <v>1997</v>
      </c>
    </row>
    <row r="98" ht="33" spans="1:9">
      <c r="A98" s="5" t="s">
        <v>703</v>
      </c>
      <c r="B98" s="5" t="s">
        <v>704</v>
      </c>
      <c r="C98" s="5">
        <v>2</v>
      </c>
      <c r="D98" s="5" t="s">
        <v>1998</v>
      </c>
      <c r="E98" s="3" t="s">
        <v>1990</v>
      </c>
      <c r="F98" s="3" t="s">
        <v>1875</v>
      </c>
      <c r="G98" s="3" t="s">
        <v>368</v>
      </c>
      <c r="H98" s="3" t="s">
        <v>232</v>
      </c>
      <c r="I98" s="3" t="s">
        <v>1991</v>
      </c>
    </row>
    <row r="99" ht="33" spans="1:9">
      <c r="A99" s="5" t="s">
        <v>703</v>
      </c>
      <c r="B99" s="5" t="s">
        <v>704</v>
      </c>
      <c r="C99" s="5">
        <v>3</v>
      </c>
      <c r="D99" s="5" t="s">
        <v>1999</v>
      </c>
      <c r="E99" s="3" t="s">
        <v>2000</v>
      </c>
      <c r="F99" s="3" t="s">
        <v>1843</v>
      </c>
      <c r="G99" s="3" t="s">
        <v>1198</v>
      </c>
      <c r="H99" s="3" t="s">
        <v>284</v>
      </c>
      <c r="I99" s="3" t="s">
        <v>2001</v>
      </c>
    </row>
    <row r="100" ht="16.5" spans="1:9">
      <c r="A100" s="5" t="s">
        <v>708</v>
      </c>
      <c r="B100" s="5" t="s">
        <v>709</v>
      </c>
      <c r="C100" s="5">
        <v>1</v>
      </c>
      <c r="D100" s="5" t="s">
        <v>2002</v>
      </c>
      <c r="E100" s="3" t="s">
        <v>2003</v>
      </c>
      <c r="F100" s="3" t="s">
        <v>1770</v>
      </c>
      <c r="G100" s="3" t="s">
        <v>708</v>
      </c>
      <c r="H100" s="3" t="s">
        <v>629</v>
      </c>
      <c r="I100" s="3" t="s">
        <v>2004</v>
      </c>
    </row>
    <row r="101" ht="33" spans="1:9">
      <c r="A101" s="5" t="s">
        <v>708</v>
      </c>
      <c r="B101" s="5" t="s">
        <v>709</v>
      </c>
      <c r="C101" s="5">
        <v>2</v>
      </c>
      <c r="D101" s="5" t="s">
        <v>2005</v>
      </c>
      <c r="E101" s="3" t="s">
        <v>2006</v>
      </c>
      <c r="F101" s="3" t="s">
        <v>1875</v>
      </c>
      <c r="G101" s="3" t="s">
        <v>368</v>
      </c>
      <c r="H101" s="3" t="s">
        <v>232</v>
      </c>
      <c r="I101" s="3" t="s">
        <v>2007</v>
      </c>
    </row>
    <row r="102" ht="33" spans="1:9">
      <c r="A102" s="5" t="s">
        <v>708</v>
      </c>
      <c r="B102" s="5" t="s">
        <v>709</v>
      </c>
      <c r="C102" s="5">
        <v>3</v>
      </c>
      <c r="D102" s="5" t="s">
        <v>2008</v>
      </c>
      <c r="E102" s="3" t="s">
        <v>2009</v>
      </c>
      <c r="F102" s="3" t="s">
        <v>1843</v>
      </c>
      <c r="G102" s="3" t="s">
        <v>1198</v>
      </c>
      <c r="H102" s="3" t="s">
        <v>284</v>
      </c>
      <c r="I102" s="3" t="s">
        <v>2010</v>
      </c>
    </row>
    <row r="103" ht="16.5" spans="1:9">
      <c r="A103" s="5" t="s">
        <v>713</v>
      </c>
      <c r="B103" s="5" t="s">
        <v>714</v>
      </c>
      <c r="C103" s="5">
        <v>1</v>
      </c>
      <c r="D103" s="5" t="s">
        <v>2011</v>
      </c>
      <c r="E103" s="3" t="s">
        <v>2012</v>
      </c>
      <c r="F103" s="3" t="s">
        <v>1770</v>
      </c>
      <c r="G103" s="3" t="s">
        <v>713</v>
      </c>
      <c r="H103" s="3" t="s">
        <v>629</v>
      </c>
      <c r="I103" s="3" t="s">
        <v>2013</v>
      </c>
    </row>
    <row r="104" ht="33" spans="1:9">
      <c r="A104" s="5" t="s">
        <v>713</v>
      </c>
      <c r="B104" s="5" t="s">
        <v>714</v>
      </c>
      <c r="C104" s="5">
        <v>2</v>
      </c>
      <c r="D104" s="5" t="s">
        <v>2014</v>
      </c>
      <c r="E104" s="3" t="s">
        <v>2006</v>
      </c>
      <c r="F104" s="3" t="s">
        <v>1875</v>
      </c>
      <c r="G104" s="3" t="s">
        <v>368</v>
      </c>
      <c r="H104" s="3" t="s">
        <v>232</v>
      </c>
      <c r="I104" s="3" t="s">
        <v>2007</v>
      </c>
    </row>
    <row r="105" ht="33" spans="1:9">
      <c r="A105" s="5" t="s">
        <v>713</v>
      </c>
      <c r="B105" s="5" t="s">
        <v>714</v>
      </c>
      <c r="C105" s="5">
        <v>3</v>
      </c>
      <c r="D105" s="5" t="s">
        <v>2015</v>
      </c>
      <c r="E105" s="3" t="s">
        <v>2016</v>
      </c>
      <c r="F105" s="3" t="s">
        <v>1843</v>
      </c>
      <c r="G105" s="3" t="s">
        <v>1198</v>
      </c>
      <c r="H105" s="3" t="s">
        <v>284</v>
      </c>
      <c r="I105" s="3" t="s">
        <v>2017</v>
      </c>
    </row>
    <row r="106" ht="16.5" spans="1:9">
      <c r="A106" s="5" t="s">
        <v>718</v>
      </c>
      <c r="B106" s="5" t="s">
        <v>719</v>
      </c>
      <c r="C106" s="5">
        <v>1</v>
      </c>
      <c r="D106" s="5" t="s">
        <v>2018</v>
      </c>
      <c r="E106" s="3" t="s">
        <v>2019</v>
      </c>
      <c r="F106" s="3" t="s">
        <v>1770</v>
      </c>
      <c r="G106" s="3" t="s">
        <v>718</v>
      </c>
      <c r="H106" s="3" t="s">
        <v>722</v>
      </c>
      <c r="I106" s="3" t="s">
        <v>2020</v>
      </c>
    </row>
    <row r="107" ht="33" spans="1:9">
      <c r="A107" s="5" t="s">
        <v>718</v>
      </c>
      <c r="B107" s="5" t="s">
        <v>719</v>
      </c>
      <c r="C107" s="5">
        <v>2</v>
      </c>
      <c r="D107" s="5" t="s">
        <v>2021</v>
      </c>
      <c r="E107" s="3" t="s">
        <v>2022</v>
      </c>
      <c r="F107" s="3" t="s">
        <v>2023</v>
      </c>
      <c r="G107" s="3" t="s">
        <v>396</v>
      </c>
      <c r="H107" s="3" t="s">
        <v>315</v>
      </c>
      <c r="I107" s="3" t="s">
        <v>2024</v>
      </c>
    </row>
    <row r="108" ht="33" spans="1:9">
      <c r="A108" s="5" t="s">
        <v>718</v>
      </c>
      <c r="B108" s="5" t="s">
        <v>719</v>
      </c>
      <c r="C108" s="5">
        <v>3</v>
      </c>
      <c r="D108" s="5" t="s">
        <v>2025</v>
      </c>
      <c r="E108" s="3" t="s">
        <v>2026</v>
      </c>
      <c r="F108" s="3" t="s">
        <v>1843</v>
      </c>
      <c r="G108" s="3" t="s">
        <v>1198</v>
      </c>
      <c r="H108" s="3" t="s">
        <v>1153</v>
      </c>
      <c r="I108" s="3" t="s">
        <v>2027</v>
      </c>
    </row>
    <row r="109" ht="16.5" spans="1:9">
      <c r="A109" s="5" t="s">
        <v>725</v>
      </c>
      <c r="B109" s="5" t="s">
        <v>726</v>
      </c>
      <c r="C109" s="5">
        <v>1</v>
      </c>
      <c r="D109" s="5" t="s">
        <v>2028</v>
      </c>
      <c r="E109" s="3" t="s">
        <v>2029</v>
      </c>
      <c r="F109" s="3" t="s">
        <v>1770</v>
      </c>
      <c r="G109" s="3" t="s">
        <v>725</v>
      </c>
      <c r="H109" s="3" t="s">
        <v>729</v>
      </c>
      <c r="I109" s="3" t="s">
        <v>2030</v>
      </c>
    </row>
    <row r="110" ht="33" spans="1:9">
      <c r="A110" s="5" t="s">
        <v>725</v>
      </c>
      <c r="B110" s="5" t="s">
        <v>726</v>
      </c>
      <c r="C110" s="5">
        <v>2</v>
      </c>
      <c r="D110" s="5" t="s">
        <v>2031</v>
      </c>
      <c r="E110" s="3" t="s">
        <v>2032</v>
      </c>
      <c r="F110" s="3" t="s">
        <v>1875</v>
      </c>
      <c r="G110" s="3" t="s">
        <v>368</v>
      </c>
      <c r="H110" s="3" t="s">
        <v>232</v>
      </c>
      <c r="I110" s="3" t="s">
        <v>2033</v>
      </c>
    </row>
    <row r="111" ht="33" spans="1:9">
      <c r="A111" s="5" t="s">
        <v>725</v>
      </c>
      <c r="B111" s="5" t="s">
        <v>726</v>
      </c>
      <c r="C111" s="5">
        <v>3</v>
      </c>
      <c r="D111" s="5" t="s">
        <v>2025</v>
      </c>
      <c r="E111" s="3" t="s">
        <v>2026</v>
      </c>
      <c r="F111" s="3" t="s">
        <v>1843</v>
      </c>
      <c r="G111" s="3" t="s">
        <v>1198</v>
      </c>
      <c r="H111" s="3" t="s">
        <v>1153</v>
      </c>
      <c r="I111" s="3" t="s">
        <v>2027</v>
      </c>
    </row>
    <row r="112" ht="16.5" spans="1:9">
      <c r="A112" s="5" t="s">
        <v>731</v>
      </c>
      <c r="B112" s="5" t="s">
        <v>732</v>
      </c>
      <c r="C112" s="5">
        <v>1</v>
      </c>
      <c r="D112" s="5" t="s">
        <v>2034</v>
      </c>
      <c r="E112" s="3" t="s">
        <v>2035</v>
      </c>
      <c r="F112" s="3" t="s">
        <v>1770</v>
      </c>
      <c r="G112" s="3" t="s">
        <v>731</v>
      </c>
      <c r="H112" s="3" t="s">
        <v>735</v>
      </c>
      <c r="I112" s="3" t="s">
        <v>2036</v>
      </c>
    </row>
    <row r="113" ht="33" spans="1:9">
      <c r="A113" s="5" t="s">
        <v>731</v>
      </c>
      <c r="B113" s="5" t="s">
        <v>732</v>
      </c>
      <c r="C113" s="5">
        <v>2</v>
      </c>
      <c r="D113" s="5" t="s">
        <v>2037</v>
      </c>
      <c r="E113" s="3" t="s">
        <v>2038</v>
      </c>
      <c r="F113" s="3" t="s">
        <v>2039</v>
      </c>
      <c r="G113" s="3" t="s">
        <v>377</v>
      </c>
      <c r="H113" s="3" t="s">
        <v>284</v>
      </c>
      <c r="I113" s="3" t="s">
        <v>2040</v>
      </c>
    </row>
    <row r="114" ht="33" spans="1:9">
      <c r="A114" s="5" t="s">
        <v>731</v>
      </c>
      <c r="B114" s="5" t="s">
        <v>732</v>
      </c>
      <c r="C114" s="5">
        <v>3</v>
      </c>
      <c r="D114" s="5" t="s">
        <v>2025</v>
      </c>
      <c r="E114" s="3" t="s">
        <v>2026</v>
      </c>
      <c r="F114" s="3" t="s">
        <v>1843</v>
      </c>
      <c r="G114" s="3" t="s">
        <v>1198</v>
      </c>
      <c r="H114" s="3" t="s">
        <v>1153</v>
      </c>
      <c r="I114" s="3" t="s">
        <v>2027</v>
      </c>
    </row>
    <row r="115" ht="16.5" spans="1:9">
      <c r="A115" s="5" t="s">
        <v>738</v>
      </c>
      <c r="B115" s="5" t="s">
        <v>739</v>
      </c>
      <c r="C115" s="5">
        <v>1</v>
      </c>
      <c r="D115" s="5" t="s">
        <v>2041</v>
      </c>
      <c r="E115" s="3" t="s">
        <v>2042</v>
      </c>
      <c r="F115" s="3" t="s">
        <v>1770</v>
      </c>
      <c r="G115" s="3" t="s">
        <v>738</v>
      </c>
      <c r="H115" s="3" t="s">
        <v>722</v>
      </c>
      <c r="I115" s="3" t="s">
        <v>2043</v>
      </c>
    </row>
    <row r="116" ht="33" spans="1:9">
      <c r="A116" s="5" t="s">
        <v>738</v>
      </c>
      <c r="B116" s="5" t="s">
        <v>739</v>
      </c>
      <c r="C116" s="5">
        <v>2</v>
      </c>
      <c r="D116" s="5" t="s">
        <v>2044</v>
      </c>
      <c r="E116" s="3" t="s">
        <v>2045</v>
      </c>
      <c r="F116" s="3" t="s">
        <v>2023</v>
      </c>
      <c r="G116" s="3" t="s">
        <v>396</v>
      </c>
      <c r="H116" s="3" t="s">
        <v>315</v>
      </c>
      <c r="I116" s="3" t="s">
        <v>2046</v>
      </c>
    </row>
    <row r="117" ht="33" spans="1:9">
      <c r="A117" s="5" t="s">
        <v>738</v>
      </c>
      <c r="B117" s="5" t="s">
        <v>739</v>
      </c>
      <c r="C117" s="5">
        <v>3</v>
      </c>
      <c r="D117" s="5" t="s">
        <v>2047</v>
      </c>
      <c r="E117" s="3" t="s">
        <v>2048</v>
      </c>
      <c r="F117" s="3" t="s">
        <v>1843</v>
      </c>
      <c r="G117" s="3" t="s">
        <v>1198</v>
      </c>
      <c r="H117" s="3" t="s">
        <v>1153</v>
      </c>
      <c r="I117" s="3" t="s">
        <v>2049</v>
      </c>
    </row>
    <row r="118" ht="16.5" spans="1:9">
      <c r="A118" s="5" t="s">
        <v>743</v>
      </c>
      <c r="B118" s="5" t="s">
        <v>744</v>
      </c>
      <c r="C118" s="5">
        <v>1</v>
      </c>
      <c r="D118" s="5" t="s">
        <v>2050</v>
      </c>
      <c r="E118" s="3" t="s">
        <v>2051</v>
      </c>
      <c r="F118" s="3" t="s">
        <v>1770</v>
      </c>
      <c r="G118" s="3" t="s">
        <v>743</v>
      </c>
      <c r="H118" s="3" t="s">
        <v>729</v>
      </c>
      <c r="I118" s="3" t="s">
        <v>2052</v>
      </c>
    </row>
    <row r="119" ht="33" spans="1:9">
      <c r="A119" s="5" t="s">
        <v>743</v>
      </c>
      <c r="B119" s="5" t="s">
        <v>744</v>
      </c>
      <c r="C119" s="5">
        <v>2</v>
      </c>
      <c r="D119" s="5" t="s">
        <v>2053</v>
      </c>
      <c r="E119" s="3" t="s">
        <v>2054</v>
      </c>
      <c r="F119" s="3" t="s">
        <v>1875</v>
      </c>
      <c r="G119" s="3" t="s">
        <v>368</v>
      </c>
      <c r="H119" s="3" t="s">
        <v>232</v>
      </c>
      <c r="I119" s="3" t="s">
        <v>2055</v>
      </c>
    </row>
    <row r="120" ht="33" spans="1:9">
      <c r="A120" s="5" t="s">
        <v>743</v>
      </c>
      <c r="B120" s="5" t="s">
        <v>744</v>
      </c>
      <c r="C120" s="5">
        <v>3</v>
      </c>
      <c r="D120" s="5" t="s">
        <v>2047</v>
      </c>
      <c r="E120" s="3" t="s">
        <v>2048</v>
      </c>
      <c r="F120" s="3" t="s">
        <v>1843</v>
      </c>
      <c r="G120" s="3" t="s">
        <v>1198</v>
      </c>
      <c r="H120" s="3" t="s">
        <v>1153</v>
      </c>
      <c r="I120" s="3" t="s">
        <v>2049</v>
      </c>
    </row>
    <row r="121" ht="16.5" spans="1:9">
      <c r="A121" s="5" t="s">
        <v>748</v>
      </c>
      <c r="B121" s="5" t="s">
        <v>749</v>
      </c>
      <c r="C121" s="5">
        <v>1</v>
      </c>
      <c r="D121" s="5" t="s">
        <v>2056</v>
      </c>
      <c r="E121" s="3" t="s">
        <v>2057</v>
      </c>
      <c r="F121" s="3" t="s">
        <v>1770</v>
      </c>
      <c r="G121" s="3" t="s">
        <v>748</v>
      </c>
      <c r="H121" s="3" t="s">
        <v>722</v>
      </c>
      <c r="I121" s="3" t="s">
        <v>2058</v>
      </c>
    </row>
    <row r="122" ht="33" spans="1:9">
      <c r="A122" s="5" t="s">
        <v>748</v>
      </c>
      <c r="B122" s="5" t="s">
        <v>749</v>
      </c>
      <c r="C122" s="5">
        <v>2</v>
      </c>
      <c r="D122" s="5" t="s">
        <v>2059</v>
      </c>
      <c r="E122" s="3" t="s">
        <v>2060</v>
      </c>
      <c r="F122" s="3" t="s">
        <v>2023</v>
      </c>
      <c r="G122" s="3" t="s">
        <v>396</v>
      </c>
      <c r="H122" s="3" t="s">
        <v>315</v>
      </c>
      <c r="I122" s="3" t="s">
        <v>2061</v>
      </c>
    </row>
    <row r="123" ht="33" spans="1:9">
      <c r="A123" s="5" t="s">
        <v>748</v>
      </c>
      <c r="B123" s="5" t="s">
        <v>749</v>
      </c>
      <c r="C123" s="5">
        <v>3</v>
      </c>
      <c r="D123" s="5" t="s">
        <v>2062</v>
      </c>
      <c r="E123" s="3" t="s">
        <v>2063</v>
      </c>
      <c r="F123" s="3" t="s">
        <v>1843</v>
      </c>
      <c r="G123" s="3" t="s">
        <v>1198</v>
      </c>
      <c r="H123" s="3" t="s">
        <v>1153</v>
      </c>
      <c r="I123" s="3" t="s">
        <v>2064</v>
      </c>
    </row>
    <row r="124" ht="16.5" spans="1:9">
      <c r="A124" s="5" t="s">
        <v>753</v>
      </c>
      <c r="B124" s="5" t="s">
        <v>754</v>
      </c>
      <c r="C124" s="5">
        <v>1</v>
      </c>
      <c r="D124" s="5" t="s">
        <v>2065</v>
      </c>
      <c r="E124" s="3" t="s">
        <v>2066</v>
      </c>
      <c r="F124" s="3" t="s">
        <v>1770</v>
      </c>
      <c r="G124" s="3" t="s">
        <v>753</v>
      </c>
      <c r="H124" s="3" t="s">
        <v>729</v>
      </c>
      <c r="I124" s="3" t="s">
        <v>2067</v>
      </c>
    </row>
    <row r="125" ht="33" spans="1:9">
      <c r="A125" s="5" t="s">
        <v>753</v>
      </c>
      <c r="B125" s="5" t="s">
        <v>754</v>
      </c>
      <c r="C125" s="5">
        <v>2</v>
      </c>
      <c r="D125" s="5" t="s">
        <v>2068</v>
      </c>
      <c r="E125" s="3" t="s">
        <v>2069</v>
      </c>
      <c r="F125" s="3" t="s">
        <v>1875</v>
      </c>
      <c r="G125" s="3" t="s">
        <v>368</v>
      </c>
      <c r="H125" s="3" t="s">
        <v>232</v>
      </c>
      <c r="I125" s="3" t="s">
        <v>2070</v>
      </c>
    </row>
    <row r="126" ht="33" spans="1:9">
      <c r="A126" s="5" t="s">
        <v>753</v>
      </c>
      <c r="B126" s="5" t="s">
        <v>754</v>
      </c>
      <c r="C126" s="5">
        <v>3</v>
      </c>
      <c r="D126" s="5" t="s">
        <v>2062</v>
      </c>
      <c r="E126" s="3" t="s">
        <v>2063</v>
      </c>
      <c r="F126" s="3" t="s">
        <v>1843</v>
      </c>
      <c r="G126" s="3" t="s">
        <v>1198</v>
      </c>
      <c r="H126" s="3" t="s">
        <v>1153</v>
      </c>
      <c r="I126" s="3" t="s">
        <v>2064</v>
      </c>
    </row>
    <row r="127" ht="16.5" spans="1:9">
      <c r="A127" s="5" t="s">
        <v>758</v>
      </c>
      <c r="B127" s="5" t="s">
        <v>759</v>
      </c>
      <c r="C127" s="5">
        <v>1</v>
      </c>
      <c r="D127" s="5" t="s">
        <v>2071</v>
      </c>
      <c r="E127" s="3" t="s">
        <v>2072</v>
      </c>
      <c r="F127" s="3" t="s">
        <v>1770</v>
      </c>
      <c r="G127" s="3" t="s">
        <v>758</v>
      </c>
      <c r="H127" s="3" t="s">
        <v>735</v>
      </c>
      <c r="I127" s="3" t="s">
        <v>2073</v>
      </c>
    </row>
    <row r="128" ht="33" spans="1:9">
      <c r="A128" s="5" t="s">
        <v>758</v>
      </c>
      <c r="B128" s="5" t="s">
        <v>759</v>
      </c>
      <c r="C128" s="5">
        <v>2</v>
      </c>
      <c r="D128" s="5" t="s">
        <v>2074</v>
      </c>
      <c r="E128" s="3" t="s">
        <v>2075</v>
      </c>
      <c r="F128" s="3" t="s">
        <v>2039</v>
      </c>
      <c r="G128" s="3" t="s">
        <v>377</v>
      </c>
      <c r="H128" s="3" t="s">
        <v>284</v>
      </c>
      <c r="I128" s="3" t="s">
        <v>2076</v>
      </c>
    </row>
    <row r="129" ht="33" spans="1:9">
      <c r="A129" s="5" t="s">
        <v>758</v>
      </c>
      <c r="B129" s="5" t="s">
        <v>759</v>
      </c>
      <c r="C129" s="5">
        <v>3</v>
      </c>
      <c r="D129" s="5" t="s">
        <v>2062</v>
      </c>
      <c r="E129" s="3" t="s">
        <v>2063</v>
      </c>
      <c r="F129" s="3" t="s">
        <v>1843</v>
      </c>
      <c r="G129" s="3" t="s">
        <v>1198</v>
      </c>
      <c r="H129" s="3" t="s">
        <v>1153</v>
      </c>
      <c r="I129" s="3" t="s">
        <v>2064</v>
      </c>
    </row>
    <row r="130" ht="16.5" spans="1:9">
      <c r="A130" s="5" t="s">
        <v>763</v>
      </c>
      <c r="B130" s="5" t="s">
        <v>764</v>
      </c>
      <c r="C130" s="5">
        <v>1</v>
      </c>
      <c r="D130" s="5" t="s">
        <v>2077</v>
      </c>
      <c r="E130" s="3" t="s">
        <v>2078</v>
      </c>
      <c r="F130" s="3" t="s">
        <v>1770</v>
      </c>
      <c r="G130" s="3" t="s">
        <v>763</v>
      </c>
      <c r="H130" s="3" t="s">
        <v>722</v>
      </c>
      <c r="I130" s="3" t="s">
        <v>2079</v>
      </c>
    </row>
    <row r="131" ht="33" spans="1:9">
      <c r="A131" s="5" t="s">
        <v>763</v>
      </c>
      <c r="B131" s="5" t="s">
        <v>764</v>
      </c>
      <c r="C131" s="5">
        <v>2</v>
      </c>
      <c r="D131" s="5" t="s">
        <v>2080</v>
      </c>
      <c r="E131" s="3" t="s">
        <v>2081</v>
      </c>
      <c r="F131" s="3" t="s">
        <v>2023</v>
      </c>
      <c r="G131" s="3" t="s">
        <v>396</v>
      </c>
      <c r="H131" s="3" t="s">
        <v>315</v>
      </c>
      <c r="I131" s="3" t="s">
        <v>2082</v>
      </c>
    </row>
    <row r="132" ht="33" spans="1:9">
      <c r="A132" s="5" t="s">
        <v>763</v>
      </c>
      <c r="B132" s="5" t="s">
        <v>764</v>
      </c>
      <c r="C132" s="5">
        <v>3</v>
      </c>
      <c r="D132" s="5" t="s">
        <v>2083</v>
      </c>
      <c r="E132" s="3" t="s">
        <v>2084</v>
      </c>
      <c r="F132" s="3" t="s">
        <v>1843</v>
      </c>
      <c r="G132" s="3" t="s">
        <v>1198</v>
      </c>
      <c r="H132" s="3" t="s">
        <v>1153</v>
      </c>
      <c r="I132" s="3" t="s">
        <v>2085</v>
      </c>
    </row>
    <row r="133" ht="16.5" spans="1:9">
      <c r="A133" s="5" t="s">
        <v>768</v>
      </c>
      <c r="B133" s="5" t="s">
        <v>769</v>
      </c>
      <c r="C133" s="5">
        <v>1</v>
      </c>
      <c r="D133" s="5" t="s">
        <v>2086</v>
      </c>
      <c r="E133" s="3" t="s">
        <v>2087</v>
      </c>
      <c r="F133" s="3" t="s">
        <v>1770</v>
      </c>
      <c r="G133" s="3" t="s">
        <v>768</v>
      </c>
      <c r="H133" s="3" t="s">
        <v>729</v>
      </c>
      <c r="I133" s="3" t="s">
        <v>2088</v>
      </c>
    </row>
    <row r="134" ht="33" spans="1:9">
      <c r="A134" s="5" t="s">
        <v>768</v>
      </c>
      <c r="B134" s="5" t="s">
        <v>769</v>
      </c>
      <c r="C134" s="5">
        <v>2</v>
      </c>
      <c r="D134" s="5" t="s">
        <v>2089</v>
      </c>
      <c r="E134" s="3" t="s">
        <v>2090</v>
      </c>
      <c r="F134" s="3" t="s">
        <v>1875</v>
      </c>
      <c r="G134" s="3" t="s">
        <v>368</v>
      </c>
      <c r="H134" s="3" t="s">
        <v>232</v>
      </c>
      <c r="I134" s="3" t="s">
        <v>2091</v>
      </c>
    </row>
    <row r="135" ht="33" spans="1:9">
      <c r="A135" s="5" t="s">
        <v>768</v>
      </c>
      <c r="B135" s="5" t="s">
        <v>769</v>
      </c>
      <c r="C135" s="5">
        <v>3</v>
      </c>
      <c r="D135" s="5" t="s">
        <v>2083</v>
      </c>
      <c r="E135" s="3" t="s">
        <v>2084</v>
      </c>
      <c r="F135" s="3" t="s">
        <v>1843</v>
      </c>
      <c r="G135" s="3" t="s">
        <v>1198</v>
      </c>
      <c r="H135" s="3" t="s">
        <v>1153</v>
      </c>
      <c r="I135" s="3" t="s">
        <v>2085</v>
      </c>
    </row>
    <row r="136" ht="16.5" spans="1:9">
      <c r="A136" s="5" t="s">
        <v>773</v>
      </c>
      <c r="B136" s="5" t="s">
        <v>774</v>
      </c>
      <c r="C136" s="5">
        <v>1</v>
      </c>
      <c r="D136" s="5" t="s">
        <v>2092</v>
      </c>
      <c r="E136" s="3" t="s">
        <v>2093</v>
      </c>
      <c r="F136" s="3" t="s">
        <v>1770</v>
      </c>
      <c r="G136" s="3" t="s">
        <v>773</v>
      </c>
      <c r="H136" s="3" t="s">
        <v>722</v>
      </c>
      <c r="I136" s="3" t="s">
        <v>2094</v>
      </c>
    </row>
    <row r="137" ht="33" spans="1:9">
      <c r="A137" s="5" t="s">
        <v>773</v>
      </c>
      <c r="B137" s="5" t="s">
        <v>774</v>
      </c>
      <c r="C137" s="5">
        <v>2</v>
      </c>
      <c r="D137" s="5" t="s">
        <v>2095</v>
      </c>
      <c r="E137" s="3" t="s">
        <v>2096</v>
      </c>
      <c r="F137" s="3" t="s">
        <v>2023</v>
      </c>
      <c r="G137" s="3" t="s">
        <v>396</v>
      </c>
      <c r="H137" s="3" t="s">
        <v>315</v>
      </c>
      <c r="I137" s="3" t="s">
        <v>2097</v>
      </c>
    </row>
    <row r="138" ht="33" spans="1:9">
      <c r="A138" s="5" t="s">
        <v>773</v>
      </c>
      <c r="B138" s="5" t="s">
        <v>774</v>
      </c>
      <c r="C138" s="5">
        <v>3</v>
      </c>
      <c r="D138" s="5" t="s">
        <v>2098</v>
      </c>
      <c r="E138" s="3" t="s">
        <v>2099</v>
      </c>
      <c r="F138" s="3" t="s">
        <v>1843</v>
      </c>
      <c r="G138" s="3" t="s">
        <v>1198</v>
      </c>
      <c r="H138" s="3" t="s">
        <v>1153</v>
      </c>
      <c r="I138" s="3" t="s">
        <v>2100</v>
      </c>
    </row>
    <row r="139" ht="16.5" spans="1:9">
      <c r="A139" s="5" t="s">
        <v>778</v>
      </c>
      <c r="B139" s="5" t="s">
        <v>779</v>
      </c>
      <c r="C139" s="5">
        <v>1</v>
      </c>
      <c r="D139" s="5" t="s">
        <v>2101</v>
      </c>
      <c r="E139" s="3" t="s">
        <v>2102</v>
      </c>
      <c r="F139" s="3" t="s">
        <v>1770</v>
      </c>
      <c r="G139" s="3" t="s">
        <v>778</v>
      </c>
      <c r="H139" s="3" t="s">
        <v>729</v>
      </c>
      <c r="I139" s="3" t="s">
        <v>2103</v>
      </c>
    </row>
    <row r="140" ht="33" spans="1:9">
      <c r="A140" s="5" t="s">
        <v>778</v>
      </c>
      <c r="B140" s="5" t="s">
        <v>779</v>
      </c>
      <c r="C140" s="5">
        <v>2</v>
      </c>
      <c r="D140" s="5" t="s">
        <v>2104</v>
      </c>
      <c r="E140" s="3" t="s">
        <v>2105</v>
      </c>
      <c r="F140" s="3" t="s">
        <v>1875</v>
      </c>
      <c r="G140" s="3" t="s">
        <v>368</v>
      </c>
      <c r="H140" s="3" t="s">
        <v>232</v>
      </c>
      <c r="I140" s="3" t="s">
        <v>2106</v>
      </c>
    </row>
    <row r="141" ht="33" spans="1:9">
      <c r="A141" s="5" t="s">
        <v>778</v>
      </c>
      <c r="B141" s="5" t="s">
        <v>779</v>
      </c>
      <c r="C141" s="5">
        <v>3</v>
      </c>
      <c r="D141" s="5" t="s">
        <v>2098</v>
      </c>
      <c r="E141" s="3" t="s">
        <v>2099</v>
      </c>
      <c r="F141" s="3" t="s">
        <v>1843</v>
      </c>
      <c r="G141" s="3" t="s">
        <v>1198</v>
      </c>
      <c r="H141" s="3" t="s">
        <v>1153</v>
      </c>
      <c r="I141" s="3" t="s">
        <v>2100</v>
      </c>
    </row>
    <row r="142" ht="16.5" spans="1:9">
      <c r="A142" s="5" t="s">
        <v>783</v>
      </c>
      <c r="B142" s="5" t="s">
        <v>784</v>
      </c>
      <c r="C142" s="5">
        <v>1</v>
      </c>
      <c r="D142" s="5" t="s">
        <v>2107</v>
      </c>
      <c r="E142" s="3" t="s">
        <v>2108</v>
      </c>
      <c r="F142" s="3" t="s">
        <v>1770</v>
      </c>
      <c r="G142" s="3" t="s">
        <v>783</v>
      </c>
      <c r="H142" s="3" t="s">
        <v>735</v>
      </c>
      <c r="I142" s="3" t="s">
        <v>2109</v>
      </c>
    </row>
    <row r="143" ht="33" spans="1:9">
      <c r="A143" s="5" t="s">
        <v>783</v>
      </c>
      <c r="B143" s="5" t="s">
        <v>784</v>
      </c>
      <c r="C143" s="5">
        <v>2</v>
      </c>
      <c r="D143" s="5" t="s">
        <v>2110</v>
      </c>
      <c r="E143" s="3" t="s">
        <v>2111</v>
      </c>
      <c r="F143" s="3" t="s">
        <v>2039</v>
      </c>
      <c r="G143" s="3" t="s">
        <v>377</v>
      </c>
      <c r="H143" s="3" t="s">
        <v>284</v>
      </c>
      <c r="I143" s="3" t="s">
        <v>2112</v>
      </c>
    </row>
    <row r="144" ht="33" spans="1:9">
      <c r="A144" s="5" t="s">
        <v>783</v>
      </c>
      <c r="B144" s="5" t="s">
        <v>784</v>
      </c>
      <c r="C144" s="5">
        <v>3</v>
      </c>
      <c r="D144" s="5" t="s">
        <v>2098</v>
      </c>
      <c r="E144" s="3" t="s">
        <v>2099</v>
      </c>
      <c r="F144" s="3" t="s">
        <v>1843</v>
      </c>
      <c r="G144" s="3" t="s">
        <v>1198</v>
      </c>
      <c r="H144" s="3" t="s">
        <v>1153</v>
      </c>
      <c r="I144" s="3" t="s">
        <v>2100</v>
      </c>
    </row>
    <row r="145" ht="16.5" spans="1:9">
      <c r="A145" s="5" t="s">
        <v>788</v>
      </c>
      <c r="B145" s="5" t="s">
        <v>789</v>
      </c>
      <c r="C145" s="5">
        <v>1</v>
      </c>
      <c r="D145" s="5" t="s">
        <v>2113</v>
      </c>
      <c r="E145" s="3" t="s">
        <v>2114</v>
      </c>
      <c r="F145" s="3" t="s">
        <v>1770</v>
      </c>
      <c r="G145" s="3" t="s">
        <v>788</v>
      </c>
      <c r="H145" s="3" t="s">
        <v>722</v>
      </c>
      <c r="I145" s="3" t="s">
        <v>2115</v>
      </c>
    </row>
    <row r="146" ht="33" spans="1:9">
      <c r="A146" s="5" t="s">
        <v>788</v>
      </c>
      <c r="B146" s="5" t="s">
        <v>789</v>
      </c>
      <c r="C146" s="5">
        <v>2</v>
      </c>
      <c r="D146" s="5" t="s">
        <v>2116</v>
      </c>
      <c r="E146" s="3" t="s">
        <v>2117</v>
      </c>
      <c r="F146" s="3" t="s">
        <v>2023</v>
      </c>
      <c r="G146" s="3" t="s">
        <v>396</v>
      </c>
      <c r="H146" s="3" t="s">
        <v>315</v>
      </c>
      <c r="I146" s="3" t="s">
        <v>2118</v>
      </c>
    </row>
    <row r="147" ht="33" spans="1:9">
      <c r="A147" s="5" t="s">
        <v>788</v>
      </c>
      <c r="B147" s="5" t="s">
        <v>789</v>
      </c>
      <c r="C147" s="5">
        <v>3</v>
      </c>
      <c r="D147" s="5" t="s">
        <v>2119</v>
      </c>
      <c r="E147" s="3" t="s">
        <v>2120</v>
      </c>
      <c r="F147" s="3" t="s">
        <v>1843</v>
      </c>
      <c r="G147" s="3" t="s">
        <v>1198</v>
      </c>
      <c r="H147" s="3" t="s">
        <v>1153</v>
      </c>
      <c r="I147" s="3" t="s">
        <v>2121</v>
      </c>
    </row>
    <row r="148" ht="16.5" spans="1:9">
      <c r="A148" s="5" t="s">
        <v>793</v>
      </c>
      <c r="B148" s="5" t="s">
        <v>794</v>
      </c>
      <c r="C148" s="5">
        <v>1</v>
      </c>
      <c r="D148" s="5" t="s">
        <v>2122</v>
      </c>
      <c r="E148" s="3" t="s">
        <v>2123</v>
      </c>
      <c r="F148" s="3" t="s">
        <v>1770</v>
      </c>
      <c r="G148" s="3" t="s">
        <v>793</v>
      </c>
      <c r="H148" s="3" t="s">
        <v>729</v>
      </c>
      <c r="I148" s="3" t="s">
        <v>2124</v>
      </c>
    </row>
    <row r="149" ht="33" spans="1:9">
      <c r="A149" s="5" t="s">
        <v>793</v>
      </c>
      <c r="B149" s="5" t="s">
        <v>794</v>
      </c>
      <c r="C149" s="5">
        <v>2</v>
      </c>
      <c r="D149" s="5" t="s">
        <v>2125</v>
      </c>
      <c r="E149" s="3" t="s">
        <v>2126</v>
      </c>
      <c r="F149" s="3" t="s">
        <v>1875</v>
      </c>
      <c r="G149" s="3" t="s">
        <v>368</v>
      </c>
      <c r="H149" s="3" t="s">
        <v>232</v>
      </c>
      <c r="I149" s="3" t="s">
        <v>2127</v>
      </c>
    </row>
    <row r="150" ht="33" spans="1:9">
      <c r="A150" s="5" t="s">
        <v>793</v>
      </c>
      <c r="B150" s="5" t="s">
        <v>794</v>
      </c>
      <c r="C150" s="5">
        <v>3</v>
      </c>
      <c r="D150" s="5" t="s">
        <v>2119</v>
      </c>
      <c r="E150" s="3" t="s">
        <v>2120</v>
      </c>
      <c r="F150" s="3" t="s">
        <v>1843</v>
      </c>
      <c r="G150" s="3" t="s">
        <v>1198</v>
      </c>
      <c r="H150" s="3" t="s">
        <v>1153</v>
      </c>
      <c r="I150" s="3" t="s">
        <v>2121</v>
      </c>
    </row>
    <row r="151" ht="16.5" spans="1:9">
      <c r="A151" s="5" t="s">
        <v>798</v>
      </c>
      <c r="B151" s="5" t="s">
        <v>799</v>
      </c>
      <c r="C151" s="5">
        <v>1</v>
      </c>
      <c r="D151" s="5" t="s">
        <v>2128</v>
      </c>
      <c r="E151" s="3" t="s">
        <v>2129</v>
      </c>
      <c r="F151" s="3" t="s">
        <v>1770</v>
      </c>
      <c r="G151" s="3" t="s">
        <v>798</v>
      </c>
      <c r="H151" s="3" t="s">
        <v>722</v>
      </c>
      <c r="I151" s="3" t="s">
        <v>2130</v>
      </c>
    </row>
    <row r="152" ht="33" spans="1:9">
      <c r="A152" s="5" t="s">
        <v>798</v>
      </c>
      <c r="B152" s="5" t="s">
        <v>799</v>
      </c>
      <c r="C152" s="5">
        <v>2</v>
      </c>
      <c r="D152" s="5" t="s">
        <v>2131</v>
      </c>
      <c r="E152" s="3" t="s">
        <v>2132</v>
      </c>
      <c r="F152" s="3" t="s">
        <v>2023</v>
      </c>
      <c r="G152" s="3" t="s">
        <v>396</v>
      </c>
      <c r="H152" s="3" t="s">
        <v>315</v>
      </c>
      <c r="I152" s="3" t="s">
        <v>2133</v>
      </c>
    </row>
    <row r="153" ht="33" spans="1:9">
      <c r="A153" s="5" t="s">
        <v>798</v>
      </c>
      <c r="B153" s="5" t="s">
        <v>799</v>
      </c>
      <c r="C153" s="5">
        <v>3</v>
      </c>
      <c r="D153" s="5" t="s">
        <v>2134</v>
      </c>
      <c r="E153" s="3" t="s">
        <v>2135</v>
      </c>
      <c r="F153" s="3" t="s">
        <v>1843</v>
      </c>
      <c r="G153" s="3" t="s">
        <v>1198</v>
      </c>
      <c r="H153" s="3" t="s">
        <v>1153</v>
      </c>
      <c r="I153" s="3" t="s">
        <v>2136</v>
      </c>
    </row>
    <row r="154" ht="16.5" spans="1:9">
      <c r="A154" s="5" t="s">
        <v>803</v>
      </c>
      <c r="B154" s="5" t="s">
        <v>804</v>
      </c>
      <c r="C154" s="5">
        <v>1</v>
      </c>
      <c r="D154" s="5" t="s">
        <v>2137</v>
      </c>
      <c r="E154" s="3" t="s">
        <v>2138</v>
      </c>
      <c r="F154" s="3" t="s">
        <v>1770</v>
      </c>
      <c r="G154" s="3" t="s">
        <v>803</v>
      </c>
      <c r="H154" s="3" t="s">
        <v>729</v>
      </c>
      <c r="I154" s="3" t="s">
        <v>2139</v>
      </c>
    </row>
    <row r="155" ht="33" spans="1:9">
      <c r="A155" s="5" t="s">
        <v>803</v>
      </c>
      <c r="B155" s="5" t="s">
        <v>804</v>
      </c>
      <c r="C155" s="5">
        <v>2</v>
      </c>
      <c r="D155" s="5" t="s">
        <v>2140</v>
      </c>
      <c r="E155" s="3" t="s">
        <v>2141</v>
      </c>
      <c r="F155" s="3" t="s">
        <v>1875</v>
      </c>
      <c r="G155" s="3" t="s">
        <v>368</v>
      </c>
      <c r="H155" s="3" t="s">
        <v>232</v>
      </c>
      <c r="I155" s="3" t="s">
        <v>2142</v>
      </c>
    </row>
    <row r="156" ht="33" spans="1:9">
      <c r="A156" s="5" t="s">
        <v>803</v>
      </c>
      <c r="B156" s="5" t="s">
        <v>804</v>
      </c>
      <c r="C156" s="5">
        <v>3</v>
      </c>
      <c r="D156" s="5" t="s">
        <v>2134</v>
      </c>
      <c r="E156" s="3" t="s">
        <v>2135</v>
      </c>
      <c r="F156" s="3" t="s">
        <v>1843</v>
      </c>
      <c r="G156" s="3" t="s">
        <v>1198</v>
      </c>
      <c r="H156" s="3" t="s">
        <v>1153</v>
      </c>
      <c r="I156" s="3" t="s">
        <v>2136</v>
      </c>
    </row>
    <row r="157" ht="16.5" spans="1:9">
      <c r="A157" s="5" t="s">
        <v>808</v>
      </c>
      <c r="B157" s="5" t="s">
        <v>809</v>
      </c>
      <c r="C157" s="5">
        <v>1</v>
      </c>
      <c r="D157" s="5" t="s">
        <v>2143</v>
      </c>
      <c r="E157" s="3" t="s">
        <v>2144</v>
      </c>
      <c r="F157" s="3" t="s">
        <v>1770</v>
      </c>
      <c r="G157" s="3" t="s">
        <v>808</v>
      </c>
      <c r="H157" s="3" t="s">
        <v>722</v>
      </c>
      <c r="I157" s="3" t="s">
        <v>2145</v>
      </c>
    </row>
    <row r="158" ht="33" spans="1:9">
      <c r="A158" s="5" t="s">
        <v>808</v>
      </c>
      <c r="B158" s="5" t="s">
        <v>809</v>
      </c>
      <c r="C158" s="5">
        <v>2</v>
      </c>
      <c r="D158" s="5" t="s">
        <v>2146</v>
      </c>
      <c r="E158" s="3" t="s">
        <v>2147</v>
      </c>
      <c r="F158" s="3" t="s">
        <v>2023</v>
      </c>
      <c r="G158" s="3" t="s">
        <v>396</v>
      </c>
      <c r="H158" s="3" t="s">
        <v>315</v>
      </c>
      <c r="I158" s="3" t="s">
        <v>2148</v>
      </c>
    </row>
    <row r="159" ht="33" spans="1:9">
      <c r="A159" s="5" t="s">
        <v>808</v>
      </c>
      <c r="B159" s="5" t="s">
        <v>809</v>
      </c>
      <c r="C159" s="5">
        <v>3</v>
      </c>
      <c r="D159" s="5" t="s">
        <v>2149</v>
      </c>
      <c r="E159" s="3" t="s">
        <v>2150</v>
      </c>
      <c r="F159" s="3" t="s">
        <v>1843</v>
      </c>
      <c r="G159" s="3" t="s">
        <v>1198</v>
      </c>
      <c r="H159" s="3" t="s">
        <v>1153</v>
      </c>
      <c r="I159" s="3" t="s">
        <v>2151</v>
      </c>
    </row>
    <row r="160" ht="16.5" spans="1:9">
      <c r="A160" s="5" t="s">
        <v>813</v>
      </c>
      <c r="B160" s="5" t="s">
        <v>814</v>
      </c>
      <c r="C160" s="5">
        <v>1</v>
      </c>
      <c r="D160" s="5" t="s">
        <v>2152</v>
      </c>
      <c r="E160" s="3" t="s">
        <v>2153</v>
      </c>
      <c r="F160" s="3" t="s">
        <v>1770</v>
      </c>
      <c r="G160" s="3" t="s">
        <v>813</v>
      </c>
      <c r="H160" s="3" t="s">
        <v>729</v>
      </c>
      <c r="I160" s="3" t="s">
        <v>2154</v>
      </c>
    </row>
    <row r="161" ht="33" spans="1:9">
      <c r="A161" s="5" t="s">
        <v>813</v>
      </c>
      <c r="B161" s="5" t="s">
        <v>814</v>
      </c>
      <c r="C161" s="5">
        <v>2</v>
      </c>
      <c r="D161" s="5" t="s">
        <v>2155</v>
      </c>
      <c r="E161" s="3" t="s">
        <v>2156</v>
      </c>
      <c r="F161" s="3" t="s">
        <v>1875</v>
      </c>
      <c r="G161" s="3" t="s">
        <v>368</v>
      </c>
      <c r="H161" s="3" t="s">
        <v>232</v>
      </c>
      <c r="I161" s="3" t="s">
        <v>2157</v>
      </c>
    </row>
    <row r="162" ht="33" spans="1:9">
      <c r="A162" s="5" t="s">
        <v>813</v>
      </c>
      <c r="B162" s="5" t="s">
        <v>814</v>
      </c>
      <c r="C162" s="5">
        <v>3</v>
      </c>
      <c r="D162" s="5" t="s">
        <v>2149</v>
      </c>
      <c r="E162" s="3" t="s">
        <v>2150</v>
      </c>
      <c r="F162" s="3" t="s">
        <v>1843</v>
      </c>
      <c r="G162" s="3" t="s">
        <v>1198</v>
      </c>
      <c r="H162" s="3" t="s">
        <v>1153</v>
      </c>
      <c r="I162" s="3" t="s">
        <v>2151</v>
      </c>
    </row>
    <row r="163" ht="16.5" spans="1:9">
      <c r="A163" s="5" t="s">
        <v>818</v>
      </c>
      <c r="B163" s="5" t="s">
        <v>819</v>
      </c>
      <c r="C163" s="5">
        <v>1</v>
      </c>
      <c r="D163" s="5" t="s">
        <v>2158</v>
      </c>
      <c r="E163" s="3" t="s">
        <v>2159</v>
      </c>
      <c r="F163" s="3" t="s">
        <v>1770</v>
      </c>
      <c r="G163" s="3" t="s">
        <v>818</v>
      </c>
      <c r="H163" s="3" t="s">
        <v>722</v>
      </c>
      <c r="I163" s="3" t="s">
        <v>2160</v>
      </c>
    </row>
    <row r="164" ht="33" spans="1:9">
      <c r="A164" s="5" t="s">
        <v>818</v>
      </c>
      <c r="B164" s="5" t="s">
        <v>819</v>
      </c>
      <c r="C164" s="5">
        <v>2</v>
      </c>
      <c r="D164" s="5" t="s">
        <v>2161</v>
      </c>
      <c r="E164" s="3" t="s">
        <v>2162</v>
      </c>
      <c r="F164" s="3" t="s">
        <v>2023</v>
      </c>
      <c r="G164" s="3" t="s">
        <v>396</v>
      </c>
      <c r="H164" s="3" t="s">
        <v>315</v>
      </c>
      <c r="I164" s="3" t="s">
        <v>2163</v>
      </c>
    </row>
    <row r="165" ht="33" spans="1:9">
      <c r="A165" s="5" t="s">
        <v>818</v>
      </c>
      <c r="B165" s="5" t="s">
        <v>819</v>
      </c>
      <c r="C165" s="5">
        <v>3</v>
      </c>
      <c r="D165" s="5" t="s">
        <v>2164</v>
      </c>
      <c r="E165" s="3" t="s">
        <v>2165</v>
      </c>
      <c r="F165" s="3" t="s">
        <v>1843</v>
      </c>
      <c r="G165" s="3" t="s">
        <v>1198</v>
      </c>
      <c r="H165" s="3" t="s">
        <v>1153</v>
      </c>
      <c r="I165" s="3" t="s">
        <v>2166</v>
      </c>
    </row>
    <row r="166" ht="16.5" spans="1:9">
      <c r="A166" s="5" t="s">
        <v>823</v>
      </c>
      <c r="B166" s="5" t="s">
        <v>824</v>
      </c>
      <c r="C166" s="5">
        <v>1</v>
      </c>
      <c r="D166" s="5" t="s">
        <v>2167</v>
      </c>
      <c r="E166" s="3" t="s">
        <v>2168</v>
      </c>
      <c r="F166" s="3" t="s">
        <v>1770</v>
      </c>
      <c r="G166" s="3" t="s">
        <v>823</v>
      </c>
      <c r="H166" s="3" t="s">
        <v>729</v>
      </c>
      <c r="I166" s="3" t="s">
        <v>2169</v>
      </c>
    </row>
    <row r="167" ht="33" spans="1:9">
      <c r="A167" s="5" t="s">
        <v>823</v>
      </c>
      <c r="B167" s="5" t="s">
        <v>824</v>
      </c>
      <c r="C167" s="5">
        <v>2</v>
      </c>
      <c r="D167" s="5" t="s">
        <v>2170</v>
      </c>
      <c r="E167" s="3" t="s">
        <v>2171</v>
      </c>
      <c r="F167" s="3" t="s">
        <v>1875</v>
      </c>
      <c r="G167" s="3" t="s">
        <v>368</v>
      </c>
      <c r="H167" s="3" t="s">
        <v>232</v>
      </c>
      <c r="I167" s="3" t="s">
        <v>2172</v>
      </c>
    </row>
    <row r="168" ht="33" spans="1:9">
      <c r="A168" s="5" t="s">
        <v>823</v>
      </c>
      <c r="B168" s="5" t="s">
        <v>824</v>
      </c>
      <c r="C168" s="5">
        <v>3</v>
      </c>
      <c r="D168" s="5" t="s">
        <v>2164</v>
      </c>
      <c r="E168" s="3" t="s">
        <v>2165</v>
      </c>
      <c r="F168" s="3" t="s">
        <v>1843</v>
      </c>
      <c r="G168" s="3" t="s">
        <v>1198</v>
      </c>
      <c r="H168" s="3" t="s">
        <v>1153</v>
      </c>
      <c r="I168" s="3" t="s">
        <v>2166</v>
      </c>
    </row>
    <row r="169" ht="16.5" spans="1:9">
      <c r="A169" s="5" t="s">
        <v>828</v>
      </c>
      <c r="B169" s="5" t="s">
        <v>829</v>
      </c>
      <c r="C169" s="5">
        <v>1</v>
      </c>
      <c r="D169" s="5" t="s">
        <v>2173</v>
      </c>
      <c r="E169" s="3" t="s">
        <v>2174</v>
      </c>
      <c r="F169" s="3" t="s">
        <v>1770</v>
      </c>
      <c r="G169" s="3" t="s">
        <v>828</v>
      </c>
      <c r="H169" s="3" t="s">
        <v>722</v>
      </c>
      <c r="I169" s="3" t="s">
        <v>2175</v>
      </c>
    </row>
    <row r="170" ht="33" spans="1:9">
      <c r="A170" s="5" t="s">
        <v>828</v>
      </c>
      <c r="B170" s="5" t="s">
        <v>829</v>
      </c>
      <c r="C170" s="5">
        <v>2</v>
      </c>
      <c r="D170" s="5" t="s">
        <v>2176</v>
      </c>
      <c r="E170" s="3" t="s">
        <v>2177</v>
      </c>
      <c r="F170" s="3" t="s">
        <v>2023</v>
      </c>
      <c r="G170" s="3" t="s">
        <v>396</v>
      </c>
      <c r="H170" s="3" t="s">
        <v>315</v>
      </c>
      <c r="I170" s="3" t="s">
        <v>2178</v>
      </c>
    </row>
    <row r="171" ht="33" spans="1:9">
      <c r="A171" s="5" t="s">
        <v>828</v>
      </c>
      <c r="B171" s="5" t="s">
        <v>829</v>
      </c>
      <c r="C171" s="5">
        <v>3</v>
      </c>
      <c r="D171" s="5" t="s">
        <v>2179</v>
      </c>
      <c r="E171" s="3" t="s">
        <v>2180</v>
      </c>
      <c r="F171" s="3" t="s">
        <v>1843</v>
      </c>
      <c r="G171" s="3" t="s">
        <v>1198</v>
      </c>
      <c r="H171" s="3" t="s">
        <v>1153</v>
      </c>
      <c r="I171" s="3" t="s">
        <v>2181</v>
      </c>
    </row>
    <row r="172" ht="16.5" spans="1:9">
      <c r="A172" s="5" t="s">
        <v>833</v>
      </c>
      <c r="B172" s="5" t="s">
        <v>834</v>
      </c>
      <c r="C172" s="5">
        <v>1</v>
      </c>
      <c r="D172" s="5" t="s">
        <v>2182</v>
      </c>
      <c r="E172" s="3" t="s">
        <v>2183</v>
      </c>
      <c r="F172" s="3" t="s">
        <v>1770</v>
      </c>
      <c r="G172" s="3" t="s">
        <v>833</v>
      </c>
      <c r="H172" s="3" t="s">
        <v>729</v>
      </c>
      <c r="I172" s="3" t="s">
        <v>2184</v>
      </c>
    </row>
    <row r="173" ht="33" spans="1:9">
      <c r="A173" s="5" t="s">
        <v>833</v>
      </c>
      <c r="B173" s="5" t="s">
        <v>834</v>
      </c>
      <c r="C173" s="5">
        <v>2</v>
      </c>
      <c r="D173" s="5" t="s">
        <v>2185</v>
      </c>
      <c r="E173" s="3" t="s">
        <v>2186</v>
      </c>
      <c r="F173" s="3" t="s">
        <v>1875</v>
      </c>
      <c r="G173" s="3" t="s">
        <v>368</v>
      </c>
      <c r="H173" s="3" t="s">
        <v>232</v>
      </c>
      <c r="I173" s="3" t="s">
        <v>2187</v>
      </c>
    </row>
    <row r="174" ht="33" spans="1:9">
      <c r="A174" s="5" t="s">
        <v>833</v>
      </c>
      <c r="B174" s="5" t="s">
        <v>834</v>
      </c>
      <c r="C174" s="5">
        <v>3</v>
      </c>
      <c r="D174" s="5" t="s">
        <v>2179</v>
      </c>
      <c r="E174" s="3" t="s">
        <v>2180</v>
      </c>
      <c r="F174" s="3" t="s">
        <v>1843</v>
      </c>
      <c r="G174" s="3" t="s">
        <v>1198</v>
      </c>
      <c r="H174" s="3" t="s">
        <v>1153</v>
      </c>
      <c r="I174" s="3" t="s">
        <v>2181</v>
      </c>
    </row>
    <row r="175" ht="16.5" spans="1:9">
      <c r="A175" s="5" t="s">
        <v>838</v>
      </c>
      <c r="B175" s="5" t="s">
        <v>839</v>
      </c>
      <c r="C175" s="5">
        <v>1</v>
      </c>
      <c r="D175" s="5" t="s">
        <v>2188</v>
      </c>
      <c r="E175" s="3" t="s">
        <v>2189</v>
      </c>
      <c r="F175" s="3" t="s">
        <v>1770</v>
      </c>
      <c r="G175" s="3" t="s">
        <v>838</v>
      </c>
      <c r="H175" s="3" t="s">
        <v>722</v>
      </c>
      <c r="I175" s="3" t="s">
        <v>2190</v>
      </c>
    </row>
    <row r="176" ht="33" spans="1:9">
      <c r="A176" s="5" t="s">
        <v>838</v>
      </c>
      <c r="B176" s="5" t="s">
        <v>839</v>
      </c>
      <c r="C176" s="5">
        <v>2</v>
      </c>
      <c r="D176" s="5" t="s">
        <v>2191</v>
      </c>
      <c r="E176" s="3" t="s">
        <v>2192</v>
      </c>
      <c r="F176" s="3" t="s">
        <v>2023</v>
      </c>
      <c r="G176" s="3" t="s">
        <v>396</v>
      </c>
      <c r="H176" s="3" t="s">
        <v>315</v>
      </c>
      <c r="I176" s="3" t="s">
        <v>2193</v>
      </c>
    </row>
    <row r="177" ht="33" spans="1:9">
      <c r="A177" s="5" t="s">
        <v>838</v>
      </c>
      <c r="B177" s="5" t="s">
        <v>839</v>
      </c>
      <c r="C177" s="5">
        <v>3</v>
      </c>
      <c r="D177" s="5" t="s">
        <v>2194</v>
      </c>
      <c r="E177" s="3" t="s">
        <v>2195</v>
      </c>
      <c r="F177" s="3" t="s">
        <v>1843</v>
      </c>
      <c r="G177" s="3" t="s">
        <v>1198</v>
      </c>
      <c r="H177" s="3" t="s">
        <v>1153</v>
      </c>
      <c r="I177" s="3" t="s">
        <v>2196</v>
      </c>
    </row>
    <row r="178" ht="16.5" spans="1:9">
      <c r="A178" s="5" t="s">
        <v>843</v>
      </c>
      <c r="B178" s="5" t="s">
        <v>844</v>
      </c>
      <c r="C178" s="5">
        <v>1</v>
      </c>
      <c r="D178" s="5" t="s">
        <v>2197</v>
      </c>
      <c r="E178" s="3" t="s">
        <v>2198</v>
      </c>
      <c r="F178" s="3" t="s">
        <v>1770</v>
      </c>
      <c r="G178" s="3" t="s">
        <v>843</v>
      </c>
      <c r="H178" s="3" t="s">
        <v>729</v>
      </c>
      <c r="I178" s="3" t="s">
        <v>2199</v>
      </c>
    </row>
    <row r="179" ht="33" spans="1:9">
      <c r="A179" s="5" t="s">
        <v>843</v>
      </c>
      <c r="B179" s="5" t="s">
        <v>844</v>
      </c>
      <c r="C179" s="5">
        <v>2</v>
      </c>
      <c r="D179" s="5" t="s">
        <v>2200</v>
      </c>
      <c r="E179" s="3" t="s">
        <v>2201</v>
      </c>
      <c r="F179" s="3" t="s">
        <v>1875</v>
      </c>
      <c r="G179" s="3" t="s">
        <v>368</v>
      </c>
      <c r="H179" s="3" t="s">
        <v>232</v>
      </c>
      <c r="I179" s="3" t="s">
        <v>2202</v>
      </c>
    </row>
    <row r="180" ht="33" spans="1:9">
      <c r="A180" s="5" t="s">
        <v>843</v>
      </c>
      <c r="B180" s="5" t="s">
        <v>844</v>
      </c>
      <c r="C180" s="5">
        <v>3</v>
      </c>
      <c r="D180" s="5" t="s">
        <v>2194</v>
      </c>
      <c r="E180" s="3" t="s">
        <v>2195</v>
      </c>
      <c r="F180" s="3" t="s">
        <v>1843</v>
      </c>
      <c r="G180" s="3" t="s">
        <v>1198</v>
      </c>
      <c r="H180" s="3" t="s">
        <v>1153</v>
      </c>
      <c r="I180" s="3" t="s">
        <v>2196</v>
      </c>
    </row>
    <row r="181" ht="16.5" spans="1:9">
      <c r="A181" s="5" t="s">
        <v>848</v>
      </c>
      <c r="B181" s="5" t="s">
        <v>849</v>
      </c>
      <c r="C181" s="5">
        <v>1</v>
      </c>
      <c r="D181" s="5" t="s">
        <v>2203</v>
      </c>
      <c r="E181" s="3" t="s">
        <v>2204</v>
      </c>
      <c r="F181" s="3" t="s">
        <v>1770</v>
      </c>
      <c r="G181" s="3" t="s">
        <v>848</v>
      </c>
      <c r="H181" s="3" t="s">
        <v>722</v>
      </c>
      <c r="I181" s="3" t="s">
        <v>2205</v>
      </c>
    </row>
    <row r="182" ht="33" spans="1:9">
      <c r="A182" s="5" t="s">
        <v>848</v>
      </c>
      <c r="B182" s="5" t="s">
        <v>849</v>
      </c>
      <c r="C182" s="5">
        <v>2</v>
      </c>
      <c r="D182" s="5" t="s">
        <v>2206</v>
      </c>
      <c r="E182" s="3" t="s">
        <v>2207</v>
      </c>
      <c r="F182" s="3" t="s">
        <v>2023</v>
      </c>
      <c r="G182" s="3" t="s">
        <v>396</v>
      </c>
      <c r="H182" s="3" t="s">
        <v>315</v>
      </c>
      <c r="I182" s="3" t="s">
        <v>2208</v>
      </c>
    </row>
    <row r="183" ht="33" spans="1:9">
      <c r="A183" s="5" t="s">
        <v>848</v>
      </c>
      <c r="B183" s="5" t="s">
        <v>849</v>
      </c>
      <c r="C183" s="5">
        <v>3</v>
      </c>
      <c r="D183" s="5" t="s">
        <v>2209</v>
      </c>
      <c r="E183" s="3" t="s">
        <v>2210</v>
      </c>
      <c r="F183" s="3" t="s">
        <v>1843</v>
      </c>
      <c r="G183" s="3" t="s">
        <v>1198</v>
      </c>
      <c r="H183" s="3" t="s">
        <v>1153</v>
      </c>
      <c r="I183" s="3" t="s">
        <v>2211</v>
      </c>
    </row>
    <row r="184" ht="16.5" spans="1:9">
      <c r="A184" s="5" t="s">
        <v>853</v>
      </c>
      <c r="B184" s="5" t="s">
        <v>854</v>
      </c>
      <c r="C184" s="5">
        <v>1</v>
      </c>
      <c r="D184" s="5" t="s">
        <v>2212</v>
      </c>
      <c r="E184" s="3" t="s">
        <v>2213</v>
      </c>
      <c r="F184" s="3" t="s">
        <v>1770</v>
      </c>
      <c r="G184" s="3" t="s">
        <v>853</v>
      </c>
      <c r="H184" s="3" t="s">
        <v>729</v>
      </c>
      <c r="I184" s="3" t="s">
        <v>2214</v>
      </c>
    </row>
    <row r="185" ht="33" spans="1:9">
      <c r="A185" s="5" t="s">
        <v>853</v>
      </c>
      <c r="B185" s="5" t="s">
        <v>854</v>
      </c>
      <c r="C185" s="5">
        <v>2</v>
      </c>
      <c r="D185" s="5" t="s">
        <v>2215</v>
      </c>
      <c r="E185" s="3" t="s">
        <v>2216</v>
      </c>
      <c r="F185" s="3" t="s">
        <v>1875</v>
      </c>
      <c r="G185" s="3" t="s">
        <v>368</v>
      </c>
      <c r="H185" s="3" t="s">
        <v>232</v>
      </c>
      <c r="I185" s="3" t="s">
        <v>2217</v>
      </c>
    </row>
    <row r="186" ht="33" spans="1:9">
      <c r="A186" s="5" t="s">
        <v>853</v>
      </c>
      <c r="B186" s="5" t="s">
        <v>854</v>
      </c>
      <c r="C186" s="5">
        <v>3</v>
      </c>
      <c r="D186" s="5" t="s">
        <v>2209</v>
      </c>
      <c r="E186" s="3" t="s">
        <v>2210</v>
      </c>
      <c r="F186" s="3" t="s">
        <v>1843</v>
      </c>
      <c r="G186" s="3" t="s">
        <v>1198</v>
      </c>
      <c r="H186" s="3" t="s">
        <v>1153</v>
      </c>
      <c r="I186" s="3" t="s">
        <v>2211</v>
      </c>
    </row>
    <row r="187" ht="16.5" spans="1:9">
      <c r="A187" s="5" t="s">
        <v>858</v>
      </c>
      <c r="B187" s="5" t="s">
        <v>859</v>
      </c>
      <c r="C187" s="5">
        <v>1</v>
      </c>
      <c r="D187" s="5" t="s">
        <v>2218</v>
      </c>
      <c r="E187" s="3" t="s">
        <v>2219</v>
      </c>
      <c r="F187" s="3" t="s">
        <v>1770</v>
      </c>
      <c r="G187" s="3" t="s">
        <v>858</v>
      </c>
      <c r="H187" s="3" t="s">
        <v>722</v>
      </c>
      <c r="I187" s="3" t="s">
        <v>2220</v>
      </c>
    </row>
    <row r="188" ht="33" spans="1:9">
      <c r="A188" s="5" t="s">
        <v>858</v>
      </c>
      <c r="B188" s="5" t="s">
        <v>859</v>
      </c>
      <c r="C188" s="5">
        <v>2</v>
      </c>
      <c r="D188" s="5" t="s">
        <v>2221</v>
      </c>
      <c r="E188" s="3" t="s">
        <v>2222</v>
      </c>
      <c r="F188" s="3" t="s">
        <v>2023</v>
      </c>
      <c r="G188" s="3" t="s">
        <v>396</v>
      </c>
      <c r="H188" s="3" t="s">
        <v>315</v>
      </c>
      <c r="I188" s="3" t="s">
        <v>2223</v>
      </c>
    </row>
    <row r="189" ht="33" spans="1:9">
      <c r="A189" s="5" t="s">
        <v>858</v>
      </c>
      <c r="B189" s="5" t="s">
        <v>859</v>
      </c>
      <c r="C189" s="5">
        <v>3</v>
      </c>
      <c r="D189" s="5" t="s">
        <v>2224</v>
      </c>
      <c r="E189" s="3" t="s">
        <v>2225</v>
      </c>
      <c r="F189" s="3" t="s">
        <v>1843</v>
      </c>
      <c r="G189" s="3" t="s">
        <v>1198</v>
      </c>
      <c r="H189" s="3" t="s">
        <v>1153</v>
      </c>
      <c r="I189" s="3" t="s">
        <v>2226</v>
      </c>
    </row>
    <row r="190" ht="16.5" spans="1:9">
      <c r="A190" s="5" t="s">
        <v>863</v>
      </c>
      <c r="B190" s="5" t="s">
        <v>864</v>
      </c>
      <c r="C190" s="5">
        <v>1</v>
      </c>
      <c r="D190" s="5" t="s">
        <v>2227</v>
      </c>
      <c r="E190" s="3" t="s">
        <v>2228</v>
      </c>
      <c r="F190" s="3" t="s">
        <v>1770</v>
      </c>
      <c r="G190" s="3" t="s">
        <v>863</v>
      </c>
      <c r="H190" s="3" t="s">
        <v>729</v>
      </c>
      <c r="I190" s="3" t="s">
        <v>2229</v>
      </c>
    </row>
    <row r="191" ht="33" spans="1:9">
      <c r="A191" s="5" t="s">
        <v>863</v>
      </c>
      <c r="B191" s="5" t="s">
        <v>864</v>
      </c>
      <c r="C191" s="5">
        <v>2</v>
      </c>
      <c r="D191" s="5" t="s">
        <v>2230</v>
      </c>
      <c r="E191" s="3" t="s">
        <v>2231</v>
      </c>
      <c r="F191" s="3" t="s">
        <v>1875</v>
      </c>
      <c r="G191" s="3" t="s">
        <v>368</v>
      </c>
      <c r="H191" s="3" t="s">
        <v>232</v>
      </c>
      <c r="I191" s="3" t="s">
        <v>2232</v>
      </c>
    </row>
    <row r="192" ht="33" spans="1:9">
      <c r="A192" s="5" t="s">
        <v>863</v>
      </c>
      <c r="B192" s="5" t="s">
        <v>864</v>
      </c>
      <c r="C192" s="5">
        <v>3</v>
      </c>
      <c r="D192" s="5" t="s">
        <v>2224</v>
      </c>
      <c r="E192" s="3" t="s">
        <v>2225</v>
      </c>
      <c r="F192" s="3" t="s">
        <v>1843</v>
      </c>
      <c r="G192" s="3" t="s">
        <v>1198</v>
      </c>
      <c r="H192" s="3" t="s">
        <v>1153</v>
      </c>
      <c r="I192" s="3" t="s">
        <v>2226</v>
      </c>
    </row>
    <row r="193" ht="16.5" spans="1:9">
      <c r="A193" s="5" t="s">
        <v>868</v>
      </c>
      <c r="B193" s="5" t="s">
        <v>869</v>
      </c>
      <c r="C193" s="5">
        <v>1</v>
      </c>
      <c r="D193" s="5" t="s">
        <v>2233</v>
      </c>
      <c r="E193" s="3" t="s">
        <v>2234</v>
      </c>
      <c r="F193" s="3" t="s">
        <v>1770</v>
      </c>
      <c r="G193" s="3" t="s">
        <v>868</v>
      </c>
      <c r="H193" s="3" t="s">
        <v>722</v>
      </c>
      <c r="I193" s="3" t="s">
        <v>2235</v>
      </c>
    </row>
    <row r="194" ht="33" spans="1:9">
      <c r="A194" s="5" t="s">
        <v>868</v>
      </c>
      <c r="B194" s="5" t="s">
        <v>869</v>
      </c>
      <c r="C194" s="5">
        <v>2</v>
      </c>
      <c r="D194" s="5" t="s">
        <v>2236</v>
      </c>
      <c r="E194" s="3" t="s">
        <v>2237</v>
      </c>
      <c r="F194" s="3" t="s">
        <v>2023</v>
      </c>
      <c r="G194" s="3" t="s">
        <v>396</v>
      </c>
      <c r="H194" s="3" t="s">
        <v>315</v>
      </c>
      <c r="I194" s="3" t="s">
        <v>2238</v>
      </c>
    </row>
    <row r="195" ht="33" spans="1:9">
      <c r="A195" s="5" t="s">
        <v>868</v>
      </c>
      <c r="B195" s="5" t="s">
        <v>869</v>
      </c>
      <c r="C195" s="5">
        <v>3</v>
      </c>
      <c r="D195" s="5" t="s">
        <v>2239</v>
      </c>
      <c r="E195" s="3" t="s">
        <v>2240</v>
      </c>
      <c r="F195" s="3" t="s">
        <v>1843</v>
      </c>
      <c r="G195" s="3" t="s">
        <v>1198</v>
      </c>
      <c r="H195" s="3" t="s">
        <v>1153</v>
      </c>
      <c r="I195" s="3" t="s">
        <v>2241</v>
      </c>
    </row>
    <row r="196" ht="16.5" spans="1:9">
      <c r="A196" s="5" t="s">
        <v>873</v>
      </c>
      <c r="B196" s="5" t="s">
        <v>874</v>
      </c>
      <c r="C196" s="5">
        <v>1</v>
      </c>
      <c r="D196" s="5" t="s">
        <v>2242</v>
      </c>
      <c r="E196" s="3" t="s">
        <v>2243</v>
      </c>
      <c r="F196" s="3" t="s">
        <v>1770</v>
      </c>
      <c r="G196" s="3" t="s">
        <v>873</v>
      </c>
      <c r="H196" s="3" t="s">
        <v>729</v>
      </c>
      <c r="I196" s="3" t="s">
        <v>2244</v>
      </c>
    </row>
    <row r="197" ht="33" spans="1:9">
      <c r="A197" s="5" t="s">
        <v>873</v>
      </c>
      <c r="B197" s="5" t="s">
        <v>874</v>
      </c>
      <c r="C197" s="5">
        <v>2</v>
      </c>
      <c r="D197" s="5" t="s">
        <v>2245</v>
      </c>
      <c r="E197" s="3" t="s">
        <v>2246</v>
      </c>
      <c r="F197" s="3" t="s">
        <v>1875</v>
      </c>
      <c r="G197" s="3" t="s">
        <v>368</v>
      </c>
      <c r="H197" s="3" t="s">
        <v>232</v>
      </c>
      <c r="I197" s="3" t="s">
        <v>2247</v>
      </c>
    </row>
    <row r="198" ht="33" spans="1:9">
      <c r="A198" s="5" t="s">
        <v>873</v>
      </c>
      <c r="B198" s="5" t="s">
        <v>874</v>
      </c>
      <c r="C198" s="5">
        <v>3</v>
      </c>
      <c r="D198" s="5" t="s">
        <v>2239</v>
      </c>
      <c r="E198" s="3" t="s">
        <v>2240</v>
      </c>
      <c r="F198" s="3" t="s">
        <v>1843</v>
      </c>
      <c r="G198" s="3" t="s">
        <v>1198</v>
      </c>
      <c r="H198" s="3" t="s">
        <v>1153</v>
      </c>
      <c r="I198" s="3" t="s">
        <v>2241</v>
      </c>
    </row>
    <row r="199" ht="16.5" spans="1:9">
      <c r="A199" s="5" t="s">
        <v>878</v>
      </c>
      <c r="B199" s="5" t="s">
        <v>879</v>
      </c>
      <c r="C199" s="5">
        <v>1</v>
      </c>
      <c r="D199" s="5" t="s">
        <v>2248</v>
      </c>
      <c r="E199" s="3" t="s">
        <v>2249</v>
      </c>
      <c r="F199" s="3" t="s">
        <v>1770</v>
      </c>
      <c r="G199" s="3" t="s">
        <v>878</v>
      </c>
      <c r="H199" s="3" t="s">
        <v>882</v>
      </c>
      <c r="I199" s="3" t="s">
        <v>2250</v>
      </c>
    </row>
    <row r="200" ht="33" spans="1:9">
      <c r="A200" s="5" t="s">
        <v>878</v>
      </c>
      <c r="B200" s="5" t="s">
        <v>879</v>
      </c>
      <c r="C200" s="5">
        <v>2</v>
      </c>
      <c r="D200" s="5" t="s">
        <v>2251</v>
      </c>
      <c r="E200" s="3" t="s">
        <v>2252</v>
      </c>
      <c r="F200" s="3" t="s">
        <v>1875</v>
      </c>
      <c r="G200" s="3" t="s">
        <v>368</v>
      </c>
      <c r="H200" s="3" t="s">
        <v>232</v>
      </c>
      <c r="I200" s="3" t="s">
        <v>2253</v>
      </c>
    </row>
    <row r="201" ht="16.5" spans="1:9">
      <c r="A201" s="5" t="s">
        <v>878</v>
      </c>
      <c r="B201" s="5" t="s">
        <v>879</v>
      </c>
      <c r="C201" s="5">
        <v>3</v>
      </c>
      <c r="D201" s="5" t="s">
        <v>2254</v>
      </c>
      <c r="E201" s="3" t="s">
        <v>2255</v>
      </c>
      <c r="F201" s="3" t="s">
        <v>2256</v>
      </c>
      <c r="G201" s="3" t="s">
        <v>1285</v>
      </c>
      <c r="H201" s="3" t="s">
        <v>1216</v>
      </c>
      <c r="I201" s="3" t="s">
        <v>2257</v>
      </c>
    </row>
    <row r="202" ht="16.5" spans="1:9">
      <c r="A202" s="5" t="s">
        <v>886</v>
      </c>
      <c r="B202" s="5" t="s">
        <v>887</v>
      </c>
      <c r="C202" s="5">
        <v>1</v>
      </c>
      <c r="D202" s="5" t="s">
        <v>2258</v>
      </c>
      <c r="E202" s="3" t="s">
        <v>2259</v>
      </c>
      <c r="F202" s="3" t="s">
        <v>1770</v>
      </c>
      <c r="G202" s="3" t="s">
        <v>886</v>
      </c>
      <c r="H202" s="3" t="s">
        <v>882</v>
      </c>
      <c r="I202" s="3" t="s">
        <v>2260</v>
      </c>
    </row>
    <row r="203" ht="33" spans="1:9">
      <c r="A203" s="5" t="s">
        <v>886</v>
      </c>
      <c r="B203" s="5" t="s">
        <v>887</v>
      </c>
      <c r="C203" s="5">
        <v>2</v>
      </c>
      <c r="D203" s="5" t="s">
        <v>2261</v>
      </c>
      <c r="E203" s="3" t="s">
        <v>2262</v>
      </c>
      <c r="F203" s="3" t="s">
        <v>1875</v>
      </c>
      <c r="G203" s="3" t="s">
        <v>368</v>
      </c>
      <c r="H203" s="3" t="s">
        <v>232</v>
      </c>
      <c r="I203" s="3" t="s">
        <v>2263</v>
      </c>
    </row>
    <row r="204" ht="16.5" spans="1:9">
      <c r="A204" s="5" t="s">
        <v>886</v>
      </c>
      <c r="B204" s="5" t="s">
        <v>887</v>
      </c>
      <c r="C204" s="5">
        <v>3</v>
      </c>
      <c r="D204" s="5" t="s">
        <v>2264</v>
      </c>
      <c r="E204" s="3" t="s">
        <v>2265</v>
      </c>
      <c r="F204" s="3" t="s">
        <v>2256</v>
      </c>
      <c r="G204" s="3" t="s">
        <v>1285</v>
      </c>
      <c r="H204" s="3" t="s">
        <v>1216</v>
      </c>
      <c r="I204" s="3" t="s">
        <v>2266</v>
      </c>
    </row>
    <row r="205" ht="16.5" spans="1:9">
      <c r="A205" s="5" t="s">
        <v>891</v>
      </c>
      <c r="B205" s="5" t="s">
        <v>892</v>
      </c>
      <c r="C205" s="5">
        <v>1</v>
      </c>
      <c r="D205" s="5" t="s">
        <v>2267</v>
      </c>
      <c r="E205" s="3" t="s">
        <v>2268</v>
      </c>
      <c r="F205" s="3" t="s">
        <v>1770</v>
      </c>
      <c r="G205" s="3" t="s">
        <v>891</v>
      </c>
      <c r="H205" s="3" t="s">
        <v>882</v>
      </c>
      <c r="I205" s="3" t="s">
        <v>2269</v>
      </c>
    </row>
    <row r="206" ht="33" spans="1:9">
      <c r="A206" s="5" t="s">
        <v>891</v>
      </c>
      <c r="B206" s="5" t="s">
        <v>892</v>
      </c>
      <c r="C206" s="5">
        <v>2</v>
      </c>
      <c r="D206" s="5" t="s">
        <v>2270</v>
      </c>
      <c r="E206" s="3" t="s">
        <v>2271</v>
      </c>
      <c r="F206" s="3" t="s">
        <v>1875</v>
      </c>
      <c r="G206" s="3" t="s">
        <v>368</v>
      </c>
      <c r="H206" s="3" t="s">
        <v>232</v>
      </c>
      <c r="I206" s="3" t="s">
        <v>2272</v>
      </c>
    </row>
    <row r="207" ht="16.5" spans="1:9">
      <c r="A207" s="5" t="s">
        <v>891</v>
      </c>
      <c r="B207" s="5" t="s">
        <v>892</v>
      </c>
      <c r="C207" s="5">
        <v>3</v>
      </c>
      <c r="D207" s="5" t="s">
        <v>2273</v>
      </c>
      <c r="E207" s="3" t="s">
        <v>2274</v>
      </c>
      <c r="F207" s="3" t="s">
        <v>2256</v>
      </c>
      <c r="G207" s="3" t="s">
        <v>1285</v>
      </c>
      <c r="H207" s="3" t="s">
        <v>1216</v>
      </c>
      <c r="I207" s="3" t="s">
        <v>2275</v>
      </c>
    </row>
    <row r="208" ht="16.5" spans="1:9">
      <c r="A208" s="5" t="s">
        <v>897</v>
      </c>
      <c r="B208" s="5" t="s">
        <v>898</v>
      </c>
      <c r="C208" s="5">
        <v>1</v>
      </c>
      <c r="D208" s="5" t="s">
        <v>2276</v>
      </c>
      <c r="E208" s="3" t="s">
        <v>2277</v>
      </c>
      <c r="F208" s="3" t="s">
        <v>1770</v>
      </c>
      <c r="G208" s="3" t="s">
        <v>897</v>
      </c>
      <c r="H208" s="3" t="s">
        <v>882</v>
      </c>
      <c r="I208" s="3" t="s">
        <v>2278</v>
      </c>
    </row>
    <row r="209" ht="33" spans="1:9">
      <c r="A209" s="5" t="s">
        <v>897</v>
      </c>
      <c r="B209" s="5" t="s">
        <v>898</v>
      </c>
      <c r="C209" s="5">
        <v>2</v>
      </c>
      <c r="D209" s="5" t="s">
        <v>2279</v>
      </c>
      <c r="E209" s="3" t="s">
        <v>2280</v>
      </c>
      <c r="F209" s="3" t="s">
        <v>1875</v>
      </c>
      <c r="G209" s="3" t="s">
        <v>368</v>
      </c>
      <c r="H209" s="3" t="s">
        <v>232</v>
      </c>
      <c r="I209" s="3" t="s">
        <v>2281</v>
      </c>
    </row>
    <row r="210" ht="16.5" spans="1:9">
      <c r="A210" s="5" t="s">
        <v>897</v>
      </c>
      <c r="B210" s="5" t="s">
        <v>898</v>
      </c>
      <c r="C210" s="5">
        <v>3</v>
      </c>
      <c r="D210" s="5" t="s">
        <v>2282</v>
      </c>
      <c r="E210" s="3" t="s">
        <v>2283</v>
      </c>
      <c r="F210" s="3" t="s">
        <v>2256</v>
      </c>
      <c r="G210" s="3" t="s">
        <v>1285</v>
      </c>
      <c r="H210" s="3" t="s">
        <v>1216</v>
      </c>
      <c r="I210" s="3" t="s">
        <v>2284</v>
      </c>
    </row>
    <row r="211" ht="16.5" spans="1:9">
      <c r="A211" s="5" t="s">
        <v>903</v>
      </c>
      <c r="B211" s="5" t="s">
        <v>904</v>
      </c>
      <c r="C211" s="5">
        <v>1</v>
      </c>
      <c r="D211" s="5" t="s">
        <v>2285</v>
      </c>
      <c r="E211" s="3" t="s">
        <v>2286</v>
      </c>
      <c r="F211" s="3" t="s">
        <v>1770</v>
      </c>
      <c r="G211" s="3" t="s">
        <v>903</v>
      </c>
      <c r="H211" s="3" t="s">
        <v>882</v>
      </c>
      <c r="I211" s="3" t="s">
        <v>2287</v>
      </c>
    </row>
    <row r="212" ht="33" spans="1:9">
      <c r="A212" s="5" t="s">
        <v>903</v>
      </c>
      <c r="B212" s="5" t="s">
        <v>904</v>
      </c>
      <c r="C212" s="5">
        <v>2</v>
      </c>
      <c r="D212" s="5" t="s">
        <v>2288</v>
      </c>
      <c r="E212" s="3" t="s">
        <v>2289</v>
      </c>
      <c r="F212" s="3" t="s">
        <v>1875</v>
      </c>
      <c r="G212" s="3" t="s">
        <v>368</v>
      </c>
      <c r="H212" s="3" t="s">
        <v>232</v>
      </c>
      <c r="I212" s="3" t="s">
        <v>2290</v>
      </c>
    </row>
    <row r="213" ht="16.5" spans="1:9">
      <c r="A213" s="5" t="s">
        <v>903</v>
      </c>
      <c r="B213" s="5" t="s">
        <v>904</v>
      </c>
      <c r="C213" s="5">
        <v>3</v>
      </c>
      <c r="D213" s="5" t="s">
        <v>2291</v>
      </c>
      <c r="E213" s="3" t="s">
        <v>2292</v>
      </c>
      <c r="F213" s="3" t="s">
        <v>2256</v>
      </c>
      <c r="G213" s="3" t="s">
        <v>1285</v>
      </c>
      <c r="H213" s="3" t="s">
        <v>1216</v>
      </c>
      <c r="I213" s="3" t="s">
        <v>2293</v>
      </c>
    </row>
    <row r="214" ht="16.5" spans="1:9">
      <c r="A214" s="5" t="s">
        <v>908</v>
      </c>
      <c r="B214" s="5" t="s">
        <v>909</v>
      </c>
      <c r="C214" s="5">
        <v>1</v>
      </c>
      <c r="D214" s="5" t="s">
        <v>2294</v>
      </c>
      <c r="E214" s="3" t="s">
        <v>2295</v>
      </c>
      <c r="F214" s="3" t="s">
        <v>1770</v>
      </c>
      <c r="G214" s="3" t="s">
        <v>908</v>
      </c>
      <c r="H214" s="3" t="s">
        <v>570</v>
      </c>
      <c r="I214" s="3" t="s">
        <v>2296</v>
      </c>
    </row>
    <row r="215" ht="33" spans="1:9">
      <c r="A215" s="5" t="s">
        <v>908</v>
      </c>
      <c r="B215" s="5" t="s">
        <v>909</v>
      </c>
      <c r="C215" s="5">
        <v>2</v>
      </c>
      <c r="D215" s="5" t="s">
        <v>2297</v>
      </c>
      <c r="E215" s="3" t="s">
        <v>2298</v>
      </c>
      <c r="F215" s="3" t="s">
        <v>2023</v>
      </c>
      <c r="G215" s="3" t="s">
        <v>396</v>
      </c>
      <c r="H215" s="3" t="s">
        <v>315</v>
      </c>
      <c r="I215" s="3" t="s">
        <v>2299</v>
      </c>
    </row>
    <row r="216" ht="16.5" spans="1:9">
      <c r="A216" s="5" t="s">
        <v>908</v>
      </c>
      <c r="B216" s="5" t="s">
        <v>909</v>
      </c>
      <c r="C216" s="5">
        <v>3</v>
      </c>
      <c r="D216" s="5" t="s">
        <v>2300</v>
      </c>
      <c r="E216" s="3" t="s">
        <v>2301</v>
      </c>
      <c r="F216" s="3" t="s">
        <v>2256</v>
      </c>
      <c r="G216" s="3" t="s">
        <v>1285</v>
      </c>
      <c r="H216" s="3" t="s">
        <v>1216</v>
      </c>
      <c r="I216" s="3" t="s">
        <v>2302</v>
      </c>
    </row>
    <row r="217" ht="16.5" spans="1:9">
      <c r="A217" s="5" t="s">
        <v>914</v>
      </c>
      <c r="B217" s="5" t="s">
        <v>915</v>
      </c>
      <c r="C217" s="5">
        <v>1</v>
      </c>
      <c r="D217" s="5" t="s">
        <v>2303</v>
      </c>
      <c r="E217" s="3" t="s">
        <v>2304</v>
      </c>
      <c r="F217" s="3" t="s">
        <v>1770</v>
      </c>
      <c r="G217" s="3" t="s">
        <v>914</v>
      </c>
      <c r="H217" s="3" t="s">
        <v>882</v>
      </c>
      <c r="I217" s="3" t="s">
        <v>2305</v>
      </c>
    </row>
    <row r="218" ht="33" spans="1:9">
      <c r="A218" s="5" t="s">
        <v>914</v>
      </c>
      <c r="B218" s="5" t="s">
        <v>915</v>
      </c>
      <c r="C218" s="5">
        <v>2</v>
      </c>
      <c r="D218" s="5" t="s">
        <v>2306</v>
      </c>
      <c r="E218" s="3" t="s">
        <v>2307</v>
      </c>
      <c r="F218" s="3" t="s">
        <v>1875</v>
      </c>
      <c r="G218" s="3" t="s">
        <v>368</v>
      </c>
      <c r="H218" s="3" t="s">
        <v>232</v>
      </c>
      <c r="I218" s="3" t="s">
        <v>2308</v>
      </c>
    </row>
    <row r="219" ht="16.5" spans="1:9">
      <c r="A219" s="5" t="s">
        <v>914</v>
      </c>
      <c r="B219" s="5" t="s">
        <v>915</v>
      </c>
      <c r="C219" s="5">
        <v>3</v>
      </c>
      <c r="D219" s="5" t="s">
        <v>2300</v>
      </c>
      <c r="E219" s="3" t="s">
        <v>2301</v>
      </c>
      <c r="F219" s="3" t="s">
        <v>2256</v>
      </c>
      <c r="G219" s="3" t="s">
        <v>1285</v>
      </c>
      <c r="H219" s="3" t="s">
        <v>1216</v>
      </c>
      <c r="I219" s="3" t="s">
        <v>2302</v>
      </c>
    </row>
    <row r="220" ht="16.5" spans="1:9">
      <c r="A220" s="5" t="s">
        <v>919</v>
      </c>
      <c r="B220" s="5" t="s">
        <v>920</v>
      </c>
      <c r="C220" s="5">
        <v>1</v>
      </c>
      <c r="D220" s="5" t="s">
        <v>2309</v>
      </c>
      <c r="E220" s="3" t="s">
        <v>2310</v>
      </c>
      <c r="F220" s="3" t="s">
        <v>1770</v>
      </c>
      <c r="G220" s="3" t="s">
        <v>919</v>
      </c>
      <c r="H220" s="3" t="s">
        <v>923</v>
      </c>
      <c r="I220" s="3" t="s">
        <v>2311</v>
      </c>
    </row>
    <row r="221" ht="33" spans="1:9">
      <c r="A221" s="5" t="s">
        <v>919</v>
      </c>
      <c r="B221" s="5" t="s">
        <v>920</v>
      </c>
      <c r="C221" s="5">
        <v>2</v>
      </c>
      <c r="D221" s="5" t="s">
        <v>2312</v>
      </c>
      <c r="E221" s="3" t="s">
        <v>2313</v>
      </c>
      <c r="F221" s="3" t="s">
        <v>2039</v>
      </c>
      <c r="G221" s="3" t="s">
        <v>377</v>
      </c>
      <c r="H221" s="3" t="s">
        <v>284</v>
      </c>
      <c r="I221" s="3" t="s">
        <v>2314</v>
      </c>
    </row>
    <row r="222" ht="16.5" spans="1:9">
      <c r="A222" s="5" t="s">
        <v>919</v>
      </c>
      <c r="B222" s="5" t="s">
        <v>920</v>
      </c>
      <c r="C222" s="5">
        <v>3</v>
      </c>
      <c r="D222" s="5" t="s">
        <v>2300</v>
      </c>
      <c r="E222" s="3" t="s">
        <v>2301</v>
      </c>
      <c r="F222" s="3" t="s">
        <v>2256</v>
      </c>
      <c r="G222" s="3" t="s">
        <v>1285</v>
      </c>
      <c r="H222" s="3" t="s">
        <v>1216</v>
      </c>
      <c r="I222" s="3" t="s">
        <v>2302</v>
      </c>
    </row>
    <row r="223" ht="16.5" spans="1:9">
      <c r="A223" s="5" t="s">
        <v>926</v>
      </c>
      <c r="B223" s="5" t="s">
        <v>927</v>
      </c>
      <c r="C223" s="5">
        <v>1</v>
      </c>
      <c r="D223" s="5" t="s">
        <v>2315</v>
      </c>
      <c r="E223" s="3" t="s">
        <v>2316</v>
      </c>
      <c r="F223" s="3" t="s">
        <v>1770</v>
      </c>
      <c r="G223" s="3" t="s">
        <v>926</v>
      </c>
      <c r="H223" s="3" t="s">
        <v>882</v>
      </c>
      <c r="I223" s="3" t="s">
        <v>2317</v>
      </c>
    </row>
    <row r="224" ht="33" spans="1:9">
      <c r="A224" s="5" t="s">
        <v>926</v>
      </c>
      <c r="B224" s="5" t="s">
        <v>927</v>
      </c>
      <c r="C224" s="5">
        <v>2</v>
      </c>
      <c r="D224" s="5" t="s">
        <v>2318</v>
      </c>
      <c r="E224" s="3" t="s">
        <v>2319</v>
      </c>
      <c r="F224" s="3" t="s">
        <v>1875</v>
      </c>
      <c r="G224" s="3" t="s">
        <v>368</v>
      </c>
      <c r="H224" s="3" t="s">
        <v>232</v>
      </c>
      <c r="I224" s="3" t="s">
        <v>2320</v>
      </c>
    </row>
    <row r="225" ht="16.5" spans="1:9">
      <c r="A225" s="5" t="s">
        <v>926</v>
      </c>
      <c r="B225" s="5" t="s">
        <v>927</v>
      </c>
      <c r="C225" s="5">
        <v>3</v>
      </c>
      <c r="D225" s="5" t="s">
        <v>2321</v>
      </c>
      <c r="E225" s="3" t="s">
        <v>2322</v>
      </c>
      <c r="F225" s="3" t="s">
        <v>2256</v>
      </c>
      <c r="G225" s="3" t="s">
        <v>1285</v>
      </c>
      <c r="H225" s="3" t="s">
        <v>1216</v>
      </c>
      <c r="I225" s="3" t="s">
        <v>2323</v>
      </c>
    </row>
    <row r="226" ht="16.5" spans="1:9">
      <c r="A226" s="5" t="s">
        <v>931</v>
      </c>
      <c r="B226" s="5" t="s">
        <v>932</v>
      </c>
      <c r="C226" s="5">
        <v>1</v>
      </c>
      <c r="D226" s="5" t="s">
        <v>2324</v>
      </c>
      <c r="E226" s="3" t="s">
        <v>2325</v>
      </c>
      <c r="F226" s="3" t="s">
        <v>1770</v>
      </c>
      <c r="G226" s="3" t="s">
        <v>931</v>
      </c>
      <c r="H226" s="3" t="s">
        <v>882</v>
      </c>
      <c r="I226" s="3" t="s">
        <v>2326</v>
      </c>
    </row>
    <row r="227" ht="33" spans="1:9">
      <c r="A227" s="5" t="s">
        <v>931</v>
      </c>
      <c r="B227" s="5" t="s">
        <v>932</v>
      </c>
      <c r="C227" s="5">
        <v>2</v>
      </c>
      <c r="D227" s="5" t="s">
        <v>2327</v>
      </c>
      <c r="E227" s="3" t="s">
        <v>2328</v>
      </c>
      <c r="F227" s="3" t="s">
        <v>1875</v>
      </c>
      <c r="G227" s="3" t="s">
        <v>368</v>
      </c>
      <c r="H227" s="3" t="s">
        <v>232</v>
      </c>
      <c r="I227" s="3" t="s">
        <v>2329</v>
      </c>
    </row>
    <row r="228" ht="16.5" spans="1:9">
      <c r="A228" s="5" t="s">
        <v>931</v>
      </c>
      <c r="B228" s="5" t="s">
        <v>932</v>
      </c>
      <c r="C228" s="5">
        <v>3</v>
      </c>
      <c r="D228" s="5" t="s">
        <v>2330</v>
      </c>
      <c r="E228" s="3" t="s">
        <v>2331</v>
      </c>
      <c r="F228" s="3" t="s">
        <v>2256</v>
      </c>
      <c r="G228" s="3" t="s">
        <v>1285</v>
      </c>
      <c r="H228" s="3" t="s">
        <v>1216</v>
      </c>
      <c r="I228" s="3" t="s">
        <v>2332</v>
      </c>
    </row>
    <row r="229" ht="16.5" spans="1:9">
      <c r="A229" s="5" t="s">
        <v>936</v>
      </c>
      <c r="B229" s="5" t="s">
        <v>937</v>
      </c>
      <c r="C229" s="5">
        <v>1</v>
      </c>
      <c r="D229" s="5" t="s">
        <v>2333</v>
      </c>
      <c r="E229" s="3" t="s">
        <v>2334</v>
      </c>
      <c r="F229" s="3" t="s">
        <v>1770</v>
      </c>
      <c r="G229" s="3" t="s">
        <v>936</v>
      </c>
      <c r="H229" s="3" t="s">
        <v>882</v>
      </c>
      <c r="I229" s="3" t="s">
        <v>2335</v>
      </c>
    </row>
    <row r="230" ht="33" spans="1:9">
      <c r="A230" s="5" t="s">
        <v>936</v>
      </c>
      <c r="B230" s="5" t="s">
        <v>937</v>
      </c>
      <c r="C230" s="5">
        <v>2</v>
      </c>
      <c r="D230" s="5" t="s">
        <v>2336</v>
      </c>
      <c r="E230" s="3" t="s">
        <v>2337</v>
      </c>
      <c r="F230" s="3" t="s">
        <v>1875</v>
      </c>
      <c r="G230" s="3" t="s">
        <v>368</v>
      </c>
      <c r="H230" s="3" t="s">
        <v>232</v>
      </c>
      <c r="I230" s="3" t="s">
        <v>2338</v>
      </c>
    </row>
    <row r="231" ht="16.5" spans="1:9">
      <c r="A231" s="5" t="s">
        <v>936</v>
      </c>
      <c r="B231" s="5" t="s">
        <v>937</v>
      </c>
      <c r="C231" s="5">
        <v>3</v>
      </c>
      <c r="D231" s="5" t="s">
        <v>2339</v>
      </c>
      <c r="E231" s="3" t="s">
        <v>2340</v>
      </c>
      <c r="F231" s="3" t="s">
        <v>2256</v>
      </c>
      <c r="G231" s="3" t="s">
        <v>1285</v>
      </c>
      <c r="H231" s="3" t="s">
        <v>1216</v>
      </c>
      <c r="I231" s="3" t="s">
        <v>2341</v>
      </c>
    </row>
    <row r="232" ht="16.5" spans="1:9">
      <c r="A232" s="5" t="s">
        <v>941</v>
      </c>
      <c r="B232" s="5" t="s">
        <v>942</v>
      </c>
      <c r="C232" s="5">
        <v>1</v>
      </c>
      <c r="D232" s="5" t="s">
        <v>2342</v>
      </c>
      <c r="E232" s="3" t="s">
        <v>2343</v>
      </c>
      <c r="F232" s="3" t="s">
        <v>1770</v>
      </c>
      <c r="G232" s="3" t="s">
        <v>941</v>
      </c>
      <c r="H232" s="3" t="s">
        <v>882</v>
      </c>
      <c r="I232" s="3" t="s">
        <v>2344</v>
      </c>
    </row>
    <row r="233" ht="33" spans="1:9">
      <c r="A233" s="5" t="s">
        <v>941</v>
      </c>
      <c r="B233" s="5" t="s">
        <v>942</v>
      </c>
      <c r="C233" s="5">
        <v>2</v>
      </c>
      <c r="D233" s="5" t="s">
        <v>2345</v>
      </c>
      <c r="E233" s="3" t="s">
        <v>2346</v>
      </c>
      <c r="F233" s="3" t="s">
        <v>1875</v>
      </c>
      <c r="G233" s="3" t="s">
        <v>368</v>
      </c>
      <c r="H233" s="3" t="s">
        <v>232</v>
      </c>
      <c r="I233" s="3" t="s">
        <v>2347</v>
      </c>
    </row>
    <row r="234" ht="16.5" spans="1:9">
      <c r="A234" s="5" t="s">
        <v>941</v>
      </c>
      <c r="B234" s="5" t="s">
        <v>942</v>
      </c>
      <c r="C234" s="5">
        <v>3</v>
      </c>
      <c r="D234" s="5" t="s">
        <v>2348</v>
      </c>
      <c r="E234" s="3" t="s">
        <v>2349</v>
      </c>
      <c r="F234" s="3" t="s">
        <v>2256</v>
      </c>
      <c r="G234" s="3" t="s">
        <v>1285</v>
      </c>
      <c r="H234" s="3" t="s">
        <v>1216</v>
      </c>
      <c r="I234" s="3" t="s">
        <v>2350</v>
      </c>
    </row>
    <row r="235" ht="16.5" spans="1:9">
      <c r="A235" s="5" t="s">
        <v>946</v>
      </c>
      <c r="B235" s="5" t="s">
        <v>947</v>
      </c>
      <c r="C235" s="5">
        <v>1</v>
      </c>
      <c r="D235" s="5" t="s">
        <v>2351</v>
      </c>
      <c r="E235" s="3" t="s">
        <v>2352</v>
      </c>
      <c r="F235" s="3" t="s">
        <v>1770</v>
      </c>
      <c r="G235" s="3" t="s">
        <v>946</v>
      </c>
      <c r="H235" s="3" t="s">
        <v>950</v>
      </c>
      <c r="I235" s="3" t="s">
        <v>2353</v>
      </c>
    </row>
    <row r="236" ht="33" spans="1:9">
      <c r="A236" s="5" t="s">
        <v>946</v>
      </c>
      <c r="B236" s="5" t="s">
        <v>947</v>
      </c>
      <c r="C236" s="5">
        <v>2</v>
      </c>
      <c r="D236" s="5" t="s">
        <v>2354</v>
      </c>
      <c r="E236" s="3" t="s">
        <v>2355</v>
      </c>
      <c r="F236" s="3" t="s">
        <v>1875</v>
      </c>
      <c r="G236" s="3" t="s">
        <v>368</v>
      </c>
      <c r="H236" s="3" t="s">
        <v>232</v>
      </c>
      <c r="I236" s="3" t="s">
        <v>2356</v>
      </c>
    </row>
    <row r="237" ht="33" spans="1:9">
      <c r="A237" s="5" t="s">
        <v>946</v>
      </c>
      <c r="B237" s="5" t="s">
        <v>947</v>
      </c>
      <c r="C237" s="5">
        <v>3</v>
      </c>
      <c r="D237" s="5" t="s">
        <v>2357</v>
      </c>
      <c r="E237" s="3" t="s">
        <v>2358</v>
      </c>
      <c r="F237" s="3" t="s">
        <v>1843</v>
      </c>
      <c r="G237" s="3" t="s">
        <v>1198</v>
      </c>
      <c r="H237" s="3" t="s">
        <v>1192</v>
      </c>
      <c r="I237" s="3" t="s">
        <v>2359</v>
      </c>
    </row>
    <row r="238" ht="16.5" spans="1:9">
      <c r="A238" s="5" t="s">
        <v>953</v>
      </c>
      <c r="B238" s="5" t="s">
        <v>954</v>
      </c>
      <c r="C238" s="5">
        <v>1</v>
      </c>
      <c r="D238" s="5" t="s">
        <v>2360</v>
      </c>
      <c r="E238" s="3" t="s">
        <v>2361</v>
      </c>
      <c r="F238" s="3" t="s">
        <v>1770</v>
      </c>
      <c r="G238" s="3" t="s">
        <v>953</v>
      </c>
      <c r="H238" s="3" t="s">
        <v>950</v>
      </c>
      <c r="I238" s="3" t="s">
        <v>2362</v>
      </c>
    </row>
    <row r="239" ht="33" spans="1:9">
      <c r="A239" s="5" t="s">
        <v>953</v>
      </c>
      <c r="B239" s="5" t="s">
        <v>954</v>
      </c>
      <c r="C239" s="5">
        <v>2</v>
      </c>
      <c r="D239" s="5" t="s">
        <v>2363</v>
      </c>
      <c r="E239" s="3" t="s">
        <v>2364</v>
      </c>
      <c r="F239" s="3" t="s">
        <v>1875</v>
      </c>
      <c r="G239" s="3" t="s">
        <v>368</v>
      </c>
      <c r="H239" s="3" t="s">
        <v>232</v>
      </c>
      <c r="I239" s="3" t="s">
        <v>2365</v>
      </c>
    </row>
    <row r="240" ht="33" spans="1:9">
      <c r="A240" s="5" t="s">
        <v>953</v>
      </c>
      <c r="B240" s="5" t="s">
        <v>954</v>
      </c>
      <c r="C240" s="5">
        <v>3</v>
      </c>
      <c r="D240" s="5" t="s">
        <v>2366</v>
      </c>
      <c r="E240" s="3" t="s">
        <v>2367</v>
      </c>
      <c r="F240" s="3" t="s">
        <v>1843</v>
      </c>
      <c r="G240" s="3" t="s">
        <v>1198</v>
      </c>
      <c r="H240" s="3" t="s">
        <v>1192</v>
      </c>
      <c r="I240" s="3" t="s">
        <v>2368</v>
      </c>
    </row>
    <row r="241" ht="16.5" spans="1:9">
      <c r="A241" s="5" t="s">
        <v>959</v>
      </c>
      <c r="B241" s="5" t="s">
        <v>960</v>
      </c>
      <c r="C241" s="5">
        <v>1</v>
      </c>
      <c r="D241" s="5" t="s">
        <v>2369</v>
      </c>
      <c r="E241" s="3" t="s">
        <v>2370</v>
      </c>
      <c r="F241" s="3" t="s">
        <v>1770</v>
      </c>
      <c r="G241" s="3" t="s">
        <v>959</v>
      </c>
      <c r="H241" s="3" t="s">
        <v>950</v>
      </c>
      <c r="I241" s="3" t="s">
        <v>2371</v>
      </c>
    </row>
    <row r="242" ht="33" spans="1:9">
      <c r="A242" s="5" t="s">
        <v>959</v>
      </c>
      <c r="B242" s="5" t="s">
        <v>960</v>
      </c>
      <c r="C242" s="5">
        <v>2</v>
      </c>
      <c r="D242" s="5" t="s">
        <v>2372</v>
      </c>
      <c r="E242" s="3" t="s">
        <v>2373</v>
      </c>
      <c r="F242" s="3" t="s">
        <v>1875</v>
      </c>
      <c r="G242" s="3" t="s">
        <v>368</v>
      </c>
      <c r="H242" s="3" t="s">
        <v>232</v>
      </c>
      <c r="I242" s="3" t="s">
        <v>2374</v>
      </c>
    </row>
    <row r="243" ht="33" spans="1:9">
      <c r="A243" s="5" t="s">
        <v>959</v>
      </c>
      <c r="B243" s="5" t="s">
        <v>960</v>
      </c>
      <c r="C243" s="5">
        <v>3</v>
      </c>
      <c r="D243" s="5" t="s">
        <v>2375</v>
      </c>
      <c r="E243" s="3" t="s">
        <v>2376</v>
      </c>
      <c r="F243" s="3" t="s">
        <v>1843</v>
      </c>
      <c r="G243" s="3" t="s">
        <v>1198</v>
      </c>
      <c r="H243" s="3" t="s">
        <v>1192</v>
      </c>
      <c r="I243" s="3" t="s">
        <v>2377</v>
      </c>
    </row>
    <row r="244" ht="16.5" spans="1:9">
      <c r="A244" s="5" t="s">
        <v>964</v>
      </c>
      <c r="B244" s="5" t="s">
        <v>965</v>
      </c>
      <c r="C244" s="5">
        <v>1</v>
      </c>
      <c r="D244" s="5" t="s">
        <v>2378</v>
      </c>
      <c r="E244" s="3" t="s">
        <v>2379</v>
      </c>
      <c r="F244" s="3" t="s">
        <v>1770</v>
      </c>
      <c r="G244" s="3" t="s">
        <v>964</v>
      </c>
      <c r="H244" s="3" t="s">
        <v>950</v>
      </c>
      <c r="I244" s="3" t="s">
        <v>2380</v>
      </c>
    </row>
    <row r="245" ht="33" spans="1:9">
      <c r="A245" s="5" t="s">
        <v>964</v>
      </c>
      <c r="B245" s="5" t="s">
        <v>965</v>
      </c>
      <c r="C245" s="5">
        <v>2</v>
      </c>
      <c r="D245" s="5" t="s">
        <v>2381</v>
      </c>
      <c r="E245" s="3" t="s">
        <v>2382</v>
      </c>
      <c r="F245" s="3" t="s">
        <v>1875</v>
      </c>
      <c r="G245" s="3" t="s">
        <v>368</v>
      </c>
      <c r="H245" s="3" t="s">
        <v>232</v>
      </c>
      <c r="I245" s="3" t="s">
        <v>2383</v>
      </c>
    </row>
    <row r="246" ht="33" spans="1:9">
      <c r="A246" s="5" t="s">
        <v>964</v>
      </c>
      <c r="B246" s="5" t="s">
        <v>965</v>
      </c>
      <c r="C246" s="5">
        <v>3</v>
      </c>
      <c r="D246" s="5" t="s">
        <v>2384</v>
      </c>
      <c r="E246" s="3" t="s">
        <v>2385</v>
      </c>
      <c r="F246" s="3" t="s">
        <v>1843</v>
      </c>
      <c r="G246" s="3" t="s">
        <v>1198</v>
      </c>
      <c r="H246" s="3" t="s">
        <v>1192</v>
      </c>
      <c r="I246" s="3" t="s">
        <v>2386</v>
      </c>
    </row>
    <row r="247" ht="16.5" spans="1:9">
      <c r="A247" s="5" t="s">
        <v>969</v>
      </c>
      <c r="B247" s="5" t="s">
        <v>970</v>
      </c>
      <c r="C247" s="5">
        <v>1</v>
      </c>
      <c r="D247" s="5" t="s">
        <v>2387</v>
      </c>
      <c r="E247" s="3" t="s">
        <v>2388</v>
      </c>
      <c r="F247" s="3" t="s">
        <v>1770</v>
      </c>
      <c r="G247" s="3" t="s">
        <v>969</v>
      </c>
      <c r="H247" s="3" t="s">
        <v>882</v>
      </c>
      <c r="I247" s="3" t="s">
        <v>2389</v>
      </c>
    </row>
    <row r="248" ht="33" spans="1:9">
      <c r="A248" s="5" t="s">
        <v>969</v>
      </c>
      <c r="B248" s="5" t="s">
        <v>970</v>
      </c>
      <c r="C248" s="5">
        <v>2</v>
      </c>
      <c r="D248" s="5" t="s">
        <v>2390</v>
      </c>
      <c r="E248" s="3" t="s">
        <v>2391</v>
      </c>
      <c r="F248" s="3" t="s">
        <v>1875</v>
      </c>
      <c r="G248" s="3" t="s">
        <v>368</v>
      </c>
      <c r="H248" s="3" t="s">
        <v>232</v>
      </c>
      <c r="I248" s="3" t="s">
        <v>2392</v>
      </c>
    </row>
    <row r="249" ht="16.5" spans="1:9">
      <c r="A249" s="5" t="s">
        <v>969</v>
      </c>
      <c r="B249" s="5" t="s">
        <v>970</v>
      </c>
      <c r="C249" s="5">
        <v>3</v>
      </c>
      <c r="D249" s="5" t="s">
        <v>2393</v>
      </c>
      <c r="E249" s="3" t="s">
        <v>2394</v>
      </c>
      <c r="F249" s="3" t="s">
        <v>2256</v>
      </c>
      <c r="G249" s="3" t="s">
        <v>1285</v>
      </c>
      <c r="H249" s="3" t="s">
        <v>1216</v>
      </c>
      <c r="I249" s="3" t="s">
        <v>2395</v>
      </c>
    </row>
    <row r="250" ht="16.5" spans="1:9">
      <c r="A250" s="5" t="s">
        <v>975</v>
      </c>
      <c r="B250" s="5" t="s">
        <v>976</v>
      </c>
      <c r="C250" s="5">
        <v>1</v>
      </c>
      <c r="D250" s="5" t="s">
        <v>2396</v>
      </c>
      <c r="E250" s="3" t="s">
        <v>2397</v>
      </c>
      <c r="F250" s="3" t="s">
        <v>1770</v>
      </c>
      <c r="G250" s="3" t="s">
        <v>975</v>
      </c>
      <c r="H250" s="3" t="s">
        <v>882</v>
      </c>
      <c r="I250" s="3" t="s">
        <v>2398</v>
      </c>
    </row>
    <row r="251" ht="33" spans="1:9">
      <c r="A251" s="5" t="s">
        <v>975</v>
      </c>
      <c r="B251" s="5" t="s">
        <v>976</v>
      </c>
      <c r="C251" s="5">
        <v>2</v>
      </c>
      <c r="D251" s="5" t="s">
        <v>2399</v>
      </c>
      <c r="E251" s="3" t="s">
        <v>2400</v>
      </c>
      <c r="F251" s="3" t="s">
        <v>1875</v>
      </c>
      <c r="G251" s="3" t="s">
        <v>368</v>
      </c>
      <c r="H251" s="3" t="s">
        <v>232</v>
      </c>
      <c r="I251" s="3" t="s">
        <v>2401</v>
      </c>
    </row>
    <row r="252" ht="16.5" spans="1:9">
      <c r="A252" s="5" t="s">
        <v>975</v>
      </c>
      <c r="B252" s="5" t="s">
        <v>976</v>
      </c>
      <c r="C252" s="5">
        <v>3</v>
      </c>
      <c r="D252" s="5" t="s">
        <v>2402</v>
      </c>
      <c r="E252" s="3" t="s">
        <v>2403</v>
      </c>
      <c r="F252" s="3" t="s">
        <v>2256</v>
      </c>
      <c r="G252" s="3" t="s">
        <v>1285</v>
      </c>
      <c r="H252" s="3" t="s">
        <v>1216</v>
      </c>
      <c r="I252" s="3" t="s">
        <v>2404</v>
      </c>
    </row>
    <row r="253" ht="16.5" spans="1:9">
      <c r="A253" s="5" t="s">
        <v>981</v>
      </c>
      <c r="B253" s="5" t="s">
        <v>982</v>
      </c>
      <c r="C253" s="5">
        <v>1</v>
      </c>
      <c r="D253" s="5" t="s">
        <v>2405</v>
      </c>
      <c r="E253" s="3" t="s">
        <v>2406</v>
      </c>
      <c r="F253" s="3" t="s">
        <v>1770</v>
      </c>
      <c r="G253" s="3" t="s">
        <v>981</v>
      </c>
      <c r="H253" s="3" t="s">
        <v>882</v>
      </c>
      <c r="I253" s="3" t="s">
        <v>2407</v>
      </c>
    </row>
    <row r="254" ht="33" spans="1:9">
      <c r="A254" s="5" t="s">
        <v>981</v>
      </c>
      <c r="B254" s="5" t="s">
        <v>982</v>
      </c>
      <c r="C254" s="5">
        <v>2</v>
      </c>
      <c r="D254" s="5" t="s">
        <v>2408</v>
      </c>
      <c r="E254" s="3" t="s">
        <v>2409</v>
      </c>
      <c r="F254" s="3" t="s">
        <v>1875</v>
      </c>
      <c r="G254" s="3" t="s">
        <v>368</v>
      </c>
      <c r="H254" s="3" t="s">
        <v>232</v>
      </c>
      <c r="I254" s="3" t="s">
        <v>2410</v>
      </c>
    </row>
    <row r="255" ht="16.5" spans="1:9">
      <c r="A255" s="5" t="s">
        <v>981</v>
      </c>
      <c r="B255" s="5" t="s">
        <v>982</v>
      </c>
      <c r="C255" s="5">
        <v>3</v>
      </c>
      <c r="D255" s="5" t="s">
        <v>2411</v>
      </c>
      <c r="E255" s="3" t="s">
        <v>2412</v>
      </c>
      <c r="F255" s="3" t="s">
        <v>2256</v>
      </c>
      <c r="G255" s="3" t="s">
        <v>1285</v>
      </c>
      <c r="H255" s="3" t="s">
        <v>1216</v>
      </c>
      <c r="I255" s="3" t="s">
        <v>2413</v>
      </c>
    </row>
    <row r="256" ht="16.5" spans="1:9">
      <c r="A256" s="5" t="s">
        <v>986</v>
      </c>
      <c r="B256" s="5" t="s">
        <v>987</v>
      </c>
      <c r="C256" s="5">
        <v>1</v>
      </c>
      <c r="D256" s="5" t="s">
        <v>2414</v>
      </c>
      <c r="E256" s="3" t="s">
        <v>2415</v>
      </c>
      <c r="F256" s="3" t="s">
        <v>1770</v>
      </c>
      <c r="G256" s="3" t="s">
        <v>986</v>
      </c>
      <c r="H256" s="3" t="s">
        <v>882</v>
      </c>
      <c r="I256" s="3" t="s">
        <v>2416</v>
      </c>
    </row>
    <row r="257" ht="33" spans="1:9">
      <c r="A257" s="5" t="s">
        <v>986</v>
      </c>
      <c r="B257" s="5" t="s">
        <v>987</v>
      </c>
      <c r="C257" s="5">
        <v>2</v>
      </c>
      <c r="D257" s="5" t="s">
        <v>2417</v>
      </c>
      <c r="E257" s="3" t="s">
        <v>2418</v>
      </c>
      <c r="F257" s="3" t="s">
        <v>1875</v>
      </c>
      <c r="G257" s="3" t="s">
        <v>368</v>
      </c>
      <c r="H257" s="3" t="s">
        <v>232</v>
      </c>
      <c r="I257" s="3" t="s">
        <v>2419</v>
      </c>
    </row>
    <row r="258" ht="16.5" spans="1:9">
      <c r="A258" s="5" t="s">
        <v>986</v>
      </c>
      <c r="B258" s="5" t="s">
        <v>987</v>
      </c>
      <c r="C258" s="5">
        <v>3</v>
      </c>
      <c r="D258" s="5" t="s">
        <v>2420</v>
      </c>
      <c r="E258" s="3" t="s">
        <v>2421</v>
      </c>
      <c r="F258" s="3" t="s">
        <v>2256</v>
      </c>
      <c r="G258" s="3" t="s">
        <v>1285</v>
      </c>
      <c r="H258" s="3" t="s">
        <v>1216</v>
      </c>
      <c r="I258" s="3" t="s">
        <v>2422</v>
      </c>
    </row>
    <row r="259" ht="16.5" spans="1:9">
      <c r="A259" s="5" t="s">
        <v>991</v>
      </c>
      <c r="B259" s="5" t="s">
        <v>992</v>
      </c>
      <c r="C259" s="5">
        <v>1</v>
      </c>
      <c r="D259" s="5" t="s">
        <v>2423</v>
      </c>
      <c r="E259" s="3" t="s">
        <v>2424</v>
      </c>
      <c r="F259" s="3" t="s">
        <v>1770</v>
      </c>
      <c r="G259" s="3" t="s">
        <v>991</v>
      </c>
      <c r="H259" s="3" t="s">
        <v>882</v>
      </c>
      <c r="I259" s="3" t="s">
        <v>2425</v>
      </c>
    </row>
    <row r="260" ht="33" spans="1:9">
      <c r="A260" s="5" t="s">
        <v>991</v>
      </c>
      <c r="B260" s="5" t="s">
        <v>992</v>
      </c>
      <c r="C260" s="5">
        <v>2</v>
      </c>
      <c r="D260" s="5" t="s">
        <v>2426</v>
      </c>
      <c r="E260" s="3" t="s">
        <v>2427</v>
      </c>
      <c r="F260" s="3" t="s">
        <v>1875</v>
      </c>
      <c r="G260" s="3" t="s">
        <v>368</v>
      </c>
      <c r="H260" s="3" t="s">
        <v>232</v>
      </c>
      <c r="I260" s="3" t="s">
        <v>2428</v>
      </c>
    </row>
    <row r="261" ht="16.5" spans="1:9">
      <c r="A261" s="5" t="s">
        <v>991</v>
      </c>
      <c r="B261" s="5" t="s">
        <v>992</v>
      </c>
      <c r="C261" s="5">
        <v>3</v>
      </c>
      <c r="D261" s="5" t="s">
        <v>2429</v>
      </c>
      <c r="E261" s="3" t="s">
        <v>2430</v>
      </c>
      <c r="F261" s="3" t="s">
        <v>2256</v>
      </c>
      <c r="G261" s="3" t="s">
        <v>1285</v>
      </c>
      <c r="H261" s="3" t="s">
        <v>1216</v>
      </c>
      <c r="I261" s="3" t="s">
        <v>2431</v>
      </c>
    </row>
    <row r="262" ht="16.5" spans="1:9">
      <c r="A262" s="5" t="s">
        <v>996</v>
      </c>
      <c r="B262" s="5" t="s">
        <v>997</v>
      </c>
      <c r="C262" s="5">
        <v>1</v>
      </c>
      <c r="D262" s="5" t="s">
        <v>2432</v>
      </c>
      <c r="E262" s="3" t="s">
        <v>2433</v>
      </c>
      <c r="F262" s="3" t="s">
        <v>1770</v>
      </c>
      <c r="G262" s="3" t="s">
        <v>996</v>
      </c>
      <c r="H262" s="3" t="s">
        <v>882</v>
      </c>
      <c r="I262" s="3" t="s">
        <v>2434</v>
      </c>
    </row>
    <row r="263" ht="33" spans="1:9">
      <c r="A263" s="5" t="s">
        <v>996</v>
      </c>
      <c r="B263" s="5" t="s">
        <v>997</v>
      </c>
      <c r="C263" s="5">
        <v>2</v>
      </c>
      <c r="D263" s="5" t="s">
        <v>2435</v>
      </c>
      <c r="E263" s="3" t="s">
        <v>2436</v>
      </c>
      <c r="F263" s="3" t="s">
        <v>1875</v>
      </c>
      <c r="G263" s="3" t="s">
        <v>368</v>
      </c>
      <c r="H263" s="3" t="s">
        <v>232</v>
      </c>
      <c r="I263" s="3" t="s">
        <v>2437</v>
      </c>
    </row>
    <row r="264" ht="16.5" spans="1:9">
      <c r="A264" s="5" t="s">
        <v>996</v>
      </c>
      <c r="B264" s="5" t="s">
        <v>997</v>
      </c>
      <c r="C264" s="5">
        <v>3</v>
      </c>
      <c r="D264" s="5" t="s">
        <v>2438</v>
      </c>
      <c r="E264" s="3" t="s">
        <v>2439</v>
      </c>
      <c r="F264" s="3" t="s">
        <v>2256</v>
      </c>
      <c r="G264" s="3" t="s">
        <v>1285</v>
      </c>
      <c r="H264" s="3" t="s">
        <v>1216</v>
      </c>
      <c r="I264" s="3" t="s">
        <v>2440</v>
      </c>
    </row>
    <row r="265" ht="16.5" spans="1:9">
      <c r="A265" s="5" t="s">
        <v>1002</v>
      </c>
      <c r="B265" s="5" t="s">
        <v>1003</v>
      </c>
      <c r="C265" s="5">
        <v>1</v>
      </c>
      <c r="D265" s="5" t="s">
        <v>2441</v>
      </c>
      <c r="E265" s="3" t="s">
        <v>2442</v>
      </c>
      <c r="F265" s="3" t="s">
        <v>1770</v>
      </c>
      <c r="G265" s="3" t="s">
        <v>1002</v>
      </c>
      <c r="H265" s="3" t="s">
        <v>882</v>
      </c>
      <c r="I265" s="3" t="s">
        <v>2443</v>
      </c>
    </row>
    <row r="266" ht="33" spans="1:9">
      <c r="A266" s="5" t="s">
        <v>1002</v>
      </c>
      <c r="B266" s="5" t="s">
        <v>1003</v>
      </c>
      <c r="C266" s="5">
        <v>2</v>
      </c>
      <c r="D266" s="5" t="s">
        <v>2444</v>
      </c>
      <c r="E266" s="3" t="s">
        <v>2445</v>
      </c>
      <c r="F266" s="3" t="s">
        <v>1875</v>
      </c>
      <c r="G266" s="3" t="s">
        <v>368</v>
      </c>
      <c r="H266" s="3" t="s">
        <v>232</v>
      </c>
      <c r="I266" s="3" t="s">
        <v>2446</v>
      </c>
    </row>
    <row r="267" ht="16.5" spans="1:9">
      <c r="A267" s="5" t="s">
        <v>1002</v>
      </c>
      <c r="B267" s="5" t="s">
        <v>1003</v>
      </c>
      <c r="C267" s="5">
        <v>3</v>
      </c>
      <c r="D267" s="5" t="s">
        <v>2447</v>
      </c>
      <c r="E267" s="3" t="s">
        <v>2448</v>
      </c>
      <c r="F267" s="3" t="s">
        <v>2256</v>
      </c>
      <c r="G267" s="3" t="s">
        <v>1285</v>
      </c>
      <c r="H267" s="3" t="s">
        <v>1216</v>
      </c>
      <c r="I267" s="3" t="s">
        <v>2449</v>
      </c>
    </row>
    <row r="268" ht="16.5" spans="1:9">
      <c r="A268" s="5" t="s">
        <v>1007</v>
      </c>
      <c r="B268" s="5" t="s">
        <v>1008</v>
      </c>
      <c r="C268" s="5">
        <v>1</v>
      </c>
      <c r="D268" s="5" t="s">
        <v>2450</v>
      </c>
      <c r="E268" s="3" t="s">
        <v>2451</v>
      </c>
      <c r="F268" s="3" t="s">
        <v>1770</v>
      </c>
      <c r="G268" s="3" t="s">
        <v>1007</v>
      </c>
      <c r="H268" s="3" t="s">
        <v>882</v>
      </c>
      <c r="I268" s="3" t="s">
        <v>2452</v>
      </c>
    </row>
    <row r="269" ht="33" spans="1:9">
      <c r="A269" s="5" t="s">
        <v>1007</v>
      </c>
      <c r="B269" s="5" t="s">
        <v>1008</v>
      </c>
      <c r="C269" s="5">
        <v>2</v>
      </c>
      <c r="D269" s="5" t="s">
        <v>2453</v>
      </c>
      <c r="E269" s="3" t="s">
        <v>2454</v>
      </c>
      <c r="F269" s="3" t="s">
        <v>1875</v>
      </c>
      <c r="G269" s="3" t="s">
        <v>368</v>
      </c>
      <c r="H269" s="3" t="s">
        <v>232</v>
      </c>
      <c r="I269" s="3" t="s">
        <v>2455</v>
      </c>
    </row>
    <row r="270" ht="16.5" spans="1:9">
      <c r="A270" s="5" t="s">
        <v>1007</v>
      </c>
      <c r="B270" s="5" t="s">
        <v>1008</v>
      </c>
      <c r="C270" s="5">
        <v>3</v>
      </c>
      <c r="D270" s="5" t="s">
        <v>2456</v>
      </c>
      <c r="E270" s="3" t="s">
        <v>2457</v>
      </c>
      <c r="F270" s="3" t="s">
        <v>2256</v>
      </c>
      <c r="G270" s="3" t="s">
        <v>1285</v>
      </c>
      <c r="H270" s="3" t="s">
        <v>1216</v>
      </c>
      <c r="I270" s="3" t="s">
        <v>2458</v>
      </c>
    </row>
    <row r="271" ht="16.5" spans="1:9">
      <c r="A271" s="5" t="s">
        <v>1012</v>
      </c>
      <c r="B271" s="5" t="s">
        <v>1013</v>
      </c>
      <c r="C271" s="5">
        <v>1</v>
      </c>
      <c r="D271" s="5" t="s">
        <v>2459</v>
      </c>
      <c r="E271" s="3" t="s">
        <v>2460</v>
      </c>
      <c r="F271" s="3" t="s">
        <v>1770</v>
      </c>
      <c r="G271" s="3" t="s">
        <v>1012</v>
      </c>
      <c r="H271" s="3" t="s">
        <v>882</v>
      </c>
      <c r="I271" s="3" t="s">
        <v>2461</v>
      </c>
    </row>
    <row r="272" ht="33" spans="1:9">
      <c r="A272" s="5" t="s">
        <v>1012</v>
      </c>
      <c r="B272" s="5" t="s">
        <v>1013</v>
      </c>
      <c r="C272" s="5">
        <v>2</v>
      </c>
      <c r="D272" s="5" t="s">
        <v>2462</v>
      </c>
      <c r="E272" s="3" t="s">
        <v>2463</v>
      </c>
      <c r="F272" s="3" t="s">
        <v>1875</v>
      </c>
      <c r="G272" s="3" t="s">
        <v>368</v>
      </c>
      <c r="H272" s="3" t="s">
        <v>232</v>
      </c>
      <c r="I272" s="3" t="s">
        <v>2464</v>
      </c>
    </row>
    <row r="273" ht="16.5" spans="1:9">
      <c r="A273" s="5" t="s">
        <v>1012</v>
      </c>
      <c r="B273" s="5" t="s">
        <v>1013</v>
      </c>
      <c r="C273" s="5">
        <v>3</v>
      </c>
      <c r="D273" s="5" t="s">
        <v>2465</v>
      </c>
      <c r="E273" s="3" t="s">
        <v>2466</v>
      </c>
      <c r="F273" s="3" t="s">
        <v>2256</v>
      </c>
      <c r="G273" s="3" t="s">
        <v>1285</v>
      </c>
      <c r="H273" s="3" t="s">
        <v>1216</v>
      </c>
      <c r="I273" s="3" t="s">
        <v>2467</v>
      </c>
    </row>
    <row r="274" ht="16.5" spans="1:9">
      <c r="A274" s="5" t="s">
        <v>1017</v>
      </c>
      <c r="B274" s="5" t="s">
        <v>1018</v>
      </c>
      <c r="C274" s="5">
        <v>1</v>
      </c>
      <c r="D274" s="5" t="s">
        <v>2468</v>
      </c>
      <c r="E274" s="3" t="s">
        <v>2469</v>
      </c>
      <c r="F274" s="3" t="s">
        <v>1770</v>
      </c>
      <c r="G274" s="3" t="s">
        <v>1017</v>
      </c>
      <c r="H274" s="3" t="s">
        <v>629</v>
      </c>
      <c r="I274" s="3" t="s">
        <v>2470</v>
      </c>
    </row>
    <row r="275" ht="33" spans="1:9">
      <c r="A275" s="5" t="s">
        <v>1017</v>
      </c>
      <c r="B275" s="5" t="s">
        <v>1018</v>
      </c>
      <c r="C275" s="5">
        <v>2</v>
      </c>
      <c r="D275" s="5" t="s">
        <v>2471</v>
      </c>
      <c r="E275" s="3" t="s">
        <v>2472</v>
      </c>
      <c r="F275" s="3" t="s">
        <v>1875</v>
      </c>
      <c r="G275" s="3" t="s">
        <v>368</v>
      </c>
      <c r="H275" s="3" t="s">
        <v>232</v>
      </c>
      <c r="I275" s="3" t="s">
        <v>2473</v>
      </c>
    </row>
    <row r="276" ht="33" spans="1:9">
      <c r="A276" s="5" t="s">
        <v>1017</v>
      </c>
      <c r="B276" s="5" t="s">
        <v>1018</v>
      </c>
      <c r="C276" s="5">
        <v>3</v>
      </c>
      <c r="D276" s="5" t="s">
        <v>2474</v>
      </c>
      <c r="E276" s="3" t="s">
        <v>2475</v>
      </c>
      <c r="F276" s="3" t="s">
        <v>1843</v>
      </c>
      <c r="G276" s="3" t="s">
        <v>1198</v>
      </c>
      <c r="H276" s="3" t="s">
        <v>284</v>
      </c>
      <c r="I276" s="3" t="s">
        <v>2476</v>
      </c>
    </row>
    <row r="277" ht="16.5" spans="1:9">
      <c r="A277" s="5" t="s">
        <v>1022</v>
      </c>
      <c r="B277" s="5" t="s">
        <v>1023</v>
      </c>
      <c r="C277" s="5">
        <v>1</v>
      </c>
      <c r="D277" s="5" t="s">
        <v>2477</v>
      </c>
      <c r="E277" s="3" t="s">
        <v>2478</v>
      </c>
      <c r="F277" s="3" t="s">
        <v>1770</v>
      </c>
      <c r="G277" s="3" t="s">
        <v>1022</v>
      </c>
      <c r="H277" s="3" t="s">
        <v>629</v>
      </c>
      <c r="I277" s="3" t="s">
        <v>2479</v>
      </c>
    </row>
    <row r="278" ht="33" spans="1:9">
      <c r="A278" s="5" t="s">
        <v>1022</v>
      </c>
      <c r="B278" s="5" t="s">
        <v>1023</v>
      </c>
      <c r="C278" s="5">
        <v>2</v>
      </c>
      <c r="D278" s="5" t="s">
        <v>2480</v>
      </c>
      <c r="E278" s="3" t="s">
        <v>2481</v>
      </c>
      <c r="F278" s="3" t="s">
        <v>1875</v>
      </c>
      <c r="G278" s="3" t="s">
        <v>368</v>
      </c>
      <c r="H278" s="3" t="s">
        <v>232</v>
      </c>
      <c r="I278" s="3" t="s">
        <v>2482</v>
      </c>
    </row>
    <row r="279" ht="33" spans="1:9">
      <c r="A279" s="5" t="s">
        <v>1022</v>
      </c>
      <c r="B279" s="5" t="s">
        <v>1023</v>
      </c>
      <c r="C279" s="5">
        <v>3</v>
      </c>
      <c r="D279" s="5" t="s">
        <v>2483</v>
      </c>
      <c r="E279" s="3" t="s">
        <v>2484</v>
      </c>
      <c r="F279" s="3" t="s">
        <v>1843</v>
      </c>
      <c r="G279" s="3" t="s">
        <v>1198</v>
      </c>
      <c r="H279" s="3" t="s">
        <v>284</v>
      </c>
      <c r="I279" s="3" t="s">
        <v>2485</v>
      </c>
    </row>
    <row r="280" ht="16.5" spans="1:9">
      <c r="A280" s="5" t="s">
        <v>1027</v>
      </c>
      <c r="B280" s="5" t="s">
        <v>1028</v>
      </c>
      <c r="C280" s="5">
        <v>1</v>
      </c>
      <c r="D280" s="5" t="s">
        <v>2486</v>
      </c>
      <c r="E280" s="3" t="s">
        <v>2487</v>
      </c>
      <c r="F280" s="3" t="s">
        <v>1770</v>
      </c>
      <c r="G280" s="3" t="s">
        <v>1027</v>
      </c>
      <c r="H280" s="3" t="s">
        <v>629</v>
      </c>
      <c r="I280" s="3" t="s">
        <v>2488</v>
      </c>
    </row>
    <row r="281" ht="33" spans="1:9">
      <c r="A281" s="5" t="s">
        <v>1027</v>
      </c>
      <c r="B281" s="5" t="s">
        <v>1028</v>
      </c>
      <c r="C281" s="5">
        <v>2</v>
      </c>
      <c r="D281" s="5" t="s">
        <v>2489</v>
      </c>
      <c r="E281" s="3" t="s">
        <v>2490</v>
      </c>
      <c r="F281" s="3" t="s">
        <v>1875</v>
      </c>
      <c r="G281" s="3" t="s">
        <v>368</v>
      </c>
      <c r="H281" s="3" t="s">
        <v>232</v>
      </c>
      <c r="I281" s="3" t="s">
        <v>2491</v>
      </c>
    </row>
    <row r="282" ht="33" spans="1:9">
      <c r="A282" s="5" t="s">
        <v>1027</v>
      </c>
      <c r="B282" s="5" t="s">
        <v>1028</v>
      </c>
      <c r="C282" s="5">
        <v>3</v>
      </c>
      <c r="D282" s="5" t="s">
        <v>2492</v>
      </c>
      <c r="E282" s="3" t="s">
        <v>2493</v>
      </c>
      <c r="F282" s="3" t="s">
        <v>1843</v>
      </c>
      <c r="G282" s="3" t="s">
        <v>1198</v>
      </c>
      <c r="H282" s="3" t="s">
        <v>284</v>
      </c>
      <c r="I282" s="3" t="s">
        <v>2494</v>
      </c>
    </row>
    <row r="283" ht="16.5" spans="1:9">
      <c r="A283" s="5" t="s">
        <v>1032</v>
      </c>
      <c r="B283" s="5" t="s">
        <v>1033</v>
      </c>
      <c r="C283" s="5">
        <v>1</v>
      </c>
      <c r="D283" s="5" t="s">
        <v>2495</v>
      </c>
      <c r="E283" s="3" t="s">
        <v>2496</v>
      </c>
      <c r="F283" s="3" t="s">
        <v>1770</v>
      </c>
      <c r="G283" s="3" t="s">
        <v>1032</v>
      </c>
      <c r="H283" s="3" t="s">
        <v>629</v>
      </c>
      <c r="I283" s="3" t="s">
        <v>2497</v>
      </c>
    </row>
    <row r="284" ht="33" spans="1:9">
      <c r="A284" s="5" t="s">
        <v>1032</v>
      </c>
      <c r="B284" s="5" t="s">
        <v>1033</v>
      </c>
      <c r="C284" s="5">
        <v>2</v>
      </c>
      <c r="D284" s="5" t="s">
        <v>2498</v>
      </c>
      <c r="E284" s="3" t="s">
        <v>2499</v>
      </c>
      <c r="F284" s="3" t="s">
        <v>1875</v>
      </c>
      <c r="G284" s="3" t="s">
        <v>368</v>
      </c>
      <c r="H284" s="3" t="s">
        <v>232</v>
      </c>
      <c r="I284" s="3" t="s">
        <v>2500</v>
      </c>
    </row>
    <row r="285" ht="33" spans="1:9">
      <c r="A285" s="5" t="s">
        <v>1032</v>
      </c>
      <c r="B285" s="5" t="s">
        <v>1033</v>
      </c>
      <c r="C285" s="5">
        <v>3</v>
      </c>
      <c r="D285" s="5" t="s">
        <v>2501</v>
      </c>
      <c r="E285" s="3" t="s">
        <v>2502</v>
      </c>
      <c r="F285" s="3" t="s">
        <v>1843</v>
      </c>
      <c r="G285" s="3" t="s">
        <v>1198</v>
      </c>
      <c r="H285" s="3" t="s">
        <v>284</v>
      </c>
      <c r="I285" s="3" t="s">
        <v>2503</v>
      </c>
    </row>
  </sheetData>
  <autoFilter xmlns:etc="http://www.wps.cn/officeDocument/2017/etCustomData" ref="A1:I285"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pane ySplit="1" topLeftCell="A2" activePane="bottomLeft" state="frozen"/>
      <selection/>
      <selection pane="bottomLeft" activeCell="D27" sqref="D27"/>
    </sheetView>
  </sheetViews>
  <sheetFormatPr defaultColWidth="9" defaultRowHeight="13.5" outlineLevelCol="7"/>
  <cols>
    <col min="1" max="1" width="10" style="1" customWidth="1"/>
    <col min="2" max="2" width="26" style="1" customWidth="1"/>
    <col min="3" max="3" width="16" style="1" customWidth="1"/>
    <col min="4" max="4" width="62" style="1" customWidth="1"/>
    <col min="5" max="5" width="20" style="1" customWidth="1"/>
    <col min="6" max="6" width="18" style="1" customWidth="1"/>
    <col min="7" max="7" width="20" style="1" customWidth="1"/>
    <col min="8" max="8" width="46" style="1" customWidth="1"/>
    <col min="9" max="16384" width="9" style="1"/>
  </cols>
  <sheetData>
    <row r="1" ht="16.5" spans="1:8">
      <c r="A1" s="2" t="s">
        <v>2504</v>
      </c>
      <c r="B1" s="2" t="s">
        <v>2505</v>
      </c>
      <c r="C1" s="2" t="s">
        <v>2506</v>
      </c>
      <c r="D1" s="2" t="s">
        <v>2507</v>
      </c>
      <c r="E1" s="2" t="s">
        <v>2508</v>
      </c>
      <c r="F1" s="2" t="s">
        <v>23</v>
      </c>
      <c r="G1" s="2" t="s">
        <v>2509</v>
      </c>
      <c r="H1" s="2" t="s">
        <v>28</v>
      </c>
    </row>
    <row r="2" ht="33" spans="1:8">
      <c r="A2" s="3" t="s">
        <v>2510</v>
      </c>
      <c r="B2" s="3" t="s">
        <v>2511</v>
      </c>
      <c r="C2" s="3" t="s">
        <v>2512</v>
      </c>
      <c r="D2" s="3" t="s">
        <v>2513</v>
      </c>
      <c r="E2" s="3" t="s">
        <v>2514</v>
      </c>
      <c r="F2" s="3" t="s">
        <v>189</v>
      </c>
      <c r="G2" s="3" t="s">
        <v>1087</v>
      </c>
      <c r="H2" s="3" t="s">
        <v>2515</v>
      </c>
    </row>
    <row r="3" ht="20" customHeight="1" spans="1:8">
      <c r="A3" s="3" t="s">
        <v>2516</v>
      </c>
      <c r="B3" s="3" t="s">
        <v>186</v>
      </c>
      <c r="C3" s="3" t="s">
        <v>2512</v>
      </c>
      <c r="D3" s="3" t="s">
        <v>2517</v>
      </c>
      <c r="E3" s="3" t="s">
        <v>188</v>
      </c>
      <c r="F3" s="3" t="s">
        <v>189</v>
      </c>
      <c r="G3" s="3" t="s">
        <v>138</v>
      </c>
      <c r="H3" s="3" t="s">
        <v>2518</v>
      </c>
    </row>
    <row r="4" ht="20" customHeight="1" spans="1:8">
      <c r="A4" s="3" t="s">
        <v>2519</v>
      </c>
      <c r="B4" s="3" t="s">
        <v>1183</v>
      </c>
      <c r="C4" s="3" t="s">
        <v>190</v>
      </c>
      <c r="D4" s="3" t="s">
        <v>2520</v>
      </c>
      <c r="E4" s="3" t="s">
        <v>2521</v>
      </c>
      <c r="F4" s="3" t="s">
        <v>1078</v>
      </c>
      <c r="G4" s="3" t="s">
        <v>190</v>
      </c>
      <c r="H4" s="3" t="s">
        <v>2522</v>
      </c>
    </row>
    <row r="5" ht="33" spans="1:8">
      <c r="A5" s="3" t="s">
        <v>2523</v>
      </c>
      <c r="B5" s="3" t="s">
        <v>208</v>
      </c>
      <c r="C5" s="3" t="s">
        <v>190</v>
      </c>
      <c r="D5" s="3" t="s">
        <v>2524</v>
      </c>
      <c r="E5" s="3" t="s">
        <v>2525</v>
      </c>
      <c r="F5" s="3" t="s">
        <v>2526</v>
      </c>
      <c r="G5" s="3" t="s">
        <v>2527</v>
      </c>
      <c r="H5" s="3" t="s">
        <v>2528</v>
      </c>
    </row>
    <row r="6" ht="20" customHeight="1" spans="1:8">
      <c r="A6" s="3" t="s">
        <v>2529</v>
      </c>
      <c r="B6" s="3" t="s">
        <v>1281</v>
      </c>
      <c r="C6" s="3" t="s">
        <v>2530</v>
      </c>
      <c r="D6" s="3" t="s">
        <v>2531</v>
      </c>
      <c r="E6" s="3" t="s">
        <v>2525</v>
      </c>
      <c r="F6" s="3" t="s">
        <v>2526</v>
      </c>
      <c r="G6" s="3" t="s">
        <v>190</v>
      </c>
      <c r="H6" s="3" t="s">
        <v>132</v>
      </c>
    </row>
    <row r="7" ht="20" customHeight="1" spans="1:8">
      <c r="A7" s="3" t="s">
        <v>2532</v>
      </c>
      <c r="B7" s="3" t="s">
        <v>1231</v>
      </c>
      <c r="C7" s="3" t="s">
        <v>2512</v>
      </c>
      <c r="D7" s="3" t="s">
        <v>2533</v>
      </c>
      <c r="E7" s="3" t="s">
        <v>188</v>
      </c>
      <c r="F7" s="3" t="s">
        <v>1233</v>
      </c>
      <c r="G7" s="3" t="s">
        <v>138</v>
      </c>
      <c r="H7" s="3" t="s">
        <v>2534</v>
      </c>
    </row>
    <row r="8" ht="20" customHeight="1" spans="1:8">
      <c r="A8" s="3" t="s">
        <v>2535</v>
      </c>
      <c r="B8" s="3" t="s">
        <v>1239</v>
      </c>
      <c r="C8" s="3" t="s">
        <v>190</v>
      </c>
      <c r="D8" s="3" t="s">
        <v>2536</v>
      </c>
      <c r="E8" s="3" t="s">
        <v>188</v>
      </c>
      <c r="F8" s="3" t="s">
        <v>1233</v>
      </c>
      <c r="G8" s="3" t="s">
        <v>190</v>
      </c>
      <c r="H8" s="3" t="s">
        <v>2534</v>
      </c>
    </row>
    <row r="9" ht="20" customHeight="1" spans="1:8">
      <c r="A9" s="3" t="s">
        <v>2537</v>
      </c>
      <c r="B9" s="3" t="s">
        <v>1100</v>
      </c>
      <c r="C9" s="3" t="s">
        <v>2538</v>
      </c>
      <c r="D9" s="3" t="s">
        <v>2539</v>
      </c>
      <c r="E9" s="3" t="s">
        <v>188</v>
      </c>
      <c r="F9" s="3" t="s">
        <v>1041</v>
      </c>
      <c r="G9" s="3" t="s">
        <v>1102</v>
      </c>
      <c r="H9" s="3" t="s">
        <v>2540</v>
      </c>
    </row>
    <row r="10" ht="33" spans="1:8">
      <c r="A10" s="3" t="s">
        <v>2541</v>
      </c>
      <c r="B10" s="3" t="s">
        <v>249</v>
      </c>
      <c r="C10" s="3" t="s">
        <v>190</v>
      </c>
      <c r="D10" s="3" t="s">
        <v>2542</v>
      </c>
      <c r="E10" s="3" t="s">
        <v>444</v>
      </c>
      <c r="F10" s="3" t="s">
        <v>2543</v>
      </c>
      <c r="G10" s="3" t="s">
        <v>190</v>
      </c>
      <c r="H10" s="3" t="s">
        <v>2544</v>
      </c>
    </row>
    <row r="11" ht="33" spans="1:8">
      <c r="A11" s="3" t="s">
        <v>2545</v>
      </c>
      <c r="B11" s="3" t="s">
        <v>2546</v>
      </c>
      <c r="C11" s="3" t="s">
        <v>2547</v>
      </c>
      <c r="D11" s="3" t="s">
        <v>2548</v>
      </c>
      <c r="E11" s="3" t="s">
        <v>2549</v>
      </c>
      <c r="F11" s="3" t="s">
        <v>2550</v>
      </c>
      <c r="G11" s="3" t="s">
        <v>138</v>
      </c>
      <c r="H11" s="3" t="s">
        <v>2551</v>
      </c>
    </row>
  </sheetData>
  <autoFilter xmlns:etc="http://www.wps.cn/officeDocument/2017/etCustomData" ref="A1:H11"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6"/>
  <sheetViews>
    <sheetView workbookViewId="0">
      <pane ySplit="1" topLeftCell="A2" activePane="bottomLeft" state="frozen"/>
      <selection/>
      <selection pane="bottomLeft" activeCell="D128" sqref="D128"/>
    </sheetView>
  </sheetViews>
  <sheetFormatPr defaultColWidth="9" defaultRowHeight="13.5" outlineLevelCol="5"/>
  <cols>
    <col min="1" max="1" width="10" style="1" customWidth="1"/>
    <col min="2" max="2" width="15.25" style="1" customWidth="1"/>
    <col min="3" max="3" width="44.5" style="1" customWidth="1"/>
    <col min="4" max="4" width="47.75" style="1" customWidth="1"/>
    <col min="5" max="6" width="42" style="1" customWidth="1"/>
    <col min="7" max="16384" width="9" style="1"/>
  </cols>
  <sheetData>
    <row r="1" ht="20" customHeight="1" spans="1:6">
      <c r="A1" s="2" t="s">
        <v>2552</v>
      </c>
      <c r="B1" s="2" t="s">
        <v>2553</v>
      </c>
      <c r="C1" s="2" t="s">
        <v>2554</v>
      </c>
      <c r="D1" s="2" t="s">
        <v>2555</v>
      </c>
      <c r="E1" s="2" t="s">
        <v>2556</v>
      </c>
      <c r="F1" s="2" t="s">
        <v>28</v>
      </c>
    </row>
    <row r="2" ht="20" customHeight="1" spans="1:6">
      <c r="A2" s="3" t="s">
        <v>2557</v>
      </c>
      <c r="B2" s="3" t="s">
        <v>2558</v>
      </c>
      <c r="C2" s="3" t="s">
        <v>2559</v>
      </c>
      <c r="D2" s="3" t="s">
        <v>2560</v>
      </c>
      <c r="E2" s="3" t="s">
        <v>2561</v>
      </c>
      <c r="F2" s="3" t="s">
        <v>2562</v>
      </c>
    </row>
    <row r="3" ht="20" customHeight="1" spans="1:6">
      <c r="A3" s="3" t="s">
        <v>2557</v>
      </c>
      <c r="B3" s="3" t="s">
        <v>2558</v>
      </c>
      <c r="C3" s="3" t="s">
        <v>2563</v>
      </c>
      <c r="D3" s="3" t="s">
        <v>2560</v>
      </c>
      <c r="E3" s="3" t="s">
        <v>2561</v>
      </c>
      <c r="F3" s="3" t="s">
        <v>2562</v>
      </c>
    </row>
    <row r="4" ht="20" customHeight="1" spans="1:6">
      <c r="A4" s="3" t="s">
        <v>2557</v>
      </c>
      <c r="B4" s="3" t="s">
        <v>2558</v>
      </c>
      <c r="C4" s="3" t="s">
        <v>2564</v>
      </c>
      <c r="D4" s="3" t="s">
        <v>2560</v>
      </c>
      <c r="E4" s="3" t="s">
        <v>2561</v>
      </c>
      <c r="F4" s="3" t="s">
        <v>2562</v>
      </c>
    </row>
    <row r="5" ht="20" customHeight="1" spans="1:6">
      <c r="A5" s="3" t="s">
        <v>2557</v>
      </c>
      <c r="B5" s="3" t="s">
        <v>2558</v>
      </c>
      <c r="C5" s="3" t="s">
        <v>2565</v>
      </c>
      <c r="D5" s="3" t="s">
        <v>2560</v>
      </c>
      <c r="E5" s="3" t="s">
        <v>2561</v>
      </c>
      <c r="F5" s="3" t="s">
        <v>2562</v>
      </c>
    </row>
    <row r="6" ht="20" customHeight="1" spans="1:6">
      <c r="A6" s="3" t="s">
        <v>2557</v>
      </c>
      <c r="B6" s="3" t="s">
        <v>2558</v>
      </c>
      <c r="C6" s="3" t="s">
        <v>2566</v>
      </c>
      <c r="D6" s="3" t="s">
        <v>2560</v>
      </c>
      <c r="E6" s="3" t="s">
        <v>2561</v>
      </c>
      <c r="F6" s="3" t="s">
        <v>2562</v>
      </c>
    </row>
    <row r="7" ht="20" customHeight="1" spans="1:6">
      <c r="A7" s="3" t="s">
        <v>2557</v>
      </c>
      <c r="B7" s="3" t="s">
        <v>2558</v>
      </c>
      <c r="C7" s="3" t="s">
        <v>2567</v>
      </c>
      <c r="D7" s="3" t="s">
        <v>2560</v>
      </c>
      <c r="E7" s="3" t="s">
        <v>2561</v>
      </c>
      <c r="F7" s="3" t="s">
        <v>2562</v>
      </c>
    </row>
    <row r="8" ht="20" customHeight="1" spans="1:6">
      <c r="A8" s="3" t="s">
        <v>2568</v>
      </c>
      <c r="B8" s="3" t="s">
        <v>2569</v>
      </c>
      <c r="C8" s="3" t="s">
        <v>2570</v>
      </c>
      <c r="D8" s="3" t="s">
        <v>2571</v>
      </c>
      <c r="E8" s="3" t="s">
        <v>2572</v>
      </c>
      <c r="F8" s="3" t="s">
        <v>2573</v>
      </c>
    </row>
    <row r="9" ht="20" customHeight="1" spans="1:6">
      <c r="A9" s="3" t="s">
        <v>2568</v>
      </c>
      <c r="B9" s="3" t="s">
        <v>2569</v>
      </c>
      <c r="C9" s="3" t="s">
        <v>2574</v>
      </c>
      <c r="D9" s="3" t="s">
        <v>2571</v>
      </c>
      <c r="E9" s="3" t="s">
        <v>2572</v>
      </c>
      <c r="F9" s="3" t="s">
        <v>2573</v>
      </c>
    </row>
    <row r="10" ht="20" customHeight="1" spans="1:6">
      <c r="A10" s="3" t="s">
        <v>2568</v>
      </c>
      <c r="B10" s="3" t="s">
        <v>2569</v>
      </c>
      <c r="C10" s="3" t="s">
        <v>2575</v>
      </c>
      <c r="D10" s="3" t="s">
        <v>2571</v>
      </c>
      <c r="E10" s="3" t="s">
        <v>2572</v>
      </c>
      <c r="F10" s="3" t="s">
        <v>2573</v>
      </c>
    </row>
    <row r="11" ht="20" customHeight="1" spans="1:6">
      <c r="A11" s="3" t="s">
        <v>2568</v>
      </c>
      <c r="B11" s="3" t="s">
        <v>2569</v>
      </c>
      <c r="C11" s="3" t="s">
        <v>2576</v>
      </c>
      <c r="D11" s="3" t="s">
        <v>2571</v>
      </c>
      <c r="E11" s="3" t="s">
        <v>2572</v>
      </c>
      <c r="F11" s="3" t="s">
        <v>2573</v>
      </c>
    </row>
    <row r="12" ht="20" customHeight="1" spans="1:6">
      <c r="A12" s="3" t="s">
        <v>2568</v>
      </c>
      <c r="B12" s="3" t="s">
        <v>2569</v>
      </c>
      <c r="C12" s="3" t="s">
        <v>2577</v>
      </c>
      <c r="D12" s="3" t="s">
        <v>2571</v>
      </c>
      <c r="E12" s="3" t="s">
        <v>2572</v>
      </c>
      <c r="F12" s="3" t="s">
        <v>2573</v>
      </c>
    </row>
    <row r="13" ht="20" customHeight="1" spans="1:6">
      <c r="A13" s="3" t="s">
        <v>2568</v>
      </c>
      <c r="B13" s="3" t="s">
        <v>2569</v>
      </c>
      <c r="C13" s="3" t="s">
        <v>2578</v>
      </c>
      <c r="D13" s="3" t="s">
        <v>2571</v>
      </c>
      <c r="E13" s="3" t="s">
        <v>2572</v>
      </c>
      <c r="F13" s="3" t="s">
        <v>2573</v>
      </c>
    </row>
    <row r="14" ht="20" customHeight="1" spans="1:6">
      <c r="A14" s="3" t="s">
        <v>2579</v>
      </c>
      <c r="B14" s="3" t="s">
        <v>1121</v>
      </c>
      <c r="C14" s="3" t="s">
        <v>2580</v>
      </c>
      <c r="D14" s="3" t="s">
        <v>2581</v>
      </c>
      <c r="E14" s="3" t="s">
        <v>2582</v>
      </c>
      <c r="F14" s="3" t="s">
        <v>2583</v>
      </c>
    </row>
    <row r="15" ht="20" customHeight="1" spans="1:6">
      <c r="A15" s="3" t="s">
        <v>2579</v>
      </c>
      <c r="B15" s="3" t="s">
        <v>1121</v>
      </c>
      <c r="C15" s="3" t="s">
        <v>2584</v>
      </c>
      <c r="D15" s="3" t="s">
        <v>2581</v>
      </c>
      <c r="E15" s="3" t="s">
        <v>2582</v>
      </c>
      <c r="F15" s="3" t="s">
        <v>2583</v>
      </c>
    </row>
    <row r="16" ht="20" customHeight="1" spans="1:6">
      <c r="A16" s="3" t="s">
        <v>2579</v>
      </c>
      <c r="B16" s="3" t="s">
        <v>1121</v>
      </c>
      <c r="C16" s="3" t="s">
        <v>2585</v>
      </c>
      <c r="D16" s="3" t="s">
        <v>2581</v>
      </c>
      <c r="E16" s="3" t="s">
        <v>2582</v>
      </c>
      <c r="F16" s="3" t="s">
        <v>2583</v>
      </c>
    </row>
    <row r="17" ht="20" customHeight="1" spans="1:6">
      <c r="A17" s="3" t="s">
        <v>2579</v>
      </c>
      <c r="B17" s="3" t="s">
        <v>1121</v>
      </c>
      <c r="C17" s="3" t="s">
        <v>2586</v>
      </c>
      <c r="D17" s="3" t="s">
        <v>2581</v>
      </c>
      <c r="E17" s="3" t="s">
        <v>2582</v>
      </c>
      <c r="F17" s="3" t="s">
        <v>2583</v>
      </c>
    </row>
    <row r="18" ht="20" customHeight="1" spans="1:6">
      <c r="A18" s="3" t="s">
        <v>2579</v>
      </c>
      <c r="B18" s="3" t="s">
        <v>1121</v>
      </c>
      <c r="C18" s="3" t="s">
        <v>2587</v>
      </c>
      <c r="D18" s="3" t="s">
        <v>2581</v>
      </c>
      <c r="E18" s="3" t="s">
        <v>2582</v>
      </c>
      <c r="F18" s="3" t="s">
        <v>2583</v>
      </c>
    </row>
    <row r="19" ht="20" customHeight="1" spans="1:6">
      <c r="A19" s="3" t="s">
        <v>2579</v>
      </c>
      <c r="B19" s="3" t="s">
        <v>1121</v>
      </c>
      <c r="C19" s="3" t="s">
        <v>2588</v>
      </c>
      <c r="D19" s="3" t="s">
        <v>2581</v>
      </c>
      <c r="E19" s="3" t="s">
        <v>2582</v>
      </c>
      <c r="F19" s="3" t="s">
        <v>2583</v>
      </c>
    </row>
    <row r="20" ht="20" customHeight="1" spans="1:6">
      <c r="A20" s="3" t="s">
        <v>2579</v>
      </c>
      <c r="B20" s="3" t="s">
        <v>1121</v>
      </c>
      <c r="C20" s="3" t="s">
        <v>2589</v>
      </c>
      <c r="D20" s="3" t="s">
        <v>2581</v>
      </c>
      <c r="E20" s="3" t="s">
        <v>2582</v>
      </c>
      <c r="F20" s="3" t="s">
        <v>2583</v>
      </c>
    </row>
    <row r="21" ht="20" customHeight="1" spans="1:6">
      <c r="A21" s="3" t="s">
        <v>2579</v>
      </c>
      <c r="B21" s="3" t="s">
        <v>1121</v>
      </c>
      <c r="C21" s="3" t="s">
        <v>2590</v>
      </c>
      <c r="D21" s="3" t="s">
        <v>2581</v>
      </c>
      <c r="E21" s="3" t="s">
        <v>2582</v>
      </c>
      <c r="F21" s="3" t="s">
        <v>2583</v>
      </c>
    </row>
    <row r="22" ht="20" customHeight="1" spans="1:6">
      <c r="A22" s="3" t="s">
        <v>2579</v>
      </c>
      <c r="B22" s="3" t="s">
        <v>1121</v>
      </c>
      <c r="C22" s="3" t="s">
        <v>2591</v>
      </c>
      <c r="D22" s="3" t="s">
        <v>2581</v>
      </c>
      <c r="E22" s="3" t="s">
        <v>2582</v>
      </c>
      <c r="F22" s="3" t="s">
        <v>2583</v>
      </c>
    </row>
    <row r="23" ht="20" customHeight="1" spans="1:6">
      <c r="A23" s="3" t="s">
        <v>2579</v>
      </c>
      <c r="B23" s="3" t="s">
        <v>1121</v>
      </c>
      <c r="C23" s="3" t="s">
        <v>2592</v>
      </c>
      <c r="D23" s="3" t="s">
        <v>2581</v>
      </c>
      <c r="E23" s="3" t="s">
        <v>2582</v>
      </c>
      <c r="F23" s="3" t="s">
        <v>2583</v>
      </c>
    </row>
    <row r="24" ht="20" customHeight="1" spans="1:6">
      <c r="A24" s="3" t="s">
        <v>2593</v>
      </c>
      <c r="B24" s="3" t="s">
        <v>2594</v>
      </c>
      <c r="C24" s="3" t="s">
        <v>2595</v>
      </c>
      <c r="D24" s="3" t="s">
        <v>2596</v>
      </c>
      <c r="E24" s="3" t="s">
        <v>2597</v>
      </c>
      <c r="F24" s="3" t="s">
        <v>2598</v>
      </c>
    </row>
    <row r="25" ht="20" customHeight="1" spans="1:6">
      <c r="A25" s="3" t="s">
        <v>2593</v>
      </c>
      <c r="B25" s="3" t="s">
        <v>2594</v>
      </c>
      <c r="C25" s="3" t="s">
        <v>2599</v>
      </c>
      <c r="D25" s="3" t="s">
        <v>2596</v>
      </c>
      <c r="E25" s="3" t="s">
        <v>2597</v>
      </c>
      <c r="F25" s="3" t="s">
        <v>2598</v>
      </c>
    </row>
    <row r="26" ht="20" customHeight="1" spans="1:6">
      <c r="A26" s="3" t="s">
        <v>2593</v>
      </c>
      <c r="B26" s="3" t="s">
        <v>2594</v>
      </c>
      <c r="C26" s="3" t="s">
        <v>2600</v>
      </c>
      <c r="D26" s="3" t="s">
        <v>2596</v>
      </c>
      <c r="E26" s="3" t="s">
        <v>2597</v>
      </c>
      <c r="F26" s="3" t="s">
        <v>2598</v>
      </c>
    </row>
    <row r="27" ht="20" customHeight="1" spans="1:6">
      <c r="A27" s="3" t="s">
        <v>2593</v>
      </c>
      <c r="B27" s="3" t="s">
        <v>2594</v>
      </c>
      <c r="C27" s="3" t="s">
        <v>2601</v>
      </c>
      <c r="D27" s="3" t="s">
        <v>2596</v>
      </c>
      <c r="E27" s="3" t="s">
        <v>2597</v>
      </c>
      <c r="F27" s="3" t="s">
        <v>2598</v>
      </c>
    </row>
    <row r="28" ht="20" customHeight="1" spans="1:6">
      <c r="A28" s="3" t="s">
        <v>2593</v>
      </c>
      <c r="B28" s="3" t="s">
        <v>2594</v>
      </c>
      <c r="C28" s="3" t="s">
        <v>2602</v>
      </c>
      <c r="D28" s="3" t="s">
        <v>2596</v>
      </c>
      <c r="E28" s="3" t="s">
        <v>2597</v>
      </c>
      <c r="F28" s="3" t="s">
        <v>2598</v>
      </c>
    </row>
    <row r="29" ht="20" customHeight="1" spans="1:6">
      <c r="A29" s="3" t="s">
        <v>2593</v>
      </c>
      <c r="B29" s="3" t="s">
        <v>2594</v>
      </c>
      <c r="C29" s="3" t="s">
        <v>2603</v>
      </c>
      <c r="D29" s="3" t="s">
        <v>2596</v>
      </c>
      <c r="E29" s="3" t="s">
        <v>2597</v>
      </c>
      <c r="F29" s="3" t="s">
        <v>2598</v>
      </c>
    </row>
    <row r="30" ht="20" customHeight="1" spans="1:6">
      <c r="A30" s="3" t="s">
        <v>2593</v>
      </c>
      <c r="B30" s="3" t="s">
        <v>2594</v>
      </c>
      <c r="C30" s="3" t="s">
        <v>2604</v>
      </c>
      <c r="D30" s="3" t="s">
        <v>2596</v>
      </c>
      <c r="E30" s="3" t="s">
        <v>2597</v>
      </c>
      <c r="F30" s="3" t="s">
        <v>2598</v>
      </c>
    </row>
    <row r="31" ht="20" customHeight="1" spans="1:6">
      <c r="A31" s="3" t="s">
        <v>2593</v>
      </c>
      <c r="B31" s="3" t="s">
        <v>2594</v>
      </c>
      <c r="C31" s="3" t="s">
        <v>2605</v>
      </c>
      <c r="D31" s="3" t="s">
        <v>2596</v>
      </c>
      <c r="E31" s="3" t="s">
        <v>2597</v>
      </c>
      <c r="F31" s="3" t="s">
        <v>2598</v>
      </c>
    </row>
    <row r="32" ht="20" customHeight="1" spans="1:6">
      <c r="A32" s="3" t="s">
        <v>2593</v>
      </c>
      <c r="B32" s="3" t="s">
        <v>2594</v>
      </c>
      <c r="C32" s="3" t="s">
        <v>2606</v>
      </c>
      <c r="D32" s="3" t="s">
        <v>2596</v>
      </c>
      <c r="E32" s="3" t="s">
        <v>2597</v>
      </c>
      <c r="F32" s="3" t="s">
        <v>2598</v>
      </c>
    </row>
    <row r="33" ht="20" customHeight="1" spans="1:6">
      <c r="A33" s="3" t="s">
        <v>2593</v>
      </c>
      <c r="B33" s="3" t="s">
        <v>2594</v>
      </c>
      <c r="C33" s="3" t="s">
        <v>2607</v>
      </c>
      <c r="D33" s="3" t="s">
        <v>2596</v>
      </c>
      <c r="E33" s="3" t="s">
        <v>2597</v>
      </c>
      <c r="F33" s="3" t="s">
        <v>2598</v>
      </c>
    </row>
    <row r="34" ht="20" customHeight="1" spans="1:6">
      <c r="A34" s="3" t="s">
        <v>2593</v>
      </c>
      <c r="B34" s="3" t="s">
        <v>2594</v>
      </c>
      <c r="C34" s="3" t="s">
        <v>2608</v>
      </c>
      <c r="D34" s="3" t="s">
        <v>2596</v>
      </c>
      <c r="E34" s="3" t="s">
        <v>2597</v>
      </c>
      <c r="F34" s="3" t="s">
        <v>2598</v>
      </c>
    </row>
    <row r="35" ht="20" customHeight="1" spans="1:6">
      <c r="A35" s="3" t="s">
        <v>2593</v>
      </c>
      <c r="B35" s="3" t="s">
        <v>2594</v>
      </c>
      <c r="C35" s="3" t="s">
        <v>2609</v>
      </c>
      <c r="D35" s="3" t="s">
        <v>2596</v>
      </c>
      <c r="E35" s="3" t="s">
        <v>2597</v>
      </c>
      <c r="F35" s="3" t="s">
        <v>2598</v>
      </c>
    </row>
    <row r="36" ht="20" customHeight="1" spans="1:6">
      <c r="A36" s="3" t="s">
        <v>2593</v>
      </c>
      <c r="B36" s="3" t="s">
        <v>2594</v>
      </c>
      <c r="C36" s="3" t="s">
        <v>2610</v>
      </c>
      <c r="D36" s="3" t="s">
        <v>2596</v>
      </c>
      <c r="E36" s="3" t="s">
        <v>2597</v>
      </c>
      <c r="F36" s="3" t="s">
        <v>2598</v>
      </c>
    </row>
    <row r="37" ht="20" customHeight="1" spans="1:6">
      <c r="A37" s="3" t="s">
        <v>2593</v>
      </c>
      <c r="B37" s="3" t="s">
        <v>2594</v>
      </c>
      <c r="C37" s="3" t="s">
        <v>2611</v>
      </c>
      <c r="D37" s="3" t="s">
        <v>2596</v>
      </c>
      <c r="E37" s="3" t="s">
        <v>2597</v>
      </c>
      <c r="F37" s="3" t="s">
        <v>2598</v>
      </c>
    </row>
    <row r="38" ht="20" customHeight="1" spans="1:6">
      <c r="A38" s="3" t="s">
        <v>2593</v>
      </c>
      <c r="B38" s="3" t="s">
        <v>2594</v>
      </c>
      <c r="C38" s="3" t="s">
        <v>2612</v>
      </c>
      <c r="D38" s="3" t="s">
        <v>2596</v>
      </c>
      <c r="E38" s="3" t="s">
        <v>2597</v>
      </c>
      <c r="F38" s="3" t="s">
        <v>2598</v>
      </c>
    </row>
    <row r="39" ht="20" customHeight="1" spans="1:6">
      <c r="A39" s="3" t="s">
        <v>2593</v>
      </c>
      <c r="B39" s="3" t="s">
        <v>2594</v>
      </c>
      <c r="C39" s="3" t="s">
        <v>2613</v>
      </c>
      <c r="D39" s="3" t="s">
        <v>2596</v>
      </c>
      <c r="E39" s="3" t="s">
        <v>2597</v>
      </c>
      <c r="F39" s="3" t="s">
        <v>2598</v>
      </c>
    </row>
    <row r="40" ht="20" customHeight="1" spans="1:6">
      <c r="A40" s="3" t="s">
        <v>2593</v>
      </c>
      <c r="B40" s="3" t="s">
        <v>2594</v>
      </c>
      <c r="C40" s="3" t="s">
        <v>2614</v>
      </c>
      <c r="D40" s="3" t="s">
        <v>2596</v>
      </c>
      <c r="E40" s="3" t="s">
        <v>2597</v>
      </c>
      <c r="F40" s="3" t="s">
        <v>2598</v>
      </c>
    </row>
    <row r="41" ht="20" customHeight="1" spans="1:6">
      <c r="A41" s="3" t="s">
        <v>2593</v>
      </c>
      <c r="B41" s="3" t="s">
        <v>2594</v>
      </c>
      <c r="C41" s="3" t="s">
        <v>2615</v>
      </c>
      <c r="D41" s="3" t="s">
        <v>2596</v>
      </c>
      <c r="E41" s="3" t="s">
        <v>2597</v>
      </c>
      <c r="F41" s="3" t="s">
        <v>2598</v>
      </c>
    </row>
    <row r="42" ht="20" customHeight="1" spans="1:6">
      <c r="A42" s="3" t="s">
        <v>2593</v>
      </c>
      <c r="B42" s="3" t="s">
        <v>2594</v>
      </c>
      <c r="C42" s="3" t="s">
        <v>2616</v>
      </c>
      <c r="D42" s="3" t="s">
        <v>2596</v>
      </c>
      <c r="E42" s="3" t="s">
        <v>2597</v>
      </c>
      <c r="F42" s="3" t="s">
        <v>2598</v>
      </c>
    </row>
    <row r="43" ht="20" customHeight="1" spans="1:6">
      <c r="A43" s="3" t="s">
        <v>2593</v>
      </c>
      <c r="B43" s="3" t="s">
        <v>2594</v>
      </c>
      <c r="C43" s="3" t="s">
        <v>2617</v>
      </c>
      <c r="D43" s="3" t="s">
        <v>2596</v>
      </c>
      <c r="E43" s="3" t="s">
        <v>2597</v>
      </c>
      <c r="F43" s="3" t="s">
        <v>2598</v>
      </c>
    </row>
    <row r="44" ht="20" customHeight="1" spans="1:6">
      <c r="A44" s="3" t="s">
        <v>2593</v>
      </c>
      <c r="B44" s="3" t="s">
        <v>2594</v>
      </c>
      <c r="C44" s="3" t="s">
        <v>2618</v>
      </c>
      <c r="D44" s="3" t="s">
        <v>2596</v>
      </c>
      <c r="E44" s="3" t="s">
        <v>2597</v>
      </c>
      <c r="F44" s="3" t="s">
        <v>2598</v>
      </c>
    </row>
    <row r="45" ht="20" customHeight="1" spans="1:6">
      <c r="A45" s="3" t="s">
        <v>2593</v>
      </c>
      <c r="B45" s="3" t="s">
        <v>2594</v>
      </c>
      <c r="C45" s="3" t="s">
        <v>2589</v>
      </c>
      <c r="D45" s="3" t="s">
        <v>2596</v>
      </c>
      <c r="E45" s="3" t="s">
        <v>2597</v>
      </c>
      <c r="F45" s="3" t="s">
        <v>2598</v>
      </c>
    </row>
    <row r="46" ht="20" customHeight="1" spans="1:6">
      <c r="A46" s="3" t="s">
        <v>2593</v>
      </c>
      <c r="B46" s="3" t="s">
        <v>2594</v>
      </c>
      <c r="C46" s="3" t="s">
        <v>2588</v>
      </c>
      <c r="D46" s="3" t="s">
        <v>2596</v>
      </c>
      <c r="E46" s="3" t="s">
        <v>2597</v>
      </c>
      <c r="F46" s="3" t="s">
        <v>2598</v>
      </c>
    </row>
    <row r="47" ht="20" customHeight="1" spans="1:6">
      <c r="A47" s="3" t="s">
        <v>2593</v>
      </c>
      <c r="B47" s="3" t="s">
        <v>2594</v>
      </c>
      <c r="C47" s="3" t="s">
        <v>2619</v>
      </c>
      <c r="D47" s="3" t="s">
        <v>2596</v>
      </c>
      <c r="E47" s="3" t="s">
        <v>2597</v>
      </c>
      <c r="F47" s="3" t="s">
        <v>2598</v>
      </c>
    </row>
    <row r="48" ht="20" customHeight="1" spans="1:6">
      <c r="A48" s="3" t="s">
        <v>2593</v>
      </c>
      <c r="B48" s="3" t="s">
        <v>2594</v>
      </c>
      <c r="C48" s="3" t="s">
        <v>2620</v>
      </c>
      <c r="D48" s="3" t="s">
        <v>2596</v>
      </c>
      <c r="E48" s="3" t="s">
        <v>2597</v>
      </c>
      <c r="F48" s="3" t="s">
        <v>2598</v>
      </c>
    </row>
    <row r="49" ht="20" customHeight="1" spans="1:6">
      <c r="A49" s="3" t="s">
        <v>2621</v>
      </c>
      <c r="B49" s="3" t="s">
        <v>2622</v>
      </c>
      <c r="C49" s="3" t="s">
        <v>2623</v>
      </c>
      <c r="D49" s="3" t="s">
        <v>2624</v>
      </c>
      <c r="E49" s="3" t="s">
        <v>2625</v>
      </c>
      <c r="F49" s="3" t="s">
        <v>2626</v>
      </c>
    </row>
    <row r="50" ht="20" customHeight="1" spans="1:6">
      <c r="A50" s="3" t="s">
        <v>2621</v>
      </c>
      <c r="B50" s="3" t="s">
        <v>2622</v>
      </c>
      <c r="C50" s="3" t="s">
        <v>2627</v>
      </c>
      <c r="D50" s="3" t="s">
        <v>2624</v>
      </c>
      <c r="E50" s="3" t="s">
        <v>2625</v>
      </c>
      <c r="F50" s="3" t="s">
        <v>2626</v>
      </c>
    </row>
    <row r="51" ht="20" customHeight="1" spans="1:6">
      <c r="A51" s="3" t="s">
        <v>2621</v>
      </c>
      <c r="B51" s="3" t="s">
        <v>2622</v>
      </c>
      <c r="C51" s="3" t="s">
        <v>2628</v>
      </c>
      <c r="D51" s="3" t="s">
        <v>2624</v>
      </c>
      <c r="E51" s="3" t="s">
        <v>2625</v>
      </c>
      <c r="F51" s="3" t="s">
        <v>2626</v>
      </c>
    </row>
    <row r="52" ht="20" customHeight="1" spans="1:6">
      <c r="A52" s="3" t="s">
        <v>2621</v>
      </c>
      <c r="B52" s="3" t="s">
        <v>2622</v>
      </c>
      <c r="C52" s="3" t="s">
        <v>2629</v>
      </c>
      <c r="D52" s="3" t="s">
        <v>2624</v>
      </c>
      <c r="E52" s="3" t="s">
        <v>2625</v>
      </c>
      <c r="F52" s="3" t="s">
        <v>2626</v>
      </c>
    </row>
    <row r="53" ht="20" customHeight="1" spans="1:6">
      <c r="A53" s="3" t="s">
        <v>2621</v>
      </c>
      <c r="B53" s="3" t="s">
        <v>2622</v>
      </c>
      <c r="C53" s="3" t="s">
        <v>2630</v>
      </c>
      <c r="D53" s="3" t="s">
        <v>2624</v>
      </c>
      <c r="E53" s="3" t="s">
        <v>2625</v>
      </c>
      <c r="F53" s="3" t="s">
        <v>2626</v>
      </c>
    </row>
    <row r="54" ht="20" customHeight="1" spans="1:6">
      <c r="A54" s="3" t="s">
        <v>2621</v>
      </c>
      <c r="B54" s="3" t="s">
        <v>2622</v>
      </c>
      <c r="C54" s="3" t="s">
        <v>2631</v>
      </c>
      <c r="D54" s="3" t="s">
        <v>2624</v>
      </c>
      <c r="E54" s="3" t="s">
        <v>2625</v>
      </c>
      <c r="F54" s="3" t="s">
        <v>2626</v>
      </c>
    </row>
    <row r="55" ht="20" customHeight="1" spans="1:6">
      <c r="A55" s="3" t="s">
        <v>2621</v>
      </c>
      <c r="B55" s="3" t="s">
        <v>2622</v>
      </c>
      <c r="C55" s="3" t="s">
        <v>2632</v>
      </c>
      <c r="D55" s="3" t="s">
        <v>2624</v>
      </c>
      <c r="E55" s="3" t="s">
        <v>2625</v>
      </c>
      <c r="F55" s="3" t="s">
        <v>2626</v>
      </c>
    </row>
    <row r="56" ht="20" customHeight="1" spans="1:6">
      <c r="A56" s="3" t="s">
        <v>2621</v>
      </c>
      <c r="B56" s="3" t="s">
        <v>2622</v>
      </c>
      <c r="C56" s="3" t="s">
        <v>2633</v>
      </c>
      <c r="D56" s="3" t="s">
        <v>2624</v>
      </c>
      <c r="E56" s="3" t="s">
        <v>2625</v>
      </c>
      <c r="F56" s="3" t="s">
        <v>2626</v>
      </c>
    </row>
    <row r="57" ht="20" customHeight="1" spans="1:6">
      <c r="A57" s="3" t="s">
        <v>2621</v>
      </c>
      <c r="B57" s="3" t="s">
        <v>2622</v>
      </c>
      <c r="C57" s="3" t="s">
        <v>2634</v>
      </c>
      <c r="D57" s="3" t="s">
        <v>2624</v>
      </c>
      <c r="E57" s="3" t="s">
        <v>2625</v>
      </c>
      <c r="F57" s="3" t="s">
        <v>2626</v>
      </c>
    </row>
    <row r="58" ht="20" customHeight="1" spans="1:6">
      <c r="A58" s="3" t="s">
        <v>2621</v>
      </c>
      <c r="B58" s="3" t="s">
        <v>2622</v>
      </c>
      <c r="C58" s="3" t="s">
        <v>2635</v>
      </c>
      <c r="D58" s="3" t="s">
        <v>2624</v>
      </c>
      <c r="E58" s="3" t="s">
        <v>2625</v>
      </c>
      <c r="F58" s="3" t="s">
        <v>2626</v>
      </c>
    </row>
    <row r="59" ht="20" customHeight="1" spans="1:6">
      <c r="A59" s="3" t="s">
        <v>2621</v>
      </c>
      <c r="B59" s="3" t="s">
        <v>2622</v>
      </c>
      <c r="C59" s="3" t="s">
        <v>2636</v>
      </c>
      <c r="D59" s="3" t="s">
        <v>2624</v>
      </c>
      <c r="E59" s="3" t="s">
        <v>2625</v>
      </c>
      <c r="F59" s="3" t="s">
        <v>2626</v>
      </c>
    </row>
    <row r="60" ht="20" customHeight="1" spans="1:6">
      <c r="A60" s="3" t="s">
        <v>2621</v>
      </c>
      <c r="B60" s="3" t="s">
        <v>2622</v>
      </c>
      <c r="C60" s="3" t="s">
        <v>2637</v>
      </c>
      <c r="D60" s="3" t="s">
        <v>2624</v>
      </c>
      <c r="E60" s="3" t="s">
        <v>2625</v>
      </c>
      <c r="F60" s="3" t="s">
        <v>2626</v>
      </c>
    </row>
    <row r="61" ht="20" customHeight="1" spans="1:6">
      <c r="A61" s="3" t="s">
        <v>2621</v>
      </c>
      <c r="B61" s="3" t="s">
        <v>2622</v>
      </c>
      <c r="C61" s="3" t="s">
        <v>2638</v>
      </c>
      <c r="D61" s="3" t="s">
        <v>2624</v>
      </c>
      <c r="E61" s="3" t="s">
        <v>2625</v>
      </c>
      <c r="F61" s="3" t="s">
        <v>2626</v>
      </c>
    </row>
    <row r="62" ht="20" customHeight="1" spans="1:6">
      <c r="A62" s="3" t="s">
        <v>2621</v>
      </c>
      <c r="B62" s="3" t="s">
        <v>2622</v>
      </c>
      <c r="C62" s="3" t="s">
        <v>2639</v>
      </c>
      <c r="D62" s="3" t="s">
        <v>2624</v>
      </c>
      <c r="E62" s="3" t="s">
        <v>2625</v>
      </c>
      <c r="F62" s="3" t="s">
        <v>2626</v>
      </c>
    </row>
    <row r="63" ht="20" customHeight="1" spans="1:6">
      <c r="A63" s="3" t="s">
        <v>2621</v>
      </c>
      <c r="B63" s="3" t="s">
        <v>2622</v>
      </c>
      <c r="C63" s="3" t="s">
        <v>2640</v>
      </c>
      <c r="D63" s="3" t="s">
        <v>2624</v>
      </c>
      <c r="E63" s="3" t="s">
        <v>2625</v>
      </c>
      <c r="F63" s="3" t="s">
        <v>2626</v>
      </c>
    </row>
    <row r="64" ht="20" customHeight="1" spans="1:6">
      <c r="A64" s="3" t="s">
        <v>2621</v>
      </c>
      <c r="B64" s="3" t="s">
        <v>2622</v>
      </c>
      <c r="C64" s="3" t="s">
        <v>2641</v>
      </c>
      <c r="D64" s="3" t="s">
        <v>2624</v>
      </c>
      <c r="E64" s="3" t="s">
        <v>2625</v>
      </c>
      <c r="F64" s="3" t="s">
        <v>2626</v>
      </c>
    </row>
    <row r="65" ht="20" customHeight="1" spans="1:6">
      <c r="A65" s="3" t="s">
        <v>2621</v>
      </c>
      <c r="B65" s="3" t="s">
        <v>2622</v>
      </c>
      <c r="C65" s="3" t="s">
        <v>2642</v>
      </c>
      <c r="D65" s="3" t="s">
        <v>2624</v>
      </c>
      <c r="E65" s="3" t="s">
        <v>2625</v>
      </c>
      <c r="F65" s="3" t="s">
        <v>2626</v>
      </c>
    </row>
    <row r="66" ht="20" customHeight="1" spans="1:6">
      <c r="A66" s="3" t="s">
        <v>2621</v>
      </c>
      <c r="B66" s="3" t="s">
        <v>2622</v>
      </c>
      <c r="C66" s="3" t="s">
        <v>2643</v>
      </c>
      <c r="D66" s="3" t="s">
        <v>2624</v>
      </c>
      <c r="E66" s="3" t="s">
        <v>2625</v>
      </c>
      <c r="F66" s="3" t="s">
        <v>2626</v>
      </c>
    </row>
    <row r="67" ht="20" customHeight="1" spans="1:6">
      <c r="A67" s="3" t="s">
        <v>2621</v>
      </c>
      <c r="B67" s="3" t="s">
        <v>2622</v>
      </c>
      <c r="C67" s="3" t="s">
        <v>2644</v>
      </c>
      <c r="D67" s="3" t="s">
        <v>2624</v>
      </c>
      <c r="E67" s="3" t="s">
        <v>2625</v>
      </c>
      <c r="F67" s="3" t="s">
        <v>2626</v>
      </c>
    </row>
    <row r="68" ht="20" customHeight="1" spans="1:6">
      <c r="A68" s="3" t="s">
        <v>2621</v>
      </c>
      <c r="B68" s="3" t="s">
        <v>2622</v>
      </c>
      <c r="C68" s="3" t="s">
        <v>2645</v>
      </c>
      <c r="D68" s="3" t="s">
        <v>2624</v>
      </c>
      <c r="E68" s="3" t="s">
        <v>2625</v>
      </c>
      <c r="F68" s="3" t="s">
        <v>2626</v>
      </c>
    </row>
    <row r="69" ht="20" customHeight="1" spans="1:6">
      <c r="A69" s="3" t="s">
        <v>2621</v>
      </c>
      <c r="B69" s="3" t="s">
        <v>2622</v>
      </c>
      <c r="C69" s="3" t="s">
        <v>2646</v>
      </c>
      <c r="D69" s="3" t="s">
        <v>2624</v>
      </c>
      <c r="E69" s="3" t="s">
        <v>2625</v>
      </c>
      <c r="F69" s="3" t="s">
        <v>2626</v>
      </c>
    </row>
    <row r="70" ht="20" customHeight="1" spans="1:6">
      <c r="A70" s="3" t="s">
        <v>2621</v>
      </c>
      <c r="B70" s="3" t="s">
        <v>2622</v>
      </c>
      <c r="C70" s="3" t="s">
        <v>2647</v>
      </c>
      <c r="D70" s="3" t="s">
        <v>2624</v>
      </c>
      <c r="E70" s="3" t="s">
        <v>2625</v>
      </c>
      <c r="F70" s="3" t="s">
        <v>2626</v>
      </c>
    </row>
    <row r="71" ht="20" customHeight="1" spans="1:6">
      <c r="A71" s="3" t="s">
        <v>2621</v>
      </c>
      <c r="B71" s="3" t="s">
        <v>2622</v>
      </c>
      <c r="C71" s="3" t="s">
        <v>2648</v>
      </c>
      <c r="D71" s="3" t="s">
        <v>2624</v>
      </c>
      <c r="E71" s="3" t="s">
        <v>2625</v>
      </c>
      <c r="F71" s="3" t="s">
        <v>2626</v>
      </c>
    </row>
    <row r="72" ht="20" customHeight="1" spans="1:6">
      <c r="A72" s="3" t="s">
        <v>2621</v>
      </c>
      <c r="B72" s="3" t="s">
        <v>2622</v>
      </c>
      <c r="C72" s="3" t="s">
        <v>2649</v>
      </c>
      <c r="D72" s="3" t="s">
        <v>2624</v>
      </c>
      <c r="E72" s="3" t="s">
        <v>2625</v>
      </c>
      <c r="F72" s="3" t="s">
        <v>2626</v>
      </c>
    </row>
    <row r="73" ht="20" customHeight="1" spans="1:6">
      <c r="A73" s="3" t="s">
        <v>2621</v>
      </c>
      <c r="B73" s="3" t="s">
        <v>2622</v>
      </c>
      <c r="C73" s="3" t="s">
        <v>2650</v>
      </c>
      <c r="D73" s="3" t="s">
        <v>2624</v>
      </c>
      <c r="E73" s="3" t="s">
        <v>2625</v>
      </c>
      <c r="F73" s="3" t="s">
        <v>2626</v>
      </c>
    </row>
    <row r="74" ht="20" customHeight="1" spans="1:6">
      <c r="A74" s="3" t="s">
        <v>2621</v>
      </c>
      <c r="B74" s="3" t="s">
        <v>2622</v>
      </c>
      <c r="C74" s="3" t="s">
        <v>2651</v>
      </c>
      <c r="D74" s="3" t="s">
        <v>2624</v>
      </c>
      <c r="E74" s="3" t="s">
        <v>2625</v>
      </c>
      <c r="F74" s="3" t="s">
        <v>2626</v>
      </c>
    </row>
    <row r="75" ht="20" customHeight="1" spans="1:6">
      <c r="A75" s="3" t="s">
        <v>2652</v>
      </c>
      <c r="B75" s="3" t="s">
        <v>2653</v>
      </c>
      <c r="C75" s="3" t="s">
        <v>2654</v>
      </c>
      <c r="D75" s="3" t="s">
        <v>2655</v>
      </c>
      <c r="E75" s="3" t="s">
        <v>2656</v>
      </c>
      <c r="F75" s="3" t="s">
        <v>2657</v>
      </c>
    </row>
    <row r="76" ht="20" customHeight="1" spans="1:6">
      <c r="A76" s="3" t="s">
        <v>2652</v>
      </c>
      <c r="B76" s="3" t="s">
        <v>2653</v>
      </c>
      <c r="C76" s="3" t="s">
        <v>2658</v>
      </c>
      <c r="D76" s="3" t="s">
        <v>2655</v>
      </c>
      <c r="E76" s="3" t="s">
        <v>2656</v>
      </c>
      <c r="F76" s="3" t="s">
        <v>2657</v>
      </c>
    </row>
    <row r="77" ht="20" customHeight="1" spans="1:6">
      <c r="A77" s="3" t="s">
        <v>2652</v>
      </c>
      <c r="B77" s="3" t="s">
        <v>2653</v>
      </c>
      <c r="C77" s="3" t="s">
        <v>2659</v>
      </c>
      <c r="D77" s="3" t="s">
        <v>2655</v>
      </c>
      <c r="E77" s="3" t="s">
        <v>2656</v>
      </c>
      <c r="F77" s="3" t="s">
        <v>2657</v>
      </c>
    </row>
    <row r="78" ht="20" customHeight="1" spans="1:6">
      <c r="A78" s="3" t="s">
        <v>2652</v>
      </c>
      <c r="B78" s="3" t="s">
        <v>2653</v>
      </c>
      <c r="C78" s="3" t="s">
        <v>2660</v>
      </c>
      <c r="D78" s="3" t="s">
        <v>2655</v>
      </c>
      <c r="E78" s="3" t="s">
        <v>2656</v>
      </c>
      <c r="F78" s="3" t="s">
        <v>2657</v>
      </c>
    </row>
    <row r="79" ht="20" customHeight="1" spans="1:6">
      <c r="A79" s="3" t="s">
        <v>2652</v>
      </c>
      <c r="B79" s="3" t="s">
        <v>2653</v>
      </c>
      <c r="C79" s="3" t="s">
        <v>2661</v>
      </c>
      <c r="D79" s="3" t="s">
        <v>2655</v>
      </c>
      <c r="E79" s="3" t="s">
        <v>2656</v>
      </c>
      <c r="F79" s="3" t="s">
        <v>2657</v>
      </c>
    </row>
    <row r="80" ht="20" customHeight="1" spans="1:6">
      <c r="A80" s="3" t="s">
        <v>2652</v>
      </c>
      <c r="B80" s="3" t="s">
        <v>2653</v>
      </c>
      <c r="C80" s="3" t="s">
        <v>2662</v>
      </c>
      <c r="D80" s="3" t="s">
        <v>2655</v>
      </c>
      <c r="E80" s="3" t="s">
        <v>2656</v>
      </c>
      <c r="F80" s="3" t="s">
        <v>2657</v>
      </c>
    </row>
    <row r="81" ht="20" customHeight="1" spans="1:6">
      <c r="A81" s="3" t="s">
        <v>2652</v>
      </c>
      <c r="B81" s="3" t="s">
        <v>2653</v>
      </c>
      <c r="C81" s="3" t="s">
        <v>2663</v>
      </c>
      <c r="D81" s="3" t="s">
        <v>2655</v>
      </c>
      <c r="E81" s="3" t="s">
        <v>2656</v>
      </c>
      <c r="F81" s="3" t="s">
        <v>2657</v>
      </c>
    </row>
    <row r="82" ht="20" customHeight="1" spans="1:6">
      <c r="A82" s="3" t="s">
        <v>2652</v>
      </c>
      <c r="B82" s="3" t="s">
        <v>2653</v>
      </c>
      <c r="C82" s="3" t="s">
        <v>2664</v>
      </c>
      <c r="D82" s="3" t="s">
        <v>2655</v>
      </c>
      <c r="E82" s="3" t="s">
        <v>2656</v>
      </c>
      <c r="F82" s="3" t="s">
        <v>2657</v>
      </c>
    </row>
    <row r="83" ht="20" customHeight="1" spans="1:6">
      <c r="A83" s="3" t="s">
        <v>2652</v>
      </c>
      <c r="B83" s="3" t="s">
        <v>2653</v>
      </c>
      <c r="C83" s="3" t="s">
        <v>2665</v>
      </c>
      <c r="D83" s="3" t="s">
        <v>2655</v>
      </c>
      <c r="E83" s="3" t="s">
        <v>2656</v>
      </c>
      <c r="F83" s="3" t="s">
        <v>2657</v>
      </c>
    </row>
    <row r="84" ht="20" customHeight="1" spans="1:6">
      <c r="A84" s="3" t="s">
        <v>2666</v>
      </c>
      <c r="B84" s="3" t="s">
        <v>2667</v>
      </c>
      <c r="C84" s="3" t="s">
        <v>2668</v>
      </c>
      <c r="D84" s="3" t="s">
        <v>2669</v>
      </c>
      <c r="E84" s="3" t="s">
        <v>2670</v>
      </c>
      <c r="F84" s="3" t="s">
        <v>2671</v>
      </c>
    </row>
    <row r="85" ht="20" customHeight="1" spans="1:6">
      <c r="A85" s="3" t="s">
        <v>2666</v>
      </c>
      <c r="B85" s="3" t="s">
        <v>2667</v>
      </c>
      <c r="C85" s="3" t="s">
        <v>2672</v>
      </c>
      <c r="D85" s="3" t="s">
        <v>2669</v>
      </c>
      <c r="E85" s="3" t="s">
        <v>2670</v>
      </c>
      <c r="F85" s="3" t="s">
        <v>2671</v>
      </c>
    </row>
    <row r="86" ht="20" customHeight="1" spans="1:6">
      <c r="A86" s="3" t="s">
        <v>2666</v>
      </c>
      <c r="B86" s="3" t="s">
        <v>2667</v>
      </c>
      <c r="C86" s="3" t="s">
        <v>2673</v>
      </c>
      <c r="D86" s="3" t="s">
        <v>2669</v>
      </c>
      <c r="E86" s="3" t="s">
        <v>2670</v>
      </c>
      <c r="F86" s="3" t="s">
        <v>2671</v>
      </c>
    </row>
    <row r="87" ht="20" customHeight="1" spans="1:6">
      <c r="A87" s="3" t="s">
        <v>2666</v>
      </c>
      <c r="B87" s="3" t="s">
        <v>2667</v>
      </c>
      <c r="C87" s="3" t="s">
        <v>2674</v>
      </c>
      <c r="D87" s="3" t="s">
        <v>2669</v>
      </c>
      <c r="E87" s="3" t="s">
        <v>2670</v>
      </c>
      <c r="F87" s="3" t="s">
        <v>2671</v>
      </c>
    </row>
    <row r="88" ht="20" customHeight="1" spans="1:6">
      <c r="A88" s="3" t="s">
        <v>2675</v>
      </c>
      <c r="B88" s="3" t="s">
        <v>1297</v>
      </c>
      <c r="C88" s="3" t="s">
        <v>1328</v>
      </c>
      <c r="D88" s="3" t="s">
        <v>2676</v>
      </c>
      <c r="E88" s="3" t="s">
        <v>2677</v>
      </c>
      <c r="F88" s="3" t="s">
        <v>2678</v>
      </c>
    </row>
    <row r="89" ht="20" customHeight="1" spans="1:6">
      <c r="A89" s="3" t="s">
        <v>2675</v>
      </c>
      <c r="B89" s="3" t="s">
        <v>1297</v>
      </c>
      <c r="C89" s="3" t="s">
        <v>1309</v>
      </c>
      <c r="D89" s="3" t="s">
        <v>2676</v>
      </c>
      <c r="E89" s="3" t="s">
        <v>2677</v>
      </c>
      <c r="F89" s="3" t="s">
        <v>2678</v>
      </c>
    </row>
    <row r="90" ht="20" customHeight="1" spans="1:6">
      <c r="A90" s="3" t="s">
        <v>2679</v>
      </c>
      <c r="B90" s="3" t="s">
        <v>1298</v>
      </c>
      <c r="C90" s="3" t="s">
        <v>1310</v>
      </c>
      <c r="D90" s="3" t="s">
        <v>2680</v>
      </c>
      <c r="E90" s="3" t="s">
        <v>2681</v>
      </c>
      <c r="F90" s="3" t="s">
        <v>2682</v>
      </c>
    </row>
    <row r="91" ht="20" customHeight="1" spans="1:6">
      <c r="A91" s="3" t="s">
        <v>2679</v>
      </c>
      <c r="B91" s="3" t="s">
        <v>1298</v>
      </c>
      <c r="C91" s="3" t="s">
        <v>1320</v>
      </c>
      <c r="D91" s="3" t="s">
        <v>2680</v>
      </c>
      <c r="E91" s="3" t="s">
        <v>2681</v>
      </c>
      <c r="F91" s="3" t="s">
        <v>2682</v>
      </c>
    </row>
    <row r="92" ht="20" customHeight="1" spans="1:6">
      <c r="A92" s="3" t="s">
        <v>2679</v>
      </c>
      <c r="B92" s="3" t="s">
        <v>1298</v>
      </c>
      <c r="C92" s="3" t="s">
        <v>1381</v>
      </c>
      <c r="D92" s="3" t="s">
        <v>2680</v>
      </c>
      <c r="E92" s="3" t="s">
        <v>2681</v>
      </c>
      <c r="F92" s="3" t="s">
        <v>2682</v>
      </c>
    </row>
    <row r="93" ht="20" customHeight="1" spans="1:6">
      <c r="A93" s="3" t="s">
        <v>2679</v>
      </c>
      <c r="B93" s="3" t="s">
        <v>1298</v>
      </c>
      <c r="C93" s="3" t="s">
        <v>1399</v>
      </c>
      <c r="D93" s="3" t="s">
        <v>2680</v>
      </c>
      <c r="E93" s="3" t="s">
        <v>2681</v>
      </c>
      <c r="F93" s="3" t="s">
        <v>2682</v>
      </c>
    </row>
    <row r="94" ht="20" customHeight="1" spans="1:6">
      <c r="A94" s="3" t="s">
        <v>2683</v>
      </c>
      <c r="B94" s="3" t="s">
        <v>1299</v>
      </c>
      <c r="C94" s="3" t="s">
        <v>2684</v>
      </c>
      <c r="D94" s="3" t="s">
        <v>2685</v>
      </c>
      <c r="E94" s="3" t="s">
        <v>2686</v>
      </c>
      <c r="F94" s="3" t="s">
        <v>2687</v>
      </c>
    </row>
    <row r="95" ht="20" customHeight="1" spans="1:6">
      <c r="A95" s="3" t="s">
        <v>2683</v>
      </c>
      <c r="B95" s="3" t="s">
        <v>1299</v>
      </c>
      <c r="C95" s="3" t="s">
        <v>1321</v>
      </c>
      <c r="D95" s="3" t="s">
        <v>2685</v>
      </c>
      <c r="E95" s="3" t="s">
        <v>2686</v>
      </c>
      <c r="F95" s="3" t="s">
        <v>2687</v>
      </c>
    </row>
    <row r="96" ht="20" customHeight="1" spans="1:6">
      <c r="A96" s="3" t="s">
        <v>2683</v>
      </c>
      <c r="B96" s="3" t="s">
        <v>1299</v>
      </c>
      <c r="C96" s="3" t="s">
        <v>1360</v>
      </c>
      <c r="D96" s="3" t="s">
        <v>2685</v>
      </c>
      <c r="E96" s="3" t="s">
        <v>2686</v>
      </c>
      <c r="F96" s="3" t="s">
        <v>2687</v>
      </c>
    </row>
    <row r="97" ht="20" customHeight="1" spans="1:6">
      <c r="A97" s="3" t="s">
        <v>2683</v>
      </c>
      <c r="B97" s="3" t="s">
        <v>1299</v>
      </c>
      <c r="C97" s="3" t="s">
        <v>2688</v>
      </c>
      <c r="D97" s="3" t="s">
        <v>2685</v>
      </c>
      <c r="E97" s="3" t="s">
        <v>2686</v>
      </c>
      <c r="F97" s="3" t="s">
        <v>2687</v>
      </c>
    </row>
    <row r="98" ht="20" customHeight="1" spans="1:6">
      <c r="A98" s="3" t="s">
        <v>2683</v>
      </c>
      <c r="B98" s="3" t="s">
        <v>1299</v>
      </c>
      <c r="C98" s="3" t="s">
        <v>1373</v>
      </c>
      <c r="D98" s="3" t="s">
        <v>2685</v>
      </c>
      <c r="E98" s="3" t="s">
        <v>2686</v>
      </c>
      <c r="F98" s="3" t="s">
        <v>2687</v>
      </c>
    </row>
    <row r="99" ht="20" customHeight="1" spans="1:6">
      <c r="A99" s="3" t="s">
        <v>2689</v>
      </c>
      <c r="B99" s="3" t="s">
        <v>2690</v>
      </c>
      <c r="C99" s="3" t="s">
        <v>1305</v>
      </c>
      <c r="D99" s="3" t="s">
        <v>2691</v>
      </c>
      <c r="E99" s="3" t="s">
        <v>2692</v>
      </c>
      <c r="F99" s="3" t="s">
        <v>2693</v>
      </c>
    </row>
    <row r="100" ht="20" customHeight="1" spans="1:6">
      <c r="A100" s="3" t="s">
        <v>2689</v>
      </c>
      <c r="B100" s="3" t="s">
        <v>2690</v>
      </c>
      <c r="C100" s="3" t="s">
        <v>1369</v>
      </c>
      <c r="D100" s="3" t="s">
        <v>2691</v>
      </c>
      <c r="E100" s="3" t="s">
        <v>2692</v>
      </c>
      <c r="F100" s="3" t="s">
        <v>2693</v>
      </c>
    </row>
    <row r="101" ht="20" customHeight="1" spans="1:6">
      <c r="A101" s="3" t="s">
        <v>2689</v>
      </c>
      <c r="B101" s="3" t="s">
        <v>2690</v>
      </c>
      <c r="C101" s="3" t="s">
        <v>1395</v>
      </c>
      <c r="D101" s="3" t="s">
        <v>2691</v>
      </c>
      <c r="E101" s="3" t="s">
        <v>2692</v>
      </c>
      <c r="F101" s="3" t="s">
        <v>2693</v>
      </c>
    </row>
    <row r="102" ht="20" customHeight="1" spans="1:6">
      <c r="A102" s="3" t="s">
        <v>2694</v>
      </c>
      <c r="B102" s="3" t="s">
        <v>16</v>
      </c>
      <c r="C102" s="3" t="s">
        <v>443</v>
      </c>
      <c r="D102" s="3" t="s">
        <v>2695</v>
      </c>
      <c r="E102" s="3" t="s">
        <v>2696</v>
      </c>
      <c r="F102" s="3" t="s">
        <v>2697</v>
      </c>
    </row>
    <row r="103" ht="20" customHeight="1" spans="1:6">
      <c r="A103" s="3" t="s">
        <v>2694</v>
      </c>
      <c r="B103" s="3" t="s">
        <v>16</v>
      </c>
      <c r="C103" s="3" t="s">
        <v>198</v>
      </c>
      <c r="D103" s="3" t="s">
        <v>2695</v>
      </c>
      <c r="E103" s="3" t="s">
        <v>2696</v>
      </c>
      <c r="F103" s="3" t="s">
        <v>2697</v>
      </c>
    </row>
    <row r="104" ht="20" customHeight="1" spans="1:6">
      <c r="A104" s="3" t="s">
        <v>2694</v>
      </c>
      <c r="B104" s="3" t="s">
        <v>16</v>
      </c>
      <c r="C104" s="3" t="s">
        <v>215</v>
      </c>
      <c r="D104" s="3" t="s">
        <v>2695</v>
      </c>
      <c r="E104" s="3" t="s">
        <v>2696</v>
      </c>
      <c r="F104" s="3" t="s">
        <v>2697</v>
      </c>
    </row>
    <row r="105" ht="20" customHeight="1" spans="1:6">
      <c r="A105" s="3" t="s">
        <v>2694</v>
      </c>
      <c r="B105" s="3" t="s">
        <v>16</v>
      </c>
      <c r="C105" s="3" t="s">
        <v>129</v>
      </c>
      <c r="D105" s="3" t="s">
        <v>2695</v>
      </c>
      <c r="E105" s="3" t="s">
        <v>2696</v>
      </c>
      <c r="F105" s="3" t="s">
        <v>2697</v>
      </c>
    </row>
    <row r="106" ht="20" customHeight="1" spans="1:6">
      <c r="A106" s="3" t="s">
        <v>2694</v>
      </c>
      <c r="B106" s="3" t="s">
        <v>16</v>
      </c>
      <c r="C106" s="3" t="s">
        <v>184</v>
      </c>
      <c r="D106" s="3" t="s">
        <v>2695</v>
      </c>
      <c r="E106" s="3" t="s">
        <v>2696</v>
      </c>
      <c r="F106" s="3" t="s">
        <v>2697</v>
      </c>
    </row>
    <row r="107" ht="20" customHeight="1" spans="1:6">
      <c r="A107" s="3" t="s">
        <v>2694</v>
      </c>
      <c r="B107" s="3" t="s">
        <v>16</v>
      </c>
      <c r="C107" s="3" t="s">
        <v>536</v>
      </c>
      <c r="D107" s="3" t="s">
        <v>2695</v>
      </c>
      <c r="E107" s="3" t="s">
        <v>2696</v>
      </c>
      <c r="F107" s="3" t="s">
        <v>2697</v>
      </c>
    </row>
    <row r="108" ht="20" customHeight="1" spans="1:6">
      <c r="A108" s="3" t="s">
        <v>2694</v>
      </c>
      <c r="B108" s="3" t="s">
        <v>16</v>
      </c>
      <c r="C108" s="3" t="s">
        <v>1123</v>
      </c>
      <c r="D108" s="3" t="s">
        <v>2695</v>
      </c>
      <c r="E108" s="3" t="s">
        <v>2696</v>
      </c>
      <c r="F108" s="3" t="s">
        <v>2697</v>
      </c>
    </row>
    <row r="109" ht="20" customHeight="1" spans="1:6">
      <c r="A109" s="3" t="s">
        <v>2694</v>
      </c>
      <c r="B109" s="3" t="s">
        <v>16</v>
      </c>
      <c r="C109" s="3" t="s">
        <v>2698</v>
      </c>
      <c r="D109" s="3" t="s">
        <v>2695</v>
      </c>
      <c r="E109" s="3" t="s">
        <v>2696</v>
      </c>
      <c r="F109" s="3" t="s">
        <v>2697</v>
      </c>
    </row>
    <row r="110" ht="20" customHeight="1" spans="1:6">
      <c r="A110" s="3" t="s">
        <v>2694</v>
      </c>
      <c r="B110" s="3" t="s">
        <v>16</v>
      </c>
      <c r="C110" s="3" t="s">
        <v>2699</v>
      </c>
      <c r="D110" s="3" t="s">
        <v>2695</v>
      </c>
      <c r="E110" s="3" t="s">
        <v>2696</v>
      </c>
      <c r="F110" s="3" t="s">
        <v>2697</v>
      </c>
    </row>
    <row r="111" ht="20" customHeight="1" spans="1:6">
      <c r="A111" s="3" t="s">
        <v>2700</v>
      </c>
      <c r="B111" s="3" t="s">
        <v>22</v>
      </c>
      <c r="C111" s="3" t="s">
        <v>235</v>
      </c>
      <c r="D111" s="3" t="s">
        <v>2701</v>
      </c>
      <c r="E111" s="3" t="s">
        <v>2702</v>
      </c>
      <c r="F111" s="3" t="s">
        <v>2703</v>
      </c>
    </row>
    <row r="112" ht="20" customHeight="1" spans="1:6">
      <c r="A112" s="3" t="s">
        <v>2700</v>
      </c>
      <c r="B112" s="3" t="s">
        <v>22</v>
      </c>
      <c r="C112" s="3" t="s">
        <v>444</v>
      </c>
      <c r="D112" s="3" t="s">
        <v>2701</v>
      </c>
      <c r="E112" s="3" t="s">
        <v>2702</v>
      </c>
      <c r="F112" s="3" t="s">
        <v>2703</v>
      </c>
    </row>
    <row r="113" ht="20" customHeight="1" spans="1:6">
      <c r="A113" s="3" t="s">
        <v>2700</v>
      </c>
      <c r="B113" s="3" t="s">
        <v>22</v>
      </c>
      <c r="C113" s="3" t="s">
        <v>188</v>
      </c>
      <c r="D113" s="3" t="s">
        <v>2701</v>
      </c>
      <c r="E113" s="3" t="s">
        <v>2702</v>
      </c>
      <c r="F113" s="3" t="s">
        <v>2703</v>
      </c>
    </row>
    <row r="114" ht="20" customHeight="1" spans="1:6">
      <c r="A114" s="3" t="s">
        <v>2700</v>
      </c>
      <c r="B114" s="3" t="s">
        <v>22</v>
      </c>
      <c r="C114" s="3" t="s">
        <v>135</v>
      </c>
      <c r="D114" s="3" t="s">
        <v>2701</v>
      </c>
      <c r="E114" s="3" t="s">
        <v>2702</v>
      </c>
      <c r="F114" s="3" t="s">
        <v>2703</v>
      </c>
    </row>
    <row r="115" ht="20" customHeight="1" spans="1:6">
      <c r="A115" s="3" t="s">
        <v>2700</v>
      </c>
      <c r="B115" s="3" t="s">
        <v>22</v>
      </c>
      <c r="C115" s="3" t="s">
        <v>1086</v>
      </c>
      <c r="D115" s="3" t="s">
        <v>2701</v>
      </c>
      <c r="E115" s="3" t="s">
        <v>2702</v>
      </c>
      <c r="F115" s="3" t="s">
        <v>2703</v>
      </c>
    </row>
    <row r="116" ht="20" customHeight="1" spans="1:6">
      <c r="A116" s="3" t="s">
        <v>2700</v>
      </c>
      <c r="B116" s="3" t="s">
        <v>22</v>
      </c>
      <c r="C116" s="3" t="s">
        <v>343</v>
      </c>
      <c r="D116" s="3" t="s">
        <v>2701</v>
      </c>
      <c r="E116" s="3" t="s">
        <v>2702</v>
      </c>
      <c r="F116" s="3" t="s">
        <v>2703</v>
      </c>
    </row>
    <row r="117" ht="20" customHeight="1" spans="1:6">
      <c r="A117" s="3" t="s">
        <v>2700</v>
      </c>
      <c r="B117" s="3" t="s">
        <v>22</v>
      </c>
      <c r="C117" s="3" t="s">
        <v>2549</v>
      </c>
      <c r="D117" s="3" t="s">
        <v>2701</v>
      </c>
      <c r="E117" s="3" t="s">
        <v>2702</v>
      </c>
      <c r="F117" s="3" t="s">
        <v>2703</v>
      </c>
    </row>
    <row r="118" ht="20" customHeight="1" spans="1:6">
      <c r="A118" s="3" t="s">
        <v>2704</v>
      </c>
      <c r="B118" s="3" t="s">
        <v>23</v>
      </c>
      <c r="C118" s="3" t="s">
        <v>1078</v>
      </c>
      <c r="D118" s="3" t="s">
        <v>2705</v>
      </c>
      <c r="E118" s="3" t="s">
        <v>2706</v>
      </c>
      <c r="F118" s="3" t="s">
        <v>2707</v>
      </c>
    </row>
    <row r="119" ht="20" customHeight="1" spans="1:6">
      <c r="A119" s="3" t="s">
        <v>2704</v>
      </c>
      <c r="B119" s="3" t="s">
        <v>23</v>
      </c>
      <c r="C119" s="3" t="s">
        <v>1233</v>
      </c>
      <c r="D119" s="3" t="s">
        <v>2705</v>
      </c>
      <c r="E119" s="3" t="s">
        <v>2706</v>
      </c>
      <c r="F119" s="3" t="s">
        <v>2707</v>
      </c>
    </row>
    <row r="120" ht="20" customHeight="1" spans="1:6">
      <c r="A120" s="3" t="s">
        <v>2704</v>
      </c>
      <c r="B120" s="3" t="s">
        <v>23</v>
      </c>
      <c r="C120" s="3" t="s">
        <v>136</v>
      </c>
      <c r="D120" s="3" t="s">
        <v>2705</v>
      </c>
      <c r="E120" s="3" t="s">
        <v>2706</v>
      </c>
      <c r="F120" s="3" t="s">
        <v>2707</v>
      </c>
    </row>
    <row r="121" ht="20" customHeight="1" spans="1:6">
      <c r="A121" s="3" t="s">
        <v>2704</v>
      </c>
      <c r="B121" s="3" t="s">
        <v>23</v>
      </c>
      <c r="C121" s="3" t="s">
        <v>344</v>
      </c>
      <c r="D121" s="3" t="s">
        <v>2705</v>
      </c>
      <c r="E121" s="3" t="s">
        <v>2706</v>
      </c>
      <c r="F121" s="3" t="s">
        <v>2707</v>
      </c>
    </row>
    <row r="122" ht="20" customHeight="1" spans="1:6">
      <c r="A122" s="3" t="s">
        <v>2704</v>
      </c>
      <c r="B122" s="3" t="s">
        <v>23</v>
      </c>
      <c r="C122" s="3" t="s">
        <v>431</v>
      </c>
      <c r="D122" s="3" t="s">
        <v>2705</v>
      </c>
      <c r="E122" s="3" t="s">
        <v>2706</v>
      </c>
      <c r="F122" s="3" t="s">
        <v>2707</v>
      </c>
    </row>
    <row r="123" ht="20" customHeight="1" spans="1:6">
      <c r="A123" s="3" t="s">
        <v>2704</v>
      </c>
      <c r="B123" s="3" t="s">
        <v>23</v>
      </c>
      <c r="C123" s="3" t="s">
        <v>1041</v>
      </c>
      <c r="D123" s="3" t="s">
        <v>2705</v>
      </c>
      <c r="E123" s="3" t="s">
        <v>2706</v>
      </c>
      <c r="F123" s="3" t="s">
        <v>2707</v>
      </c>
    </row>
    <row r="124" ht="20" customHeight="1" spans="1:6">
      <c r="A124" s="3" t="s">
        <v>2704</v>
      </c>
      <c r="B124" s="3" t="s">
        <v>23</v>
      </c>
      <c r="C124" s="3" t="s">
        <v>236</v>
      </c>
      <c r="D124" s="3" t="s">
        <v>2705</v>
      </c>
      <c r="E124" s="3" t="s">
        <v>2706</v>
      </c>
      <c r="F124" s="3" t="s">
        <v>2707</v>
      </c>
    </row>
    <row r="125" ht="20" customHeight="1" spans="1:6">
      <c r="A125" s="3" t="s">
        <v>2708</v>
      </c>
      <c r="B125" s="3" t="s">
        <v>13</v>
      </c>
      <c r="C125" s="3" t="s">
        <v>59</v>
      </c>
      <c r="D125" s="3" t="s">
        <v>2709</v>
      </c>
      <c r="E125" s="3" t="s">
        <v>2710</v>
      </c>
      <c r="F125" s="3" t="s">
        <v>2711</v>
      </c>
    </row>
    <row r="126" ht="20" customHeight="1" spans="1:6">
      <c r="A126" s="3" t="s">
        <v>2708</v>
      </c>
      <c r="B126" s="3" t="s">
        <v>13</v>
      </c>
      <c r="C126" s="3" t="s">
        <v>62</v>
      </c>
      <c r="D126" s="3" t="s">
        <v>2709</v>
      </c>
      <c r="E126" s="3" t="s">
        <v>2710</v>
      </c>
      <c r="F126" s="3" t="s">
        <v>2711</v>
      </c>
    </row>
    <row r="127" ht="20" customHeight="1" spans="1:6">
      <c r="A127" s="3" t="s">
        <v>2708</v>
      </c>
      <c r="B127" s="3" t="s">
        <v>13</v>
      </c>
      <c r="C127" s="3" t="s">
        <v>322</v>
      </c>
      <c r="D127" s="3" t="s">
        <v>2709</v>
      </c>
      <c r="E127" s="3" t="s">
        <v>2710</v>
      </c>
      <c r="F127" s="3" t="s">
        <v>2711</v>
      </c>
    </row>
    <row r="128" ht="20" customHeight="1" spans="1:6">
      <c r="A128" s="3" t="s">
        <v>2708</v>
      </c>
      <c r="B128" s="3" t="s">
        <v>13</v>
      </c>
      <c r="C128" s="3" t="s">
        <v>65</v>
      </c>
      <c r="D128" s="3" t="s">
        <v>2709</v>
      </c>
      <c r="E128" s="3" t="s">
        <v>2710</v>
      </c>
      <c r="F128" s="3" t="s">
        <v>2711</v>
      </c>
    </row>
    <row r="129" ht="20" customHeight="1" spans="1:6">
      <c r="A129" s="3" t="s">
        <v>2708</v>
      </c>
      <c r="B129" s="3" t="s">
        <v>13</v>
      </c>
      <c r="C129" s="3" t="s">
        <v>68</v>
      </c>
      <c r="D129" s="3" t="s">
        <v>2709</v>
      </c>
      <c r="E129" s="3" t="s">
        <v>2710</v>
      </c>
      <c r="F129" s="3" t="s">
        <v>2711</v>
      </c>
    </row>
    <row r="130" ht="20" customHeight="1" spans="1:6">
      <c r="A130" s="3" t="s">
        <v>2708</v>
      </c>
      <c r="B130" s="3" t="s">
        <v>13</v>
      </c>
      <c r="C130" s="3" t="s">
        <v>71</v>
      </c>
      <c r="D130" s="3" t="s">
        <v>2709</v>
      </c>
      <c r="E130" s="3" t="s">
        <v>2710</v>
      </c>
      <c r="F130" s="3" t="s">
        <v>2711</v>
      </c>
    </row>
    <row r="131" ht="20" customHeight="1" spans="1:6">
      <c r="A131" s="3" t="s">
        <v>2708</v>
      </c>
      <c r="B131" s="3" t="s">
        <v>13</v>
      </c>
      <c r="C131" s="3" t="s">
        <v>74</v>
      </c>
      <c r="D131" s="3" t="s">
        <v>2709</v>
      </c>
      <c r="E131" s="3" t="s">
        <v>2710</v>
      </c>
      <c r="F131" s="3" t="s">
        <v>2711</v>
      </c>
    </row>
    <row r="132" ht="20" customHeight="1" spans="1:6">
      <c r="A132" s="3" t="s">
        <v>2708</v>
      </c>
      <c r="B132" s="3" t="s">
        <v>13</v>
      </c>
      <c r="C132" s="3" t="s">
        <v>77</v>
      </c>
      <c r="D132" s="3" t="s">
        <v>2709</v>
      </c>
      <c r="E132" s="3" t="s">
        <v>2710</v>
      </c>
      <c r="F132" s="3" t="s">
        <v>2711</v>
      </c>
    </row>
    <row r="133" ht="20" customHeight="1" spans="1:6">
      <c r="A133" s="3" t="s">
        <v>2708</v>
      </c>
      <c r="B133" s="3" t="s">
        <v>13</v>
      </c>
      <c r="C133" s="3" t="s">
        <v>80</v>
      </c>
      <c r="D133" s="3" t="s">
        <v>2709</v>
      </c>
      <c r="E133" s="3" t="s">
        <v>2710</v>
      </c>
      <c r="F133" s="3" t="s">
        <v>2711</v>
      </c>
    </row>
    <row r="134" ht="20" customHeight="1" spans="1:6">
      <c r="A134" s="3" t="s">
        <v>2708</v>
      </c>
      <c r="B134" s="3" t="s">
        <v>13</v>
      </c>
      <c r="C134" s="3" t="s">
        <v>83</v>
      </c>
      <c r="D134" s="3" t="s">
        <v>2709</v>
      </c>
      <c r="E134" s="3" t="s">
        <v>2710</v>
      </c>
      <c r="F134" s="3" t="s">
        <v>2711</v>
      </c>
    </row>
    <row r="135" ht="20" customHeight="1" spans="1:6">
      <c r="A135" s="3" t="s">
        <v>2712</v>
      </c>
      <c r="B135" s="3" t="s">
        <v>2713</v>
      </c>
      <c r="C135" s="3" t="s">
        <v>137</v>
      </c>
      <c r="D135" s="3" t="s">
        <v>2714</v>
      </c>
      <c r="E135" s="3" t="s">
        <v>2715</v>
      </c>
      <c r="F135" s="3" t="s">
        <v>2716</v>
      </c>
    </row>
    <row r="136" ht="20" customHeight="1" spans="1:6">
      <c r="A136" s="3" t="s">
        <v>2712</v>
      </c>
      <c r="B136" s="3" t="s">
        <v>2713</v>
      </c>
      <c r="C136" s="3" t="s">
        <v>153</v>
      </c>
      <c r="D136" s="3" t="s">
        <v>2714</v>
      </c>
      <c r="E136" s="3" t="s">
        <v>2715</v>
      </c>
      <c r="F136" s="3" t="s">
        <v>2716</v>
      </c>
    </row>
  </sheetData>
  <autoFilter xmlns:etc="http://www.wps.cn/officeDocument/2017/etCustomData" ref="A1:F13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01-说明与查询</vt:lpstr>
      <vt:lpstr>02-基础参数表</vt:lpstr>
      <vt:lpstr>03-指标清单</vt:lpstr>
      <vt:lpstr>04-公式变量映射</vt:lpstr>
      <vt:lpstr>05-数据源清单</vt:lpstr>
      <vt:lpstr>06-枚举字典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双中心能碳管控平台 基础参数与指标字典 V1.0</dc:title>
  <dc:creator>openpyxl</dc:creator>
  <cp:lastModifiedBy>王亮</cp:lastModifiedBy>
  <dcterms:created xsi:type="dcterms:W3CDTF">2026-09-18T01:03:00Z</dcterms:created>
  <dcterms:modified xsi:type="dcterms:W3CDTF">2026-09-18T01:11:43Z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BAA9CE04ABA7405EB9D43E486A556F8E_12</vt:lpwstr>
  </property>
  <property fmtid="{D5CDD505-2E9C-101B-9397-08002B2CF9AE}" pid="3" name="KSOProductBuildVer">
    <vt:lpwstr>2052-12.1.0.28505</vt:lpwstr>
  </property>
  <property fmtid="{D5CDD505-2E9C-101B-9397-08002B2CF9AE}" pid="4" name="CalculationRule">
    <vt:i4>0</vt:i4>
  </property>
</Properties>
</file>