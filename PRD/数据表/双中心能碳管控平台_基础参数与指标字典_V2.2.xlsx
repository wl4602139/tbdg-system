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docProps/core.xml" ContentType="application/vnd.openxmlformats-package.core-properties+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9.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1" Type="http://schemas.openxmlformats.org/package/2006/relationships/metadata/core-properties" Target="docProps/core.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01-说明与查询" sheetId="1" r:id="rId3"/>
    <sheet name="02-基础参数表" sheetId="2" r:id="rId4"/>
    <sheet name="03-指标清单" sheetId="3" r:id="rId5"/>
    <sheet name="04-公式变量映射" sheetId="4" r:id="rId6"/>
    <sheet name="05-工序数据项矩阵" sheetId="5" r:id="rId7"/>
    <sheet name="06-数据源清单" sheetId="6" r:id="rId8"/>
    <sheet name="07-枚举字典" sheetId="7" r:id="rId9"/>
    <sheet name="08-数据接入对照" sheetId="8" r:id="rId10"/>
    <sheet name="09-指标参数构成明细" sheetId="9" r:id="rId11"/>
  </sheets>
  <definedNames>
    <definedName name="_xlnm._FilterDatabase" localSheetId="1" hidden="1">'02-基础参数表'!$A$3:$Y$429</definedName>
    <definedName name="_xlnm.Print_Titles" localSheetId="1">'02-基础参数表'!$3:$3</definedName>
    <definedName name="_xlnm._FilterDatabase" localSheetId="2" hidden="1">'03-指标清单'!$A$1:$S$95</definedName>
    <definedName name="_xlnm.Print_Titles" localSheetId="2">'03-指标清单'!$1:$1</definedName>
    <definedName name="_xlnm._FilterDatabase" localSheetId="3" hidden="1">'04-公式变量映射'!$A$1:$L$283</definedName>
    <definedName name="_xlnm.Print_Titles" localSheetId="3">'04-公式变量映射'!$1:$1</definedName>
    <definedName name="_xlnm._FilterDatabase" localSheetId="4" hidden="1">'05-工序数据项矩阵'!$A$3:$N$54</definedName>
    <definedName name="_xlnm.Print_Titles" localSheetId="4">'05-工序数据项矩阵'!$3:$3</definedName>
    <definedName name="_xlnm._FilterDatabase" localSheetId="5" hidden="1">'06-数据源清单'!$A$3:$I$15</definedName>
    <definedName name="_xlnm.Print_Titles" localSheetId="5">'06-数据源清单'!$3:$3</definedName>
    <definedName name="_xlnm._FilterDatabase" localSheetId="6" hidden="1">'07-枚举字典'!$A$3:$G$188</definedName>
    <definedName name="_xlnm.Print_Titles" localSheetId="6">'07-枚举字典'!$3:$3</definedName>
    <definedName name="_xlnm._FilterDatabase" localSheetId="7" hidden="1">'08-数据接入对照'!$A$3:$L$96</definedName>
    <definedName name="_xlnm.Print_Titles" localSheetId="7">'08-数据接入对照'!$3:$3</definedName>
    <definedName name="_xlnm._FilterDatabase" localSheetId="8" hidden="1">'09-指标参数构成明细'!$A$3:$S$217</definedName>
    <definedName name="_xlnm.Print_Titles" localSheetId="8">'09-指标参数构成明细'!$3:$3</definedName>
  </definedNames>
  <calcPr calcId="124519" fullCalcOnLoad="1"/>
</workbook>
</file>

<file path=xl/sharedStrings.xml><?xml version="1.0" encoding="utf-8"?>
<sst xmlns="http://schemas.openxmlformats.org/spreadsheetml/2006/main" count="4515" uniqueCount="4515">
  <si>
    <t/>
  </si>
  <si>
    <t>EN-KE46</t>
  </si>
  <si>
    <t>工序电力消费量（线缆-导线-拉丝·铜）</t>
  </si>
  <si>
    <t>工序级</t>
  </si>
  <si>
    <t>实测值</t>
  </si>
  <si>
    <t>Q线缆-导线-拉丝Cu-电</t>
  </si>
  <si>
    <t>线缆-导线</t>
  </si>
  <si>
    <t>拉丝</t>
  </si>
  <si>
    <t>能源数据</t>
  </si>
  <si>
    <t>导线产线中拉丝工序电力消费量（计量对象：铜）。</t>
  </si>
  <si>
    <t>kWh</t>
  </si>
  <si>
    <t>数值（0 位小数）</t>
  </si>
  <si>
    <t>0</t>
  </si>
  <si>
    <t>≥ 0，≤ 该产线总电量</t>
  </si>
  <si>
    <t>—</t>
  </si>
  <si>
    <t>能源计量系统 / 产线工序电表</t>
  </si>
  <si>
    <t>能源计量系统.产线-工序计量点.正向有功电量累计值</t>
  </si>
  <si>
    <t>自动采集</t>
  </si>
  <si>
    <t>月度</t>
  </si>
  <si>
    <t>是</t>
  </si>
  <si>
    <t>各项目公司能源管理岗</t>
  </si>
  <si>
    <t>IND-017（吨铜电耗（线缆-导线-拉丝））</t>
  </si>
  <si>
    <t>非负、与计量点绑定、按月累计、单位 kWh</t>
  </si>
  <si>
    <t>颗粒度：产线「线缆-导线」× 工序「拉丝」× 物料「铜」。原表变量符号「Q线缆-导线-拉丝Cu-电」。</t>
  </si>
  <si>
    <t>IND-017</t>
  </si>
  <si>
    <t>吨铜电耗（线缆-导线-拉丝）</t>
  </si>
  <si>
    <t>关键工序</t>
  </si>
  <si>
    <t>集控中心</t>
  </si>
  <si>
    <t>EN-KE46 ÷ OUT-KM27</t>
  </si>
  <si>
    <t>EN-KE46
OUT-KM27</t>
  </si>
  <si>
    <t>kWh/t</t>
  </si>
  <si>
    <t>电装管理要求</t>
  </si>
  <si>
    <t>EN-KE46、OUT-KM27</t>
  </si>
  <si>
    <t>分子取「本产线-本工序」能源计量点读数，分母取同产线同工序产量/产值，两者期间必须一致。</t>
  </si>
  <si>
    <t>分子 · EN-KE46 工序电力消费量（线缆-导线-拉丝·铜）（kWh）　｜　分母 · OUT-KM27 工序产品产量（线缆-导线-拉丝·铜）（t）</t>
  </si>
  <si>
    <r>
      <t>「双中心」项目能碳管控平台 · 基础参数与指标字典 V2.2</t>
    </r>
  </si>
  <si>
    <r>
      <t>指标参数构成展开版　|　数据来源：《“双中心”项目能碳管控指标体系（9.16）V1.7》、《“双中心”数据需求清单9.16》、《“双中心”数据需求清单V1.0 (8.27)》　|　适用范围：电装零碳集控中心 + 产品碳足迹集采中心</t>
    </r>
  </si>
  <si>
    <r>
      <t>【一】参数 / 数据项速查</t>
    </r>
  </si>
  <si>
    <r>
      <t>在下方黄色单元格输入【参数编码】或【参数名称】（点右侧下拉可选取全部 426 项），下方自动返回数据说明、来源、格式等全部属性；若该参数是复合参数（如「综合能源消费量」），还会返回它由哪些分项折算而来。</t>
    </r>
  </si>
  <si>
    <r>
      <t>① 输入参数编码 / 名称</t>
    </r>
  </si>
  <si>
    <r>
      <t>EN-KE46</t>
    </r>
  </si>
  <si>
    <r>
      <t>② 匹配行号（辅助列）</t>
    </r>
  </si>
  <si>
    <r>
      <t>属性</t>
    </r>
  </si>
  <si>
    <r>
      <t>取值</t>
    </r>
  </si>
  <si>
    <r>
      <t>参数编码</t>
    </r>
  </si>
  <si>
    <r>
      <t>参数名称</t>
    </r>
  </si>
  <si>
    <r>
      <t>颗粒度层级</t>
    </r>
  </si>
  <si>
    <r>
      <t>数据类型</t>
    </r>
  </si>
  <si>
    <r>
      <t>变量符号（原表）</t>
    </r>
  </si>
  <si>
    <r>
      <t>所属产线</t>
    </r>
  </si>
  <si>
    <r>
      <t>所属工序</t>
    </r>
  </si>
  <si>
    <r>
      <t>数据类别</t>
    </r>
  </si>
  <si>
    <r>
      <t>数据说明</t>
    </r>
  </si>
  <si>
    <r>
      <t>单位</t>
    </r>
  </si>
  <si>
    <r>
      <t>数据格式</t>
    </r>
  </si>
  <si>
    <r>
      <t>小数位</t>
    </r>
  </si>
  <si>
    <r>
      <t>取值范围</t>
    </r>
  </si>
  <si>
    <r>
      <t>默认值</t>
    </r>
  </si>
  <si>
    <r>
      <t>数据来源</t>
    </r>
  </si>
  <si>
    <r>
      <t>来源字段 / 表</t>
    </r>
  </si>
  <si>
    <r>
      <t>获取方式</t>
    </r>
  </si>
  <si>
    <r>
      <t>采集 / 更新频率</t>
    </r>
  </si>
  <si>
    <r>
      <t>是否必填</t>
    </r>
  </si>
  <si>
    <r>
      <t>责任单位</t>
    </r>
  </si>
  <si>
    <r>
      <t>关联指标编码</t>
    </r>
  </si>
  <si>
    <r>
      <t>▶ 指标构成 / 参数构成（细分项）</t>
    </r>
  </si>
  <si>
    <r>
      <t>校验规则</t>
    </r>
  </si>
  <si>
    <r>
      <t>备注</t>
    </r>
  </si>
  <si>
    <r>
      <t>【二】指标速查</t>
    </r>
  </si>
  <si>
    <r>
      <t>输入【指标编码】或【指标名称】，自动返回该指标的规范计算公式、所需的最小颗粒度数据项编码，以及构成该指标的全部参数细分项（分子 / 分母 / 加项 / 扣减项），可直接据此取数。</t>
    </r>
  </si>
  <si>
    <r>
      <t>① 输入指标编码 / 名称</t>
    </r>
  </si>
  <si>
    <r>
      <t>IND-017</t>
    </r>
  </si>
  <si>
    <r>
      <t>指标编码</t>
    </r>
  </si>
  <si>
    <r>
      <t>指标名称</t>
    </r>
  </si>
  <si>
    <r>
      <t>指标体系</t>
    </r>
  </si>
  <si>
    <r>
      <t>所属中心</t>
    </r>
  </si>
  <si>
    <r>
      <t>指标层级</t>
    </r>
  </si>
  <si>
    <r>
      <t>规范计算公式（按参数编码）</t>
    </r>
  </si>
  <si>
    <r>
      <t>最小颗粒度输入项</t>
    </r>
  </si>
  <si>
    <r>
      <t>指标单位</t>
    </r>
  </si>
  <si>
    <r>
      <t>指标来源</t>
    </r>
  </si>
  <si>
    <r>
      <t>依赖基础参数</t>
    </r>
  </si>
  <si>
    <r>
      <t>开发实现要点</t>
    </r>
  </si>
  <si>
    <r>
      <t>▶ 参数构成（细分项）</t>
    </r>
  </si>
  <si>
    <r>
      <t>【三】参数编码规则</t>
    </r>
  </si>
  <si>
    <r>
      <t>编码结构：&lt;域&gt;-&lt;段&gt;&lt;序号&gt;。域表示数据类别；工序级数据项用两位段字母标识介质或性质，序号为两位流水号，便于排序与人工识别；★ 标注为 V2.1 新增的数据域。</t>
    </r>
  </si>
  <si>
    <r>
      <t>编码前缀</t>
    </r>
  </si>
  <si>
    <r>
      <t>含义</t>
    </r>
  </si>
  <si>
    <r>
      <t>数量</t>
    </r>
  </si>
  <si>
    <r>
      <t>示例</t>
    </r>
  </si>
  <si>
    <r>
      <t>ORG-</t>
    </r>
  </si>
  <si>
    <r>
      <t>组织主数据（含生产单元、计量点）</t>
    </r>
  </si>
  <si>
    <r>
      <t>全局</t>
    </r>
  </si>
  <si>
    <r>
      <t>ORG-008 生产单元-计量点绑定关系</t>
    </r>
  </si>
  <si>
    <r>
      <t>MD-</t>
    </r>
  </si>
  <si>
    <r>
      <t>生产主数据（型号 / 产线 / 工序 / 工单）</t>
    </r>
  </si>
  <si>
    <r>
      <t>MD-003 产线编码</t>
    </r>
  </si>
  <si>
    <r>
      <t>EN-0</t>
    </r>
  </si>
  <si>
    <r>
      <t>工厂级能源消费量</t>
    </r>
  </si>
  <si>
    <r>
      <t>工厂级</t>
    </r>
  </si>
  <si>
    <r>
      <t>EN-013 综合能源消费量</t>
    </r>
  </si>
  <si>
    <r>
      <t>EN-P</t>
    </r>
  </si>
  <si>
    <r>
      <t>产品级能源消费量（型号口径）</t>
    </r>
  </si>
  <si>
    <r>
      <t>产品级</t>
    </r>
  </si>
  <si>
    <r>
      <t>EN-P02 产品电力消费量</t>
    </r>
  </si>
  <si>
    <r>
      <t>EN-KE</t>
    </r>
  </si>
  <si>
    <r>
      <t>工序级电力消费量</t>
    </r>
  </si>
  <si>
    <r>
      <t>工序级</t>
    </r>
  </si>
  <si>
    <r>
      <t>EN-KE46 导线拉丝·铜电耗</t>
    </r>
  </si>
  <si>
    <r>
      <t>EN-KS</t>
    </r>
  </si>
  <si>
    <r>
      <t>工序级蒸汽消费量</t>
    </r>
  </si>
  <si>
    <r>
      <t>EN-KS02 特高压器身干燥蒸汽</t>
    </r>
  </si>
  <si>
    <r>
      <t>EN-KT</t>
    </r>
  </si>
  <si>
    <r>
      <t>工序级综合能源消费量</t>
    </r>
  </si>
  <si>
    <r>
      <t>EN-KT02 特高压器身干燥综合能耗</t>
    </r>
  </si>
  <si>
    <r>
      <t>OUT-KM</t>
    </r>
  </si>
  <si>
    <r>
      <t>工序级产品产量</t>
    </r>
  </si>
  <si>
    <r>
      <t>OUT-KM27 导线拉丝铜产量</t>
    </r>
  </si>
  <si>
    <r>
      <t>OUT-P</t>
    </r>
  </si>
  <si>
    <r>
      <t>产品级产品产量（型号口径）</t>
    </r>
  </si>
  <si>
    <r>
      <t>OUT-P01 产品产量</t>
    </r>
  </si>
  <si>
    <r>
      <t>VAL-KG</t>
    </r>
  </si>
  <si>
    <r>
      <t>工序级产品产值</t>
    </r>
  </si>
  <si>
    <r>
      <t>VAL-KG08 钣金加工产值</t>
    </r>
  </si>
  <si>
    <r>
      <t>OUT-</t>
    </r>
  </si>
  <si>
    <r>
      <t>工厂级 / 汇总口径产量</t>
    </r>
  </si>
  <si>
    <r>
      <t>工厂级 / 汇总</t>
    </r>
  </si>
  <si>
    <r>
      <t>OUT-001 产品产量（变压器）</t>
    </r>
  </si>
  <si>
    <r>
      <t>VAL-</t>
    </r>
  </si>
  <si>
    <r>
      <t>工厂级 / 汇总口径产值</t>
    </r>
  </si>
  <si>
    <r>
      <t>VAL-001 工业增加值</t>
    </r>
  </si>
  <si>
    <r>
      <t>CAR-</t>
    </r>
  </si>
  <si>
    <r>
      <t>碳排放数据</t>
    </r>
  </si>
  <si>
    <r>
      <t>CAR-001 二氧化碳排放量</t>
    </r>
  </si>
  <si>
    <r>
      <t>EQ-0</t>
    </r>
  </si>
  <si>
    <r>
      <t>设备台账与重点设备运行数据</t>
    </r>
  </si>
  <si>
    <r>
      <t>工厂级 / 设备级 ★</t>
    </r>
  </si>
  <si>
    <r>
      <t>EQ-005 重点设备用电功率</t>
    </r>
  </si>
  <si>
    <r>
      <t>FAC-</t>
    </r>
  </si>
  <si>
    <r>
      <t>计算系数（折标煤 / 排放因子 / 密度）</t>
    </r>
  </si>
  <si>
    <r>
      <t>FAC-001 电力折标煤系数（当量值）</t>
    </r>
  </si>
  <si>
    <r>
      <t>IND-</t>
    </r>
  </si>
  <si>
    <r>
      <t>指标值（被计算量本身）</t>
    </r>
  </si>
  <si>
    <r>
      <t>指标</t>
    </r>
  </si>
  <si>
    <r>
      <t>IND-017 吨铜电耗（线缆-导线-拉丝）</t>
    </r>
  </si>
  <si>
    <r>
      <t>ZP-</t>
    </r>
  </si>
  <si>
    <r>
      <t>★ 零碳园区基础配置（静态台账）</t>
    </r>
  </si>
  <si>
    <r>
      <t>园区级</t>
    </r>
  </si>
  <si>
    <r>
      <t>ZP-001 光伏装机量</t>
    </r>
  </si>
  <si>
    <r>
      <t>NE-</t>
    </r>
  </si>
  <si>
    <r>
      <t>★ 新能源发电与储能运行</t>
    </r>
  </si>
  <si>
    <r>
      <t>NE-001 累计发电量（表底值）</t>
    </r>
  </si>
  <si>
    <r>
      <t>LD-</t>
    </r>
  </si>
  <si>
    <r>
      <t>★ 园区负荷与电量（含分时电量）</t>
    </r>
  </si>
  <si>
    <r>
      <t>LD-005 日负荷尖电量</t>
    </r>
  </si>
  <si>
    <r>
      <t>GV-</t>
    </r>
  </si>
  <si>
    <r>
      <t>★ 绿色电力与绿证</t>
    </r>
  </si>
  <si>
    <r>
      <t>GV-002 购买绿证量</t>
    </r>
  </si>
  <si>
    <r>
      <t>RV-</t>
    </r>
  </si>
  <si>
    <r>
      <t>★ 绿色与储能收益</t>
    </r>
  </si>
  <si>
    <r>
      <t>RV-003 储能收益</t>
    </r>
  </si>
  <si>
    <r>
      <t>HV-</t>
    </r>
  </si>
  <si>
    <r>
      <t>★ 暖通系统（热泵 / 空调）</t>
    </r>
  </si>
  <si>
    <r>
      <t>系统级</t>
    </r>
  </si>
  <si>
    <r>
      <t>HV-001 热泵系统 COP</t>
    </r>
  </si>
  <si>
    <r>
      <t>CO-</t>
    </r>
  </si>
  <si>
    <r>
      <t>★ 能源费用（成本台账）</t>
    </r>
  </si>
  <si>
    <r>
      <t>CO-001 用水费用</t>
    </r>
  </si>
  <si>
    <r>
      <t>OD-</t>
    </r>
  </si>
  <si>
    <r>
      <t>★ 订单数据（订单 / BOM / 订单能耗）</t>
    </r>
  </si>
  <si>
    <r>
      <t>订单级</t>
    </r>
  </si>
  <si>
    <r>
      <t>OD-002 订单物料明细（BOM）</t>
    </r>
  </si>
  <si>
    <r>
      <t>MT-</t>
    </r>
  </si>
  <si>
    <r>
      <t>★ 计量绑定与计量时序数据</t>
    </r>
  </si>
  <si>
    <r>
      <t>计量点级</t>
    </r>
  </si>
  <si>
    <r>
      <t>MT-001 生产单元能耗计量数据</t>
    </r>
  </si>
  <si>
    <r>
      <t>【四】V2.1 数据域补充：零碳园区集控中心（依据两份数据需求清单）</t>
    </r>
  </si>
  <si>
    <r>
      <t>V2.0 仅覆盖《能碳管控指标体系》口径（能耗 / 产量 / 产值 / 碳排放 / 关键工序）。本次依据《“双中心”数据需求清单9.16》（78 项）与《“双中心”数据需求清单V1.0 (8.27)》（66 项），补齐零碳园区集控中心与产品碳足迹集采中心的全部数据项，共新增 92 项参数（既有域补充 7 + 新增数据域 85）。逐项对照见「08-数据接入对照」。</t>
    </r>
  </si>
  <si>
    <r>
      <t>数据域</t>
    </r>
  </si>
  <si>
    <r>
      <t>覆盖参数内容</t>
    </r>
  </si>
  <si>
    <r>
      <t>园区基础配置 ZP-</t>
    </r>
  </si>
  <si>
    <r>
      <t>光伏装机量、变压器容量、储能装机功率 / 容量、园区照片、零碳项目信息、零碳关键事件</t>
    </r>
  </si>
  <si>
    <r>
      <t>新能源与储能 NE-</t>
    </r>
  </si>
  <si>
    <r>
      <t>累计发电量 / 消纳电量 / 上网电量、发电功率、储能充放电量与功率、SOC、状态、日充放分时电量</t>
    </r>
  </si>
  <si>
    <r>
      <t>园区负荷 LD-</t>
    </r>
  </si>
  <si>
    <r>
      <t>累计市电电量、累计负荷用电量、总负荷功率、市电功率、日负荷尖 / 峰 / 平 / 谷 / 深谷电量</t>
    </r>
  </si>
  <si>
    <r>
      <t>绿色电力 GV-</t>
    </r>
  </si>
  <si>
    <r>
      <t>购买绿电量（MWh）、购买绿证量（个 / 张）</t>
    </r>
  </si>
  <si>
    <r>
      <t>收益 RV-</t>
    </r>
  </si>
  <si>
    <r>
      <t>绿电上网收益、绿电消纳收益、储能收益</t>
    </r>
  </si>
  <si>
    <r>
      <t>重点设备 EQ-005~014</t>
    </r>
  </si>
  <si>
    <r>
      <t>用电功率、用电量、五段分时电量、额定负荷、蒸汽瞬时流量、蒸汽消耗量</t>
    </r>
  </si>
  <si>
    <r>
      <t>暖通系统 HV-</t>
    </r>
  </si>
  <si>
    <r>
      <t>热泵 / 空调系统的 COP、供回水温度、制热（冷）量、耗电量、压力、用电功率、绿电占比、尖峰占比、服务面积</t>
    </r>
  </si>
  <si>
    <r>
      <t>能源费用 CO-</t>
    </r>
  </si>
  <si>
    <r>
      <t>用水 / 天然气 / 外购蒸汽 / 油品 / 市电 / 氮气 6 类费用（万元）</t>
    </r>
  </si>
  <si>
    <r>
      <t>订单数据 OD-</t>
    </r>
  </si>
  <si>
    <r>
      <t>订单基本信息、订单物料明细（BOM）、订单能耗、碳足迹核算类别、主要产品类别</t>
    </r>
  </si>
  <si>
    <r>
      <t>计量数据 MT-</t>
    </r>
  </si>
  <si>
    <r>
      <t>生产单元-能耗计量绑定关系、生产单元能耗计量时序数据</t>
    </r>
  </si>
  <si>
    <r>
      <t>既有域补充</t>
    </r>
  </si>
  <si>
    <r>
      <t>EN-030 液氮、EN-031 外购蒸汽（外购口径）、EN-032 油品合计（L）；FAC-014 液氮折标煤系数、FAC-015~017 柴油 / 汽油 / 煤油密度系数</t>
    </r>
  </si>
  <si>
    <r>
      <t>【五】「最小颗粒度」拆分原则</t>
    </r>
  </si>
  <si>
    <r>
      <t>每个指标的计算输入，必须逐项落到唯一可采集、可定位的数据项，不得用「工序 / 产线」这类泛化表述合并多个产线、多个工序、多个物料的口径，也不得用复合单位或复合业务对象承载多项数据。本版按下列维度拆分：</t>
    </r>
  </si>
  <si>
    <r>
      <t>拆分维度</t>
    </r>
  </si>
  <si>
    <r>
      <t>拆分规则</t>
    </r>
  </si>
  <si>
    <r>
      <t>① 产线维度</t>
    </r>
  </si>
  <si>
    <r>
      <t>同一工序在不同产线分别建项</t>
    </r>
  </si>
  <si>
    <r>
      <t>线缆-导线 / 线缆-布电线 / 线缆-高压电缆 … 变压器-特高压 / 变压器-高压 …</t>
    </r>
  </si>
  <si>
    <r>
      <t>② 工序维度</t>
    </r>
  </si>
  <si>
    <r>
      <t>同一产线不同工序分别建项</t>
    </r>
  </si>
  <si>
    <r>
      <t>拉丝 / 交联 / 器身干燥 / 试验 / 钣金加工 / SMT 贴片 / 退火 / 纵剪 / 叠装 …</t>
    </r>
  </si>
  <si>
    <r>
      <t>③ 介质维度</t>
    </r>
  </si>
  <si>
    <r>
      <t>能耗按能源品种分别建项</t>
    </r>
  </si>
  <si>
    <r>
      <t>电力（kWh）/ 蒸汽（t）/ 综合能源（tce）</t>
    </r>
  </si>
  <si>
    <r>
      <t>④ 物料维度</t>
    </r>
  </si>
  <si>
    <r>
      <t>同工序多物料分别建项</t>
    </r>
  </si>
  <si>
    <r>
      <t>拉丝工序：铜（Cu）/ 铝（Al）</t>
    </r>
  </si>
  <si>
    <r>
      <t>⑤ 单位维度 ★</t>
    </r>
  </si>
  <si>
    <r>
      <t>复合单位拆为独立字段</t>
    </r>
  </si>
  <si>
    <r>
      <t>储能装机「MW/MWh」→ ZP-003 功率 + ZP-004 容量；储能「充放电功率」→ NE-007 充电 + NE-008 放电</t>
    </r>
  </si>
  <si>
    <r>
      <t>⑥ 业务对象维度 ★</t>
    </r>
  </si>
  <si>
    <r>
      <t>复合业务项拆为独立记录</t>
    </r>
  </si>
  <si>
    <r>
      <t>清单第 74 项「订单信息（基本信息、对应产量、物料明细、工单信息）」→ OD-001 + OUT-009 + OD-002 + MD-006</t>
    </r>
  </si>
  <si>
    <r>
      <t>⑦ 系统维度 ★</t>
    </r>
  </si>
  <si>
    <r>
      <t>同一类参数按系统分别建项</t>
    </r>
  </si>
  <si>
    <r>
      <t>暖通系统：热泵（HV-001~010）/ 空调（HV-011~020）分别建项</t>
    </r>
  </si>
  <si>
    <r>
      <t>示例　指标「吨铜电耗（线缆-导线-拉丝）」＝ EN-KE46（工序电力消费量（线缆-导线-拉丝·铜），单位 kWh）÷ OUT-KM27（工序产品产量（线缆-导线-拉丝·铜），单位 t）。原 V1.0 中该分子分母均挂在「EN-021 工序 / 产线电力消费量」「OUT-008 工序 / 产品产量（通用）」两个泛化参数上，无法定位到具体产线与工序，V2.0 已全部展开。</t>
    </r>
  </si>
  <si>
    <r>
      <t>【五·补】指标 ↔ 参数构成（细分项）—— V2.2 新增</t>
    </r>
  </si>
  <si>
    <r>
      <t>问题：V2.1 的参数与指标关系是单向的 —— 参数行有「关联指标编码」，但指标行看不出自己由哪些参数构成。开发拿到「吨铜电耗（线缆-导线-拉丝）」时，须在 426 项参数里自行反查「电量」与「产量」；更麻烦的是「综合能源消费量」这类复合参数，看不出它由哪些能源品种折算而来。V2.2 把这条链路补全：指标 → 公式输入项 → 复合参数分项 → 原子参数。</t>
    </r>
  </si>
  <si>
    <r>
      <t>示例　IND-035　单位产量能耗（变压器-特高压-器身干燥），单位 tce/万kVA</t>
    </r>
  </si>
  <si>
    <r>
      <t>　① 输入项 · 分子　　EN-KT02　工序综合能源消费量（变压器-特高压-器身干燥）　　tce</t>
    </r>
  </si>
  <si>
    <r>
      <t>　②　　　分项　　　　EN-KE15　工序电力消费量（变压器-特高压-器身干燥）　　kWh</t>
    </r>
  </si>
  <si>
    <r>
      <t>　②　　　分项　　　　EN-KS02　工序蒸汽消费量（变压器-特高压-器身干燥）　　t</t>
    </r>
  </si>
  <si>
    <r>
      <t>　① 输入项 · 分母　　OUT-KM01　工序产品产量（变压器-特高压-器身干燥）　　万kVA</t>
    </r>
  </si>
  <si>
    <r>
      <t>该链路在三处可见：① 「02-基础参数表」第 23 列「指标构成 / 参数构成（细分项）」；② 「03-指标清单」第 19 列「参数构成（细分项）」；③ 「09-指标参数构成明细」表 —— 按指标逐行展开到原子参数，是开发取数的直接依据。原子参数直接取数；复合参数按其分项折算（或由系统上送合计值，两者必须一致）。</t>
    </r>
  </si>
  <si>
    <r>
      <t>【六】版本修订说明（V1.0 → V2.0 → V2.1 → V2.2）</t>
    </r>
  </si>
  <si>
    <r>
      <t>修订项</t>
    </r>
  </si>
  <si>
    <r>
      <t>变更前情况</t>
    </r>
  </si>
  <si>
    <r>
      <t>【V2.0】工序级参数颗粒度</t>
    </r>
  </si>
  <si>
    <r>
      <t>5 个泛化参数（EN-021~025、OUT-003~008、VAL-012）承载全部 161 处工序级引用</t>
    </r>
  </si>
  <si>
    <r>
      <t>展开为 137 个最小颗粒度数据项（工序电力 59 + 蒸汽 4 + 综合能源 15 + 产量 40 + 产值 19）</t>
    </r>
  </si>
  <si>
    <r>
      <t>已修正</t>
    </r>
  </si>
  <si>
    <r>
      <t>【V2.0】产品级参数颗粒度</t>
    </r>
  </si>
  <si>
    <r>
      <t>仅 EN-021 / OUT-008 泛指「工序 / 产品」</t>
    </r>
  </si>
  <si>
    <r>
      <t>新增 6 个产品级数据项（EN-P01~P05、OUT-P01），口径为「型号 × ERP 产品种类 × 产线大类」</t>
    </r>
  </si>
  <si>
    <r>
      <t>【V2.0】指标公式可执行性</t>
    </r>
  </si>
  <si>
    <r>
      <t>原表「计算公式」列多为空，需人工从指标说明中辨认</t>
    </r>
  </si>
  <si>
    <r>
      <t>新增「规范计算公式（按参数编码）」列，94 个指标全部给出可直接实现的公式</t>
    </r>
  </si>
  <si>
    <r>
      <t>已补充</t>
    </r>
  </si>
  <si>
    <r>
      <t>【V2.0】变量映射</t>
    </r>
  </si>
  <si>
    <r>
      <t>变量符号→泛化参数，多对一</t>
    </r>
  </si>
  <si>
    <r>
      <t>变量符号→唯一数据项编码，282 条变量映射一一对应（映射率 100%）</t>
    </r>
  </si>
  <si>
    <r>
      <t>【V2.0】原表分组标题</t>
    </r>
  </si>
  <si>
    <r>
      <t>分组标题行（整体 / 产品管控 / 关键工序）混在数据行中</t>
    </r>
  </si>
  <si>
    <r>
      <t>并入「指标体系」列与「颗粒度层级」列，数据行纯净，可直接导入数据库</t>
    </r>
  </si>
  <si>
    <r>
      <t>已规范</t>
    </r>
  </si>
  <si>
    <r>
      <t>【V2.1】数据域不完整</t>
    </r>
  </si>
  <si>
    <r>
      <t>仅覆盖指标体系口径，缺零碳园区集控中心与集采中心的 78 项数据需求</t>
    </r>
  </si>
  <si>
    <r>
      <t>新增 ZP / NE / LD / GV / RV / EQ / HV / CO / OD / MT 共 10 个数据域 85 项，并补充 EN-030~032、FAC-014~017 共 7 项既有域缺项；逐项对应见「08-数据接入对照」</t>
    </r>
  </si>
  <si>
    <r>
      <t>已补齐</t>
    </r>
  </si>
  <si>
    <r>
      <t>【V2.1】复合单位未拆</t>
    </r>
  </si>
  <si>
    <r>
      <t>储能装机容量「MW/MWh」、储能「充放电功率」为复合口径</t>
    </r>
  </si>
  <si>
    <r>
      <t>按最小颗粒度拆为 ZP-003 / ZP-004、NE-007 / NE-008 独立字段</t>
    </r>
  </si>
  <si>
    <r>
      <t>【V2.1】单位口径冲突</t>
    </r>
  </si>
  <si>
    <r>
      <t>油品清单按 L、参数表按 t；绿证按「张 / MWh」；电量 MWh 与 kWh 混用</t>
    </r>
  </si>
  <si>
    <r>
      <t>新增 EN-032（L）与 FAC-015~017 密度系数换算；绿证统一为「个（张）」；电量统一以 kWh 存储、MWh 仅作展示</t>
    </r>
  </si>
  <si>
    <r>
      <t>已统一</t>
    </r>
  </si>
  <si>
    <r>
      <t>【V2.1】参数表覆盖度</t>
    </r>
  </si>
  <si>
    <r>
      <t>V2.0 共 334 项，其中指标 94 项 + 原子参数 240 项</t>
    </r>
  </si>
  <si>
    <r>
      <t>V2.1 共 426 项 = 指标 94 + 原子参数 332（原 240 + 新增 92）</t>
    </r>
  </si>
  <si>
    <r>
      <t>【V2.2】指标 ⇄ 参数构成关系缺失</t>
    </r>
  </si>
  <si>
    <r>
      <t>参数表只有「参数 → 关联指标编码」单向信息；指标行看不出由哪些参数构成，「综合能源消费量」等复合参数也看不出由哪些能源品种折算而来</t>
    </r>
  </si>
  <si>
    <r>
      <t>① 02 表新增第 23 列「指标构成 / 参数构成（细分项）」；② 03 表新增第 19 列「参数构成（细分项）」；③ 新增「09-指标参数构成明细」表，按指标把输入项拆到原子参数（214 行）</t>
    </r>
  </si>
  <si>
    <r>
      <t>【V2.2】源表未单列的能源品种分项</t>
    </r>
  </si>
  <si>
    <r>
      <t>部分工序「综合能源消费量」与「电力消费量」是两个独立变量，说明还存在非电能源品种，但源表未单列</t>
    </r>
  </si>
  <si>
    <r>
      <t>在「09-指标参数构成明细」表尾列出 11 项待确认清单（工序 / 参数 / 需确认内容 / 处理建议），请项目公司确认后补充编码</t>
    </r>
  </si>
  <si>
    <r>
      <t>待确认</t>
    </r>
  </si>
  <si>
    <r>
      <t>【七】Excel 公式速查（开发 / 联调自测用）</t>
    </r>
  </si>
  <si>
    <r>
      <t xml:space="preserve"> 1. 按编码查数据说明：=VLOOKUP("EN-KE46",'02-基础参数表'!$B:$Y,9,0)</t>
    </r>
  </si>
  <si>
    <r>
      <t xml:space="preserve"> 2. 按编码查数据来源：=VLOOKUP("NE-001",'02-基础参数表'!$B:$Y,15,0)</t>
    </r>
  </si>
  <si>
    <r>
      <t xml:space="preserve"> 3. 按编码查单位与格式：=VLOOKUP("HV-001",'02-基础参数表'!$B:$Y,10,0)&amp;" / "&amp;VLOOKUP("HV-001",'02-基础参数表'!$B:$Y,11,0)</t>
    </r>
  </si>
  <si>
    <r>
      <t xml:space="preserve"> 4. 按编码查责任单位：=VLOOKUP("CO-001",'02-基础参数表'!$B:$Y,20,0)</t>
    </r>
  </si>
  <si>
    <r>
      <t xml:space="preserve"> 5. 按编码查构成（细分项）：=VLOOKUP("EN-KT02",'02-基础参数表'!$B:$Y,23,0)　（返回该复合参数由哪些分项折算而来）</t>
    </r>
  </si>
  <si>
    <r>
      <t xml:space="preserve"> 6. 按名称反查编码：=INDEX('02-基础参数表'!$B:$B,MATCH("工序产品产量（线缆-导线-拉丝·铜）",'02-基础参数表'!$C:$C,0))</t>
    </r>
  </si>
  <si>
    <r>
      <t xml:space="preserve"> 7. 按数据域筛选参数：=FILTER('02-基础参数表'!$B$4:$D$429,LEFT('02-基础参数表'!$B$4:$B$429,2)="HV")　（HV 换 NE / CO / OD 等前缀）</t>
    </r>
  </si>
  <si>
    <r>
      <t xml:space="preserve"> 8. 查某指标的全部依赖参数：=VLOOKUP("IND-017",'03-指标清单'!$A:$S,17,0)</t>
    </r>
  </si>
  <si>
    <r>
      <t xml:space="preserve"> 9. 查某指标的规范公式：=VLOOKUP("IND-017",'03-指标清单'!$A:$S,7,0)</t>
    </r>
  </si>
  <si>
    <r>
      <t>10. 查某指标的颗粒度输入项：=VLOOKUP("IND-017",'03-指标清单'!$A:$S,8,0)</t>
    </r>
  </si>
  <si>
    <r>
      <t>11. 查某指标的参数构成：=VLOOKUP("IND-035",'03-指标清单'!$A:$S,19,0)　（分子 / 分母各自对应哪个参数编码）</t>
    </r>
  </si>
  <si>
    <r>
      <t>12. 筛出某指标的全部构成行：=FILTER('09-指标参数构成明细'!$F$4:$S$217,'09-指标参数构成明细'!$B$4:$B$217="IND-035")</t>
    </r>
  </si>
  <si>
    <r>
      <t>13. 查某指标用到某变量的参数编码：=INDEX('04-公式变量映射'!$G:$G,MATCH("IND-017"&amp;"|"&amp;"Q线缆-导线-拉丝Cu-电",'04-公式变量映射'!$A:$A&amp;"|"&amp;'04-公式变量映射'!$E:$E,0))　（数组公式，Ctrl+Shift+Enter）</t>
    </r>
  </si>
  <si>
    <r>
      <t>14. 按产线+工序查全部数据项编码：=INDEX('05-工序数据项矩阵'!$D:$H,MATCH("线缆-导线"&amp;"|"&amp;"拉丝",'05-工序数据项矩阵'!$B:$B&amp;"|"&amp;'05-工序数据项矩阵'!$C:$C,0),1)　（数组公式）</t>
    </r>
  </si>
  <si>
    <r>
      <t>15. 按清单项反查参数编码：=VLOOKUP(74,'08-数据接入对照'!$A:$J,10,0)　（第 74 项 → OD-001 等）</t>
    </r>
  </si>
  <si>
    <r>
      <t>16. 按清单原文查处理说明：=VLOOKUP("外购蒸汽量",'08-数据接入对照'!$D:$L,8,0)</t>
    </r>
  </si>
  <si>
    <r>
      <t>【八】维护约定</t>
    </r>
  </si>
  <si>
    <r>
      <t>1. 「02-基础参数表」是唯一权威定义表，编码一经发布不得复用；新增数据项须在对应前缀段内顺延编号。</t>
    </r>
  </si>
  <si>
    <r>
      <t>2. 工序级数据项的「所属产线 / 所属工序」两列是取数定位键，须与「07-枚举字典」中的产线、工序取值保持一致。</t>
    </r>
  </si>
  <si>
    <r>
      <t>3. 标为「工序级（汇总口径）」的 EN-021~EN-025、OUT-003~008、VAL-012，仅供合计校验使用，禁止直接用于指标取数。</t>
    </r>
  </si>
  <si>
    <r>
      <t>4. 折标准煤系数（FAC-001~FAC-008、FAC-014）与排放因子（FAC-009~FAC-013）为参考缺省值，正式取值由电装统一维护、年度更新。</t>
    </r>
  </si>
  <si>
    <r>
      <t>5. 源表或数据需求清单更新时，替换「02-基础参数表」对应行即可，指标公式无需改动（公式按编码引用）。</t>
    </r>
  </si>
  <si>
    <r>
      <t>6. 本版口径问题已在「02-基础参数表」备注列逐条标注：EN-020 单位千kWh、蒸汽质量/热量双口径、非化石能源不含原料用能、过程排放与固碳暂按 0 计、油品 L/t 双口径、储能收益元/万元等。</t>
    </r>
  </si>
  <si>
    <r>
      <t>7. 「08-数据接入对照」是数据需求清单与参数编码的双向索引；清单改版时先更新该表，再同步「02-基础参数表」。</t>
    </r>
  </si>
  <si>
    <r>
      <t>8. 集控中心域参数（ZP / NE / LD / GV / RV / HV）多为实时（15 分钟）曲线数据，建议按时序库存储、保留 5 年；ZP- / EQ-012 / HV-010 / HV-020 为静态台账，变更时更新即可。</t>
    </r>
  </si>
  <si>
    <r>
      <t>9. 「09-指标参数构成明细」以及「02-基础参数表」第 23 列、「03-指标清单」第 19 列的构成信息由生成脚本统一产出，请勿手工修改；指标公式、变量映射或参数表变更后须整体重跑生成脚本，以保证三处一致。</t>
    </r>
  </si>
  <si>
    <r>
      <t>10. 「09-指标参数构成明细」表尾列出源表未单列的能源品种分项（待确认清单），项目公司确认后须补充对应参数编码，并同步更新该工序综合能耗（EN-KT*）的折标口径。</t>
    </r>
  </si>
  <si>
    <r>
      <t>02 · 基础参数表（统一参数与数据项定义）</t>
    </r>
  </si>
  <si>
    <r>
      <t>共 426 项 = 公共参数 97（工厂级 / 主数据 / 系数）+ 既有域补充 7（能源品种 / 系数）+ 零碳园区与集控中心数据 85 + 产品级数据项 6 + 工序级数据项 137 + 指标定义 94。颗粒度已拆分到「产线 × 工序 × 介质 / 物料」与「园区 / 设备 / 系统 / 订单」，公式取数请使用最小颗粒度编码。「指标构成 / 参数构成（细分项）」列：指标行写明该指标由哪些参数构成，复合参数行写明它由哪些分项折算而来，可直接据此追溯取数链路。</t>
    </r>
  </si>
  <si>
    <r>
      <t>序号</t>
    </r>
  </si>
  <si>
    <r>
      <t>指标构成 / 参数构成（细分项）</t>
    </r>
  </si>
  <si>
    <r>
      <t>ORG-001</t>
    </r>
  </si>
  <si>
    <r>
      <t>经营单位编码</t>
    </r>
  </si>
  <si>
    <r>
      <t>组织主数据</t>
    </r>
  </si>
  <si>
    <r>
      <t>主数据</t>
    </r>
  </si>
  <si>
    <r>
      <t>—</t>
    </r>
  </si>
  <si>
    <r>
      <t>集团级经营单位（产业板块）的唯一标识编码，用于全部指标的组织维度归集</t>
    </r>
  </si>
  <si>
    <r>
      <t>文本</t>
    </r>
  </si>
  <si>
    <r>
      <t>见「06-枚举字典」ORG-01</t>
    </r>
  </si>
  <si>
    <r>
      <t>集团主数据管理系统</t>
    </r>
  </si>
  <si>
    <r>
      <t>组织主数据.经营单位编码</t>
    </r>
  </si>
  <si>
    <r>
      <t>系统对接</t>
    </r>
  </si>
  <si>
    <r>
      <t>变更时同步</t>
    </r>
  </si>
  <si>
    <r>
      <t>是</t>
    </r>
  </si>
  <si>
    <r>
      <t>集团 / 电装信息化</t>
    </r>
  </si>
  <si>
    <r>
      <t>全部指标</t>
    </r>
  </si>
  <si>
    <r>
      <t>非空、全局唯一</t>
    </r>
  </si>
  <si>
    <r>
      <t>覆盖沈变、衡变、新变、鲁缆、德缆、新缆 6 家经营单位</t>
    </r>
  </si>
  <si>
    <r>
      <t>ORG-002</t>
    </r>
  </si>
  <si>
    <r>
      <t>经营单位名称</t>
    </r>
  </si>
  <si>
    <r>
      <t>经营单位中文名称</t>
    </r>
  </si>
  <si>
    <r>
      <t>沈变 / 衡变 / 新变 / 鲁缆 / 德缆 / 新缆</t>
    </r>
  </si>
  <si>
    <r>
      <t>组织主数据.经营单位名称</t>
    </r>
  </si>
  <si>
    <r>
      <t>与编码一一对应</t>
    </r>
  </si>
  <si>
    <r>
      <t>ORG-003</t>
    </r>
  </si>
  <si>
    <r>
      <t>项目公司编码</t>
    </r>
  </si>
  <si>
    <r>
      <t>经营单位下属项目公司的唯一标识编码，是集控 / 集采指标的核算与上报主体</t>
    </r>
  </si>
  <si>
    <r>
      <t>见「06-枚举字典」ORG-02</t>
    </r>
  </si>
  <si>
    <r>
      <t>组织主数据.公司编码</t>
    </r>
  </si>
  <si>
    <r>
      <t>各项目公司</t>
    </r>
  </si>
  <si>
    <r>
      <t>共 22 个项目公司（含各产业本部）</t>
    </r>
  </si>
  <si>
    <r>
      <t>ORG-004</t>
    </r>
  </si>
  <si>
    <r>
      <t>项目公司名称</t>
    </r>
  </si>
  <si>
    <r>
      <t>项目公司中文名称，如沈变本部、和新套管、康嘉互感器、南京电研等</t>
    </r>
  </si>
  <si>
    <r>
      <t>组织主数据.公司名称</t>
    </r>
  </si>
  <si>
    <r>
      <t>ORG-005</t>
    </r>
  </si>
  <si>
    <r>
      <t>产业板块</t>
    </r>
  </si>
  <si>
    <r>
      <t>项目公司所属产业分类，决定其纳入的指标范围与工序口径</t>
    </r>
  </si>
  <si>
    <r>
      <t>枚举</t>
    </r>
  </si>
  <si>
    <r>
      <t>见「06-枚举字典」ORG-03</t>
    </r>
  </si>
  <si>
    <r>
      <t>组织主数据.产业分类</t>
    </r>
  </si>
  <si>
    <r>
      <t>关键工序类指标（IND-017~IND-094）</t>
    </r>
  </si>
  <si>
    <r>
      <t>取值须在枚举内</t>
    </r>
  </si>
  <si>
    <r>
      <t>同一项目公司可归多个板块</t>
    </r>
  </si>
  <si>
    <r>
      <t>ORG-006</t>
    </r>
  </si>
  <si>
    <r>
      <t>生产管理单元编码</t>
    </r>
  </si>
  <si>
    <r>
      <t>车间、产线、工段级生产单元编码，是「生产-能源绑定」的原子对象</t>
    </r>
  </si>
  <si>
    <r>
      <t>集控中心 / 碳足迹在线核算及报告系统</t>
    </r>
  </si>
  <si>
    <r>
      <t>生产管理单元主数据</t>
    </r>
  </si>
  <si>
    <r>
      <t>IND-012~IND-094</t>
    </r>
  </si>
  <si>
    <r>
      <t>非空、单位内唯一</t>
    </r>
  </si>
  <si>
    <r>
      <t>须与能耗计量点完成绑定</t>
    </r>
  </si>
  <si>
    <r>
      <t>ORG-007</t>
    </r>
  </si>
  <si>
    <r>
      <t>计量点编码</t>
    </r>
  </si>
  <si>
    <r>
      <t>能源计量器具 / 测点唯一编码（电表、蒸汽流量计、气表等）</t>
    </r>
  </si>
  <si>
    <r>
      <t>集控中心 / 能源管理系统</t>
    </r>
  </si>
  <si>
    <r>
      <t>计量器具台账.测点编号</t>
    </r>
  </si>
  <si>
    <r>
      <t>全部能耗类指标</t>
    </r>
  </si>
  <si>
    <r>
      <t>采集通道须与测点编号对应</t>
    </r>
  </si>
  <si>
    <r>
      <t>ORG-008</t>
    </r>
  </si>
  <si>
    <r>
      <t>生产管理单元-计量点绑定关系</t>
    </r>
  </si>
  <si>
    <r>
      <t>生产管理单元与能源计量点的对应关系（可多对多），是工序能耗拆分与归集的依据</t>
    </r>
  </si>
  <si>
    <r>
      <t>碳足迹在线核算及报告系统</t>
    </r>
  </si>
  <si>
    <r>
      <t>生产-能源绑定模块</t>
    </r>
  </si>
  <si>
    <r>
      <t>系统对接 / 手工配置</t>
    </r>
  </si>
  <si>
    <r>
      <t>变更时更新</t>
    </r>
  </si>
  <si>
    <r>
      <t>IND-017~IND-094</t>
    </r>
  </si>
  <si>
    <r>
      <t>绑定率 100%</t>
    </r>
  </si>
  <si>
    <r>
      <t>未绑定将导致工序能耗无法核算</t>
    </r>
  </si>
  <si>
    <r>
      <t>MD-001</t>
    </r>
  </si>
  <si>
    <r>
      <t>产品型号</t>
    </r>
  </si>
  <si>
    <r>
      <t>生产主数据</t>
    </r>
  </si>
  <si>
    <r>
      <t>产品规格型号编码，是产品级指标（最小到型号）的统计维度</t>
    </r>
  </si>
  <si>
    <r>
      <t>ERP 系统</t>
    </r>
  </si>
  <si>
    <r>
      <t>物料主数据.型号</t>
    </r>
  </si>
  <si>
    <r>
      <t>IND-012~IND-016</t>
    </r>
  </si>
  <si>
    <r>
      <t>非空</t>
    </r>
  </si>
  <si>
    <r>
      <t>MD-002</t>
    </r>
  </si>
  <si>
    <r>
      <t>产品种类（ERP）</t>
    </r>
  </si>
  <si>
    <r>
      <t>ERP 中的产品大类 / 种类编码，用于型号-种类-产线映射</t>
    </r>
  </si>
  <si>
    <r>
      <t>物料主数据.产品种类</t>
    </r>
  </si>
  <si>
    <r>
      <t>IND-002、IND-012</t>
    </r>
  </si>
  <si>
    <r>
      <t>MD-003</t>
    </r>
  </si>
  <si>
    <r>
      <t>产线编码</t>
    </r>
  </si>
  <si>
    <r>
      <t>电装产线大类编码（导线、布电线、高压 / 中压 / 低压电缆、特种电缆、装备电缆、橡套电缆、变压器各产线等）</t>
    </r>
  </si>
  <si>
    <r>
      <t>见「06-枚举字典」MD-01</t>
    </r>
  </si>
  <si>
    <r>
      <t>集控中心</t>
    </r>
  </si>
  <si>
    <r>
      <t>产线主数据.产线编码</t>
    </r>
  </si>
  <si>
    <r>
      <t>MD-004</t>
    </r>
  </si>
  <si>
    <r>
      <t>工序编码</t>
    </r>
  </si>
  <si>
    <r>
      <t>关键工序编码（拉丝、交联、器身干燥、试验、浇注固化、钣金加工、SMT 贴片、退火、纵剪、叠装等）</t>
    </r>
  </si>
  <si>
    <r>
      <t>见「06-枚举字典」MD-02</t>
    </r>
  </si>
  <si>
    <r>
      <t>工序主数据.工序编码</t>
    </r>
  </si>
  <si>
    <r>
      <t>非空、与产线对应</t>
    </r>
  </si>
  <si>
    <r>
      <t>MD-005</t>
    </r>
  </si>
  <si>
    <r>
      <t>型号-产品种类-产线对应关系</t>
    </r>
  </si>
  <si>
    <r>
      <t>产品型号、ERP 产品种类与产线 / 工序三者的映射关系，是产品级与工序级指标分摊的关键</t>
    </r>
  </si>
  <si>
    <r>
      <t>ERP 系统 + 集控中心</t>
    </r>
  </si>
  <si>
    <r>
      <t>产品-产线映射表</t>
    </r>
  </si>
  <si>
    <r>
      <t>覆盖率 100%</t>
    </r>
  </si>
  <si>
    <r>
      <t>缺口将导致订单能耗无法归集到型号</t>
    </r>
  </si>
  <si>
    <r>
      <t>MD-006</t>
    </r>
  </si>
  <si>
    <r>
      <t>生产工单号</t>
    </r>
  </si>
  <si>
    <r>
      <t>生产订单 / 工单号，是订单级产量与能耗关联的主键</t>
    </r>
  </si>
  <si>
    <r>
      <t>ERP / MES 系统</t>
    </r>
  </si>
  <si>
    <r>
      <t>生产工单.工单号</t>
    </r>
  </si>
  <si>
    <r>
      <t>系统对接（标准接口）</t>
    </r>
  </si>
  <si>
    <r>
      <t>实时</t>
    </r>
  </si>
  <si>
    <r>
      <t>非空、唯一</t>
    </r>
  </si>
  <si>
    <r>
      <t>按标准接口上传至本地数据采集模块</t>
    </r>
  </si>
  <si>
    <r>
      <t>MD-007</t>
    </r>
  </si>
  <si>
    <r>
      <t>统计期</t>
    </r>
  </si>
  <si>
    <r>
      <t>统计维度</t>
    </r>
  </si>
  <si>
    <r>
      <t>指标计算的时间维度，统一为自然月（格式 YYYY-MM）</t>
    </r>
  </si>
  <si>
    <r>
      <t>YYYY-MM</t>
    </r>
  </si>
  <si>
    <r>
      <t>统计期主表</t>
    </r>
  </si>
  <si>
    <r>
      <t>系统生成</t>
    </r>
  </si>
  <si>
    <r>
      <t>月度</t>
    </r>
  </si>
  <si>
    <r>
      <t>电装信息化</t>
    </r>
  </si>
  <si>
    <r>
      <t>格式 YYYY-MM</t>
    </r>
  </si>
  <si>
    <r>
      <t>年度指标按 12 个月汇算</t>
    </r>
  </si>
  <si>
    <r>
      <t>MD-008</t>
    </r>
  </si>
  <si>
    <r>
      <t>数据版本 / 上报批次</t>
    </r>
  </si>
  <si>
    <r>
      <t>月度数据的版本标识，用于修订与追溯</t>
    </r>
  </si>
  <si>
    <r>
      <t>数据批次表</t>
    </r>
  </si>
  <si>
    <r>
      <t>否</t>
    </r>
  </si>
  <si>
    <r>
      <t>唯一版本号</t>
    </r>
  </si>
  <si>
    <r>
      <t>EN-001</t>
    </r>
  </si>
  <si>
    <r>
      <t>电力消费量</t>
    </r>
  </si>
  <si>
    <r>
      <t>实测值/接口值</t>
    </r>
  </si>
  <si>
    <r>
      <t>Q电</t>
    </r>
  </si>
  <si>
    <r>
      <t>能源数据</t>
    </r>
  </si>
  <si>
    <r>
      <t>统计期内项目公司总用电量（含市电与绿电，含公辅设备用电）</t>
    </r>
  </si>
  <si>
    <r>
      <t>kWh</t>
    </r>
  </si>
  <si>
    <r>
      <t>数值（0 位小数）</t>
    </r>
  </si>
  <si>
    <r>
      <t>0</t>
    </r>
  </si>
  <si>
    <r>
      <t>≥0</t>
    </r>
  </si>
  <si>
    <r>
      <t>集控中心（电表自动采集）</t>
    </r>
  </si>
  <si>
    <r>
      <t>电量测点.正向有功电量</t>
    </r>
  </si>
  <si>
    <r>
      <t>自动采集</t>
    </r>
  </si>
  <si>
    <r>
      <t>实时采集、月度汇总</t>
    </r>
  </si>
  <si>
    <r>
      <t>IND-013、IND-017~IND-094（各类电耗指标）</t>
    </r>
  </si>
  <si>
    <r>
      <t>≥0；月度环比偏差 &gt; 30% 需说明</t>
    </r>
  </si>
  <si>
    <r>
      <t>绿电与市电合计，不重复计量</t>
    </r>
  </si>
  <si>
    <r>
      <t>EN-002</t>
    </r>
  </si>
  <si>
    <r>
      <t>市电消费量</t>
    </r>
  </si>
  <si>
    <r>
      <t>统计期内从电网购入的常规电力消费量</t>
    </r>
  </si>
  <si>
    <r>
      <t>电量测点（市电回路）</t>
    </r>
  </si>
  <si>
    <r>
      <t>IND-003、IND-004、IND-006</t>
    </r>
  </si>
  <si>
    <r>
      <t>与绿电分别计量</t>
    </r>
  </si>
  <si>
    <r>
      <t>EN-003</t>
    </r>
  </si>
  <si>
    <r>
      <t>绿电消费量</t>
    </r>
  </si>
  <si>
    <r>
      <t>统计期内消费的绿电总量（自建新能源自发自用 + 绿电直连 + 购买绿电）</t>
    </r>
  </si>
  <si>
    <r>
      <t>集控中心录入界面</t>
    </r>
  </si>
  <si>
    <r>
      <t>绿电台账</t>
    </r>
  </si>
  <si>
    <r>
      <t>手工录入（月度）</t>
    </r>
  </si>
  <si>
    <r>
      <t>IND-006、IND-007</t>
    </r>
  </si>
  <si>
    <r>
      <t>≥0 且 ≤ 总用电量</t>
    </r>
  </si>
  <si>
    <r>
      <t>需保留绿电交易凭证</t>
    </r>
  </si>
  <si>
    <r>
      <t>EN-004</t>
    </r>
  </si>
  <si>
    <r>
      <t>绿证购入量</t>
    </r>
  </si>
  <si>
    <r>
      <t>统计期内购买的绿色电力证书数量（对应电量）</t>
    </r>
  </si>
  <si>
    <r>
      <t>张 / MWh</t>
    </r>
  </si>
  <si>
    <r>
      <t>绿证台账</t>
    </r>
  </si>
  <si>
    <r>
      <t>IND-006</t>
    </r>
  </si>
  <si>
    <r>
      <t>复合单位已统一为「个（张）」计数，折电量 = 个数 × 1 MWh（1000 kWh），折算电量进入 EN-003 口径时不得与物理绿电重复计量。</t>
    </r>
  </si>
  <si>
    <r>
      <t>计入非化石能源消费占比分子；不计入物理认定量占比</t>
    </r>
  </si>
  <si>
    <r>
      <t>EN-005</t>
    </r>
  </si>
  <si>
    <r>
      <t>非化石能源电力消费物理认定量</t>
    </r>
  </si>
  <si>
    <r>
      <t>Ez</t>
    </r>
  </si>
  <si>
    <r>
      <t>具备物理可溯源条件的非化石能源电力消费量（自建消纳绿电 + 非自建绿电直连量）</t>
    </r>
  </si>
  <si>
    <r>
      <t>绿电直连 / 自建台账</t>
    </r>
  </si>
  <si>
    <r>
      <t>系统对接 / 手工录入</t>
    </r>
  </si>
  <si>
    <r>
      <t>IND-007</t>
    </r>
  </si>
  <si>
    <r>
      <t>交易绿电、绿证不纳入分子</t>
    </r>
  </si>
  <si>
    <r>
      <t>EN-006</t>
    </r>
  </si>
  <si>
    <r>
      <t>天然气消费量</t>
    </r>
  </si>
  <si>
    <r>
      <t>Q天然气</t>
    </r>
  </si>
  <si>
    <r>
      <t>统计期内天然气消费量（燃料用或原料用）</t>
    </r>
  </si>
  <si>
    <r>
      <t>m³</t>
    </r>
  </si>
  <si>
    <r>
      <t>集控中心（气表自动采集）/ 录入界面</t>
    </r>
  </si>
  <si>
    <r>
      <t>气量测点</t>
    </r>
  </si>
  <si>
    <r>
      <t>自动采集优先，否则手工录入</t>
    </r>
  </si>
  <si>
    <r>
      <t>IND-004、IND-015</t>
    </r>
  </si>
  <si>
    <r>
      <t>能自动采集的优先取自动采集数据</t>
    </r>
  </si>
  <si>
    <r>
      <t>EN-007</t>
    </r>
  </si>
  <si>
    <r>
      <t>蒸汽消费量（质量）</t>
    </r>
  </si>
  <si>
    <r>
      <t>Q蒸汽</t>
    </r>
  </si>
  <si>
    <r>
      <t>统计期内外购 / 自产蒸汽消费量，按质量计量</t>
    </r>
  </si>
  <si>
    <r>
      <t>t</t>
    </r>
  </si>
  <si>
    <r>
      <t>数值（2 位小数）</t>
    </r>
  </si>
  <si>
    <r>
      <t>2</t>
    </r>
  </si>
  <si>
    <r>
      <t>集控中心（蒸汽流量计）/ 录入界面</t>
    </r>
  </si>
  <si>
    <r>
      <t>蒸汽测点</t>
    </r>
  </si>
  <si>
    <r>
      <t>IND-014、IND-041、IND-046、IND-051、IND-077</t>
    </r>
  </si>
  <si>
    <r>
      <t>指标单位为 GJ 时按蒸汽热焓折算</t>
    </r>
  </si>
  <si>
    <r>
      <t>EN-008</t>
    </r>
  </si>
  <si>
    <r>
      <t>蒸汽消费量（热量）</t>
    </r>
  </si>
  <si>
    <r>
      <t>蒸汽消费量按热值折算后的能量值，用于综合能源消费量计算</t>
    </r>
  </si>
  <si>
    <r>
      <t>GJ</t>
    </r>
  </si>
  <si>
    <r>
      <t>蒸汽测点 + 热焓参数</t>
    </r>
  </si>
  <si>
    <r>
      <t>计算</t>
    </r>
  </si>
  <si>
    <r>
      <t>IND-003、IND-014</t>
    </r>
  </si>
  <si>
    <r>
      <t>折算系数见 FAC-004</t>
    </r>
  </si>
  <si>
    <r>
      <t>EN-009</t>
    </r>
  </si>
  <si>
    <r>
      <t>热力消费量</t>
    </r>
  </si>
  <si>
    <r>
      <t>统计期内购入热力（热水 / 热网）消费量</t>
    </r>
  </si>
  <si>
    <r>
      <t>集控中心 / 录入界面</t>
    </r>
  </si>
  <si>
    <r>
      <t>热量表</t>
    </r>
  </si>
  <si>
    <r>
      <t>IND-003、IND-004、IND-012</t>
    </r>
  </si>
  <si>
    <r>
      <t>EN-010</t>
    </r>
  </si>
  <si>
    <r>
      <t>柴油消费量</t>
    </r>
  </si>
  <si>
    <r>
      <t>统计期内柴油消耗量（车辆、叉车、应急发电机等）</t>
    </r>
  </si>
  <si>
    <r>
      <t>数值（3 位小数）</t>
    </r>
  </si>
  <si>
    <r>
      <t>3</t>
    </r>
  </si>
  <si>
    <r>
      <t>油品台账</t>
    </r>
  </si>
  <si>
    <r>
      <t>IND-003、IND-004</t>
    </r>
  </si>
  <si>
    <r>
      <t>EN-011</t>
    </r>
  </si>
  <si>
    <r>
      <t>汽油消费量</t>
    </r>
  </si>
  <si>
    <r>
      <t>统计期内汽油消耗量</t>
    </r>
  </si>
  <si>
    <r>
      <t>EN-012</t>
    </r>
  </si>
  <si>
    <r>
      <t>煤油消费量</t>
    </r>
  </si>
  <si>
    <r>
      <t>统计期内煤油消耗量</t>
    </r>
  </si>
  <si>
    <r>
      <t>EN-013</t>
    </r>
  </si>
  <si>
    <r>
      <t>综合能源消费量</t>
    </r>
  </si>
  <si>
    <r>
      <t>E</t>
    </r>
  </si>
  <si>
    <r>
      <t>统计期内组织综合能源消费总量，由各能源品种消耗量 × 折标准煤系数加总得到；电力按当量值折标</t>
    </r>
  </si>
  <si>
    <r>
      <t>tce</t>
    </r>
  </si>
  <si>
    <r>
      <t>集控中心（系统自动计算）</t>
    </r>
  </si>
  <si>
    <r>
      <t>计算字段</t>
    </r>
  </si>
  <si>
    <r>
      <t>电装（统一计算）</t>
    </r>
  </si>
  <si>
    <r>
      <t>IND-003、IND-005、IND-008、IND-010、IND-012</t>
    </r>
  </si>
  <si>
    <r>
      <t>＝ Σ(EN-015 第 i 种能源消费量 × EN-016 第 i 种能源折标准煤系数) ÷ 1000；品种覆盖 EN-001 电力、EN-006 天然气、EN-008 蒸汽（热量）、EN-009 热力、EN-010~012 油品等，电力按当量值折标（FAC-001）。</t>
    </r>
  </si>
  <si>
    <r>
      <t>电力折标使用当量值系数 FAC-001</t>
    </r>
  </si>
  <si>
    <r>
      <t>EN-014</t>
    </r>
  </si>
  <si>
    <r>
      <t>消耗的能源种类数</t>
    </r>
  </si>
  <si>
    <r>
      <t>n</t>
    </r>
  </si>
  <si>
    <r>
      <t>参与综合能源消费量折算的能源品种数量</t>
    </r>
  </si>
  <si>
    <r>
      <t>个</t>
    </r>
  </si>
  <si>
    <r>
      <t>1~20</t>
    </r>
  </si>
  <si>
    <r>
      <t>电装</t>
    </r>
  </si>
  <si>
    <r>
      <t>IND-003</t>
    </r>
  </si>
  <si>
    <r>
      <t>≥1</t>
    </r>
  </si>
  <si>
    <r>
      <t>与能源品种台账一致</t>
    </r>
  </si>
  <si>
    <r>
      <t>EN-015</t>
    </r>
  </si>
  <si>
    <r>
      <t>第 i 种能源消费量</t>
    </r>
  </si>
  <si>
    <r>
      <t>Ei</t>
    </r>
  </si>
  <si>
    <r>
      <t>参与折算的第 i 种能源实物消费量（电、天然气、蒸汽、热力、柴油、汽油、煤油等）</t>
    </r>
  </si>
  <si>
    <r>
      <t>各品种原单位</t>
    </r>
  </si>
  <si>
    <r>
      <t>各能源品种计量 / 台账</t>
    </r>
  </si>
  <si>
    <r>
      <t>自动采集 + 手工录入</t>
    </r>
  </si>
  <si>
    <r>
      <t>泛化维度项，实测取 EN-001 电力、EN-006 天然气、EN-008 蒸汽（热量）、EN-009 热力、EN-010~012 油品等各能源品种实物消费量。</t>
    </r>
  </si>
  <si>
    <r>
      <t>按能源品种分别取数</t>
    </r>
  </si>
  <si>
    <r>
      <t>EN-016</t>
    </r>
  </si>
  <si>
    <r>
      <t>第 i 种能源折标准煤系数</t>
    </r>
  </si>
  <si>
    <r>
      <t>ki</t>
    </r>
  </si>
  <si>
    <r>
      <t>计算系数</t>
    </r>
  </si>
  <si>
    <r>
      <t>第 i 种能源折算为标准煤的系数，由电装统一维护</t>
    </r>
  </si>
  <si>
    <r>
      <t>kgce/单位或 tce/单位</t>
    </r>
  </si>
  <si>
    <r>
      <t>数值（4 位小数）</t>
    </r>
  </si>
  <si>
    <r>
      <t>4</t>
    </r>
  </si>
  <si>
    <r>
      <t>&gt;0</t>
    </r>
  </si>
  <si>
    <r>
      <t>见 FAC-001~FAC-008</t>
    </r>
  </si>
  <si>
    <r>
      <t>电装统一维护</t>
    </r>
  </si>
  <si>
    <r>
      <t>系数表</t>
    </r>
  </si>
  <si>
    <r>
      <t>系统维护</t>
    </r>
  </si>
  <si>
    <r>
      <t>年度复核</t>
    </r>
  </si>
  <si>
    <r>
      <t>依据 GB/T 2589</t>
    </r>
  </si>
  <si>
    <r>
      <t>EN-017</t>
    </r>
  </si>
  <si>
    <r>
      <t>非化石能源消费量</t>
    </r>
  </si>
  <si>
    <r>
      <t>R</t>
    </r>
  </si>
  <si>
    <r>
      <t>各类非化石能源消费量（不含作为原料使用的能源），交易绿电、绿证可纳入</t>
    </r>
  </si>
  <si>
    <r>
      <t>绿电 / 绿证折算台账</t>
    </r>
  </si>
  <si>
    <r>
      <t>涵盖自建新能源自发自用电量、绿电直连量、购入绿电及绿证对应电量等非化石能源品种，各品种折标后加总；不含作为原料使用的能源。明细来源见 EN-003、EN-004、EN-005。</t>
    </r>
  </si>
  <si>
    <r>
      <t>≥0 且 ≤ 综合能源消费量</t>
    </r>
  </si>
  <si>
    <r>
      <t>与分母口径保持一致</t>
    </r>
  </si>
  <si>
    <r>
      <t>EN-018</t>
    </r>
  </si>
  <si>
    <r>
      <t>综合能源消费量（不含原料用能）</t>
    </r>
  </si>
  <si>
    <r>
      <t>E′</t>
    </r>
  </si>
  <si>
    <r>
      <t>扣除作为原料使用的能源后，用于非化石能源消费占比分母的综合能源消费量</t>
    </r>
  </si>
  <si>
    <r>
      <t>＝ EN-013 综合能源消费量 − 原料用能折标量，口径用于「非化石能源消费占比」分母。</t>
    </r>
  </si>
  <si>
    <r>
      <t>口径与 EN-013 存在差异，不可混用</t>
    </r>
  </si>
  <si>
    <r>
      <t>EN-019</t>
    </r>
  </si>
  <si>
    <r>
      <t>非化石能源消费量（不含原料用能）</t>
    </r>
  </si>
  <si>
    <r>
      <t>R′</t>
    </r>
  </si>
  <si>
    <r>
      <t>扣除原料用能后的非化石能源消费量</t>
    </r>
  </si>
  <si>
    <r>
      <t>＝ EN-017 非化石能源消费量 − 原料用能的非化石部分，口径用于「非化石能源消费占比」分子。</t>
    </r>
  </si>
  <si>
    <r>
      <t>口径与 EN-017 存在差异，不可混用</t>
    </r>
  </si>
  <si>
    <r>
      <t>EN-020</t>
    </r>
  </si>
  <si>
    <r>
      <t>总用电量</t>
    </r>
  </si>
  <si>
    <r>
      <t>Q</t>
    </r>
  </si>
  <si>
    <r>
      <t>统计期内总用电量，作为非化石能源电力物理认定量占比的分母</t>
    </r>
  </si>
  <si>
    <r>
      <t>＝ EN-001 电力消费量（含市电与绿电，含公辅设备用电），与 EN-001 同源。</t>
    </r>
  </si>
  <si>
    <r>
      <t>原表分母标注为「千kWh」，开发时统一按 kWh 存储、展示时换算</t>
    </r>
  </si>
  <si>
    <r>
      <t>EN-021</t>
    </r>
  </si>
  <si>
    <r>
      <t>工序 / 产线电力消费量</t>
    </r>
  </si>
  <si>
    <r>
      <t>工序级（汇总口径）</t>
    </r>
  </si>
  <si>
    <r>
      <t>汇总计算值</t>
    </r>
  </si>
  <si>
    <r>
      <t>Q*电</t>
    </r>
  </si>
  <si>
    <r>
      <t>按「组织 × 产线 × 工序 × 统计期」归集的电力消费量（拉丝、交联、器身干燥、试验、钣金加工等工序）</t>
    </r>
  </si>
  <si>
    <r>
      <t>本地数据采集模块 → 集控中心</t>
    </r>
  </si>
  <si>
    <r>
      <t>工序测点.电量</t>
    </r>
  </si>
  <si>
    <r>
      <t>IND-013、IND-017~IND-094</t>
    </r>
  </si>
  <si>
    <r>
      <t>全工厂各工序电力消费量合计；明细见 EN-KE01~EN-KE59「工序电力消费量（产线-工序）」，开发取数必须使用明细编码。</t>
    </r>
  </si>
  <si>
    <r>
      <t>≥0；各工序合计 ≤ 组织总电量</t>
    </r>
  </si>
  <si>
    <r>
      <t>须完成生产-能源绑定</t>
    </r>
  </si>
  <si>
    <r>
      <t>EN-022</t>
    </r>
  </si>
  <si>
    <r>
      <t>工序 / 产线蒸汽消费量</t>
    </r>
  </si>
  <si>
    <r>
      <t>Q*蒸汽</t>
    </r>
  </si>
  <si>
    <r>
      <t>按工序归集的蒸汽消费量（器身干燥、互感器干燥等）</t>
    </r>
  </si>
  <si>
    <r>
      <t>t 或 GJ</t>
    </r>
  </si>
  <si>
    <r>
      <t>工序测点.蒸汽量</t>
    </r>
  </si>
  <si>
    <r>
      <t>全工厂各工序蒸汽消费量合计（质量口径 t 或热量口径 GJ）；明细见 EN-KS01~EN-KS04，开发取数必须使用明细编码。</t>
    </r>
  </si>
  <si>
    <r>
      <t>按指标单位选择 t 或 GJ</t>
    </r>
  </si>
  <si>
    <r>
      <t>EN-023</t>
    </r>
  </si>
  <si>
    <r>
      <t>工序 / 产线天然气消费量</t>
    </r>
  </si>
  <si>
    <r>
      <t>Q*天然气</t>
    </r>
  </si>
  <si>
    <r>
      <t>按工序归集的天然气消费量</t>
    </r>
  </si>
  <si>
    <r>
      <t>工序测点.气量</t>
    </r>
  </si>
  <si>
    <r>
      <t>IND-015</t>
    </r>
  </si>
  <si>
    <r>
      <t>各工序天然气消费量合计；本指标体系未把天然气展开到工序级，如需工序口径应由项目公司确认计量点后补充编码。</t>
    </r>
  </si>
  <si>
    <r>
      <t>EN-024</t>
    </r>
  </si>
  <si>
    <r>
      <t>工序 / 产线热力消费量</t>
    </r>
  </si>
  <si>
    <r>
      <t>Q*热力</t>
    </r>
  </si>
  <si>
    <r>
      <t>按工序归集的热力消费量</t>
    </r>
  </si>
  <si>
    <r>
      <t>工序测点.热量</t>
    </r>
  </si>
  <si>
    <r>
      <t>IND-012</t>
    </r>
  </si>
  <si>
    <r>
      <t>各工序热力消费量合计；本指标体系未展开到工序级，工厂级见 EN-009。</t>
    </r>
  </si>
  <si>
    <r>
      <t>EN-025</t>
    </r>
  </si>
  <si>
    <r>
      <t>工序 / 产线综合能源消费量</t>
    </r>
  </si>
  <si>
    <r>
      <t>E*</t>
    </r>
  </si>
  <si>
    <r>
      <t>按工序归集的多种能源折标后合计（如器身干燥工序含电 + 蒸汽）</t>
    </r>
  </si>
  <si>
    <r>
      <t>IND-035、IND-040、IND-045、IND-050、IND-055、IND-060、IND-066</t>
    </r>
  </si>
  <si>
    <r>
      <t>全工厂各工序综合能源消费量合计；明细见 EN-KT01~EN-KT15，开发取数必须使用明细编码。</t>
    </r>
  </si>
  <si>
    <r>
      <t>电力按当量值折标</t>
    </r>
  </si>
  <si>
    <r>
      <t>EN-026</t>
    </r>
  </si>
  <si>
    <r>
      <t>用水量（总量）</t>
    </r>
  </si>
  <si>
    <r>
      <t>Q水</t>
    </r>
  </si>
  <si>
    <r>
      <t>统计期内实际用于生产、生活等用途且未返回环境或未再次回用的水量</t>
    </r>
  </si>
  <si>
    <r>
      <t>集控中心录入界面 / 水表</t>
    </r>
  </si>
  <si>
    <r>
      <t>水量台账</t>
    </r>
  </si>
  <si>
    <r>
      <t>手工录入或自动采集</t>
    </r>
  </si>
  <si>
    <r>
      <t>IND-011、IND-016</t>
    </r>
  </si>
  <si>
    <r>
      <t>无法系统上送的单位可手工定期录入</t>
    </r>
  </si>
  <si>
    <r>
      <t>EN-027</t>
    </r>
  </si>
  <si>
    <r>
      <t>生产用水量</t>
    </r>
  </si>
  <si>
    <r>
      <t>用于生产环节的用水量</t>
    </r>
  </si>
  <si>
    <r>
      <t>用水台账</t>
    </r>
  </si>
  <si>
    <r>
      <t>IND-011</t>
    </r>
  </si>
  <si>
    <r>
      <t>EN-028</t>
    </r>
  </si>
  <si>
    <r>
      <t>生活用水量</t>
    </r>
  </si>
  <si>
    <r>
      <t>用于办公、生活环节的用水量</t>
    </r>
  </si>
  <si>
    <r>
      <t>EN-029</t>
    </r>
  </si>
  <si>
    <r>
      <t>再生水 / 中水回用量</t>
    </r>
  </si>
  <si>
    <r>
      <t>中水或其他再生水的循环使用量（经计算处理后上报）</t>
    </r>
  </si>
  <si>
    <r>
      <t>回用水台账</t>
    </r>
  </si>
  <si>
    <r>
      <t>有再生水使用的单位必填</t>
    </r>
  </si>
  <si>
    <r>
      <t>OUT-001</t>
    </r>
  </si>
  <si>
    <r>
      <t>产品产量（变压器）</t>
    </r>
  </si>
  <si>
    <r>
      <t>M</t>
    </r>
  </si>
  <si>
    <r>
      <t>产量数据</t>
    </r>
  </si>
  <si>
    <r>
      <t>统计期内变压器产品产量，按容量计量</t>
    </r>
  </si>
  <si>
    <r>
      <t>万kVA</t>
    </r>
  </si>
  <si>
    <r>
      <t>ERP 系统（入库）</t>
    </r>
  </si>
  <si>
    <r>
      <t>入库单.产量（容量）</t>
    </r>
  </si>
  <si>
    <r>
      <t>IND-012~IND-016、IND-035~IND-065</t>
    </r>
  </si>
  <si>
    <r>
      <t>&gt;0；分母为 0 时指标置空</t>
    </r>
  </si>
  <si>
    <r>
      <t>分母不得为 0</t>
    </r>
  </si>
  <si>
    <r>
      <t>OUT-002</t>
    </r>
  </si>
  <si>
    <r>
      <t>产品产量（线缆）</t>
    </r>
  </si>
  <si>
    <r>
      <t>统计期内线缆产品产量，按「入库公里数 × 截面」计算</t>
    </r>
  </si>
  <si>
    <r>
      <t>万km·mm²</t>
    </r>
  </si>
  <si>
    <r>
      <t>入库单.公里数×截面</t>
    </r>
  </si>
  <si>
    <r>
      <t>IND-012、IND-023、IND-026</t>
    </r>
  </si>
  <si>
    <r>
      <t>ERP 已具备该口径</t>
    </r>
  </si>
  <si>
    <r>
      <t>OUT-003</t>
    </r>
  </si>
  <si>
    <r>
      <t>工序铜产量</t>
    </r>
  </si>
  <si>
    <r>
      <t>M*Cu</t>
    </r>
  </si>
  <si>
    <r>
      <t>拉丝工序加工铜量（导线、布电线、高 / 中 / 低压电缆、特种、装备、橡套电缆产线）</t>
    </r>
  </si>
  <si>
    <r>
      <t>本地数据采集模块 / ERP</t>
    </r>
  </si>
  <si>
    <r>
      <t>工序产量记录</t>
    </r>
  </si>
  <si>
    <r>
      <t>鲁缆本部、新疆线缆厂、新疆电缆、德缆</t>
    </r>
  </si>
  <si>
    <r>
      <t>IND-017、IND-019、IND-021、IND-024、IND-027、IND-029、IND-031、IND-033、IND-037</t>
    </r>
  </si>
  <si>
    <r>
      <t>须与拉丝设备电耗配对</t>
    </r>
  </si>
  <si>
    <r>
      <t>OUT-004</t>
    </r>
  </si>
  <si>
    <r>
      <t>工序铝产量</t>
    </r>
  </si>
  <si>
    <r>
      <t>M*Al</t>
    </r>
  </si>
  <si>
    <r>
      <t>拉丝工序加工铝量</t>
    </r>
  </si>
  <si>
    <r>
      <t>IND-018、IND-020、IND-022、IND-025、IND-028、IND-030、IND-032、IND-034、IND-038</t>
    </r>
  </si>
  <si>
    <r>
      <t>OUT-005</t>
    </r>
  </si>
  <si>
    <r>
      <t>非晶合金铁心产量</t>
    </r>
  </si>
  <si>
    <r>
      <t>M*</t>
    </r>
  </si>
  <si>
    <r>
      <t>退火工序非晶合金铁心产量</t>
    </r>
  </si>
  <si>
    <r>
      <t>本地数据采集模块</t>
    </r>
  </si>
  <si>
    <r>
      <t>新变珠峰硅钢</t>
    </r>
  </si>
  <si>
    <r>
      <t>IND-091</t>
    </r>
  </si>
  <si>
    <r>
      <t>OUT-006</t>
    </r>
  </si>
  <si>
    <r>
      <t>硅钢铁心产量</t>
    </r>
  </si>
  <si>
    <r>
      <t>纵剪、中型叠装、大型叠装工序硅钢铁心产量</t>
    </r>
  </si>
  <si>
    <r>
      <t>IND-092、IND-093、IND-094</t>
    </r>
  </si>
  <si>
    <r>
      <t>OUT-007</t>
    </r>
  </si>
  <si>
    <r>
      <t>电容器产量</t>
    </r>
  </si>
  <si>
    <r>
      <t>芯子卷绕、真空浸渍、喷漆、试验工序电容器产量</t>
    </r>
  </si>
  <si>
    <r>
      <t>kvar</t>
    </r>
  </si>
  <si>
    <r>
      <t>线下统计录入</t>
    </r>
  </si>
  <si>
    <r>
      <t>手工录入（月度 / 周 / 日）</t>
    </r>
  </si>
  <si>
    <r>
      <t>衡变合容</t>
    </r>
  </si>
  <si>
    <r>
      <t>IND-078~IND-081</t>
    </r>
  </si>
  <si>
    <r>
      <t>产量线下统计，最小可按天</t>
    </r>
  </si>
  <si>
    <r>
      <t>OUT-008</t>
    </r>
  </si>
  <si>
    <r>
      <t>工序 / 产品产量（通用）</t>
    </r>
  </si>
  <si>
    <r>
      <t>关键工序与产品级指标通用产量字段，按「组织 × 产线 × 工序 × 型号 × 统计期」归集，单位随产品而定</t>
    </r>
  </si>
  <si>
    <r>
      <t>万kVA / 万km·mm² / t / kvar</t>
    </r>
  </si>
  <si>
    <r>
      <t>本地数据采集模块 / ERP / MES</t>
    </r>
  </si>
  <si>
    <r>
      <t>IND-012~IND-016、IND-017~IND-094</t>
    </r>
  </si>
  <si>
    <r>
      <t>工序 / 产品产量（通用分母）；已按产线-工序展开为 OUT-KM01~OUT-KM40，产品级为 OUT-P01，开发取数必须使用明细编码。</t>
    </r>
  </si>
  <si>
    <r>
      <t>&gt;0；分母为空或 0 时指标置空</t>
    </r>
  </si>
  <si>
    <r>
      <t>计算时须做分母空值 / 0 保护</t>
    </r>
  </si>
  <si>
    <r>
      <t>OUT-009</t>
    </r>
  </si>
  <si>
    <r>
      <t>订单产量（按型号）</t>
    </r>
  </si>
  <si>
    <r>
      <t>按订单 / 型号汇总的产量，用于型号级单位产品能耗</t>
    </r>
  </si>
  <si>
    <r>
      <t>按品种</t>
    </r>
  </si>
  <si>
    <r>
      <t>生产工单.产量</t>
    </r>
  </si>
  <si>
    <r>
      <t>依赖型号-种类-产线映射</t>
    </r>
  </si>
  <si>
    <r>
      <t>VAL-001</t>
    </r>
  </si>
  <si>
    <r>
      <t>工业增加值</t>
    </r>
  </si>
  <si>
    <r>
      <t>Gnva</t>
    </r>
  </si>
  <si>
    <r>
      <t>产值数据</t>
    </r>
  </si>
  <si>
    <r>
      <t>企业月度工业增加值，月度估算、年度汇算</t>
    </r>
  </si>
  <si>
    <r>
      <t>万元</t>
    </r>
  </si>
  <si>
    <r>
      <t>财务 / 统计报表</t>
    </r>
  </si>
  <si>
    <r>
      <t>手工录入</t>
    </r>
  </si>
  <si>
    <r>
      <t>月度录入、年度汇算</t>
    </r>
  </si>
  <si>
    <r>
      <t>IND-008</t>
    </r>
  </si>
  <si>
    <r>
      <t>在集控中心开放界面录入</t>
    </r>
  </si>
  <si>
    <r>
      <t>VAL-002</t>
    </r>
  </si>
  <si>
    <r>
      <t>产品产值</t>
    </r>
  </si>
  <si>
    <r>
      <t>G</t>
    </r>
  </si>
  <si>
    <r>
      <t>统计期内产品产值，单位产值类指标的通用分母</t>
    </r>
  </si>
  <si>
    <r>
      <t>电装大数据平台 / 经营日报管理系统</t>
    </r>
  </si>
  <si>
    <r>
      <t>产值报表</t>
    </r>
  </si>
  <si>
    <r>
      <t>日更新、月度汇总</t>
    </r>
  </si>
  <si>
    <r>
      <t>IND-010</t>
    </r>
  </si>
  <si>
    <r>
      <t>线缆产值到产线，变压器产值到项目公司</t>
    </r>
  </si>
  <si>
    <r>
      <t>VAL-003</t>
    </r>
  </si>
  <si>
    <r>
      <t>线缆产值</t>
    </r>
  </si>
  <si>
    <r>
      <t>线缆板块产品产值，颗粒度到产线</t>
    </r>
  </si>
  <si>
    <r>
      <t>电装大数据平台</t>
    </r>
  </si>
  <si>
    <r>
      <t>产值看板</t>
    </r>
  </si>
  <si>
    <r>
      <t>日更新</t>
    </r>
  </si>
  <si>
    <r>
      <t>鲁缆、德缆、新缆</t>
    </r>
  </si>
  <si>
    <r>
      <t>自大数据平台获取</t>
    </r>
  </si>
  <si>
    <r>
      <t>VAL-004</t>
    </r>
  </si>
  <si>
    <r>
      <t>变压器产值</t>
    </r>
  </si>
  <si>
    <r>
      <t>变压器板块产品产值，颗粒度到项目公司</t>
    </r>
  </si>
  <si>
    <r>
      <t>经营日报管理系统</t>
    </r>
  </si>
  <si>
    <r>
      <t>产值日报</t>
    </r>
  </si>
  <si>
    <r>
      <t>沈变、衡变、新变</t>
    </r>
  </si>
  <si>
    <r>
      <t>VAL-005</t>
    </r>
  </si>
  <si>
    <r>
      <t>中低压开关柜产值</t>
    </r>
  </si>
  <si>
    <r>
      <t>G*</t>
    </r>
  </si>
  <si>
    <r>
      <t>钣金加工、钣金喷涂工序对应的产品产值</t>
    </r>
  </si>
  <si>
    <r>
      <t>线上统计（MES / ERP）/ 线下录入</t>
    </r>
  </si>
  <si>
    <r>
      <t>产值记录</t>
    </r>
  </si>
  <si>
    <r>
      <t>新疆自控、云集电气</t>
    </r>
  </si>
  <si>
    <r>
      <t>IND-066、IND-067</t>
    </r>
  </si>
  <si>
    <r>
      <t>产值可线上统计</t>
    </r>
  </si>
  <si>
    <r>
      <t>VAL-006</t>
    </r>
  </si>
  <si>
    <r>
      <t>套管产值</t>
    </r>
  </si>
  <si>
    <r>
      <t>干燥、卷制、试验工序对应的套管产值</t>
    </r>
  </si>
  <si>
    <r>
      <t>月度（最小可按天）</t>
    </r>
  </si>
  <si>
    <r>
      <t>沈变 / 和新套管</t>
    </r>
  </si>
  <si>
    <r>
      <t>IND-068、IND-069、IND-070</t>
    </r>
  </si>
  <si>
    <r>
      <t>产值线下统计</t>
    </r>
  </si>
  <si>
    <r>
      <t>VAL-007</t>
    </r>
  </si>
  <si>
    <r>
      <t>互感器产值</t>
    </r>
  </si>
  <si>
    <r>
      <t>干燥、试验工序对应的互感器产值</t>
    </r>
  </si>
  <si>
    <r>
      <t>沈变康嘉</t>
    </r>
  </si>
  <si>
    <r>
      <t>IND-071~IND-074</t>
    </r>
  </si>
  <si>
    <r>
      <t>VAL-008</t>
    </r>
  </si>
  <si>
    <r>
      <t>二次设备产值</t>
    </r>
  </si>
  <si>
    <r>
      <t>SMT 贴片、高温老化、波峰焊工序对应的二次设备产值</t>
    </r>
  </si>
  <si>
    <r>
      <t>衡变南京公司</t>
    </r>
  </si>
  <si>
    <r>
      <t>IND-075、IND-076、IND-077</t>
    </r>
  </si>
  <si>
    <r>
      <t>VAL-009</t>
    </r>
  </si>
  <si>
    <r>
      <t>干式电抗器产值</t>
    </r>
  </si>
  <si>
    <r>
      <t>固化、试验工序对应的干式电抗器产值</t>
    </r>
  </si>
  <si>
    <r>
      <t>月度（最小可按天 / 周）</t>
    </r>
  </si>
  <si>
    <r>
      <t>IND-082、IND-083</t>
    </r>
  </si>
  <si>
    <r>
      <t>VAL-010</t>
    </r>
  </si>
  <si>
    <r>
      <t>GIL 设备产值</t>
    </r>
  </si>
  <si>
    <r>
      <t>螺旋焊管生产、测试、绝缘子生产工序对应的 GIL 设备产值</t>
    </r>
  </si>
  <si>
    <r>
      <t>衡变赛杰爱迪</t>
    </r>
  </si>
  <si>
    <r>
      <t>IND-084、IND-085、IND-086</t>
    </r>
  </si>
  <si>
    <r>
      <t>VAL-011</t>
    </r>
  </si>
  <si>
    <r>
      <t>GIS 设备产值</t>
    </r>
  </si>
  <si>
    <r>
      <t>抽真空、绝缘件干燥、工频耐压试验、空调恒温除湿工序对应的 GIS 设备产值</t>
    </r>
  </si>
  <si>
    <r>
      <t>MES 系统</t>
    </r>
  </si>
  <si>
    <r>
      <t>衡变云高</t>
    </r>
  </si>
  <si>
    <r>
      <t>IND-087~IND-090</t>
    </r>
  </si>
  <si>
    <r>
      <t>产值自 MES 取数</t>
    </r>
  </si>
  <si>
    <r>
      <t>VAL-012</t>
    </r>
  </si>
  <si>
    <r>
      <t>工序产值</t>
    </r>
  </si>
  <si>
    <r>
      <t>关键工序单位产值类指标的通用分母</t>
    </r>
  </si>
  <si>
    <r>
      <t>见各项目公司来源</t>
    </r>
  </si>
  <si>
    <r>
      <t>IND-066~IND-090</t>
    </r>
  </si>
  <si>
    <r>
      <t>各工序产品产值（通用分母）；已展开为 VAL-KG01~VAL-KG19，开发取数必须使用明细编码。</t>
    </r>
  </si>
  <si>
    <r>
      <t>CAR-001</t>
    </r>
  </si>
  <si>
    <r>
      <t>二氧化碳排放量</t>
    </r>
  </si>
  <si>
    <r>
      <t>C</t>
    </r>
  </si>
  <si>
    <r>
      <t>统计期内企业组织产生的二氧化碳总排放量（本次口径仅含能源碳排放）</t>
    </r>
  </si>
  <si>
    <r>
      <t>tCO2</t>
    </r>
  </si>
  <si>
    <r>
      <t>IND-004、IND-005</t>
    </r>
  </si>
  <si>
    <r>
      <t>＝ IND-004 总碳排放量，由 CAR-002~CAR-008 按公式加总后得出，本编码为对外引用口径。</t>
    </r>
  </si>
  <si>
    <r>
      <t>生产过程排放与固碳数据难统计，本次不纳入</t>
    </r>
  </si>
  <si>
    <r>
      <t>CAR-002</t>
    </r>
  </si>
  <si>
    <r>
      <t>化石燃料燃烧排放量</t>
    </r>
  </si>
  <si>
    <r>
      <t>C燃烧</t>
    </r>
  </si>
  <si>
    <r>
      <t>化石燃料燃烧产生的二氧化碳排放量总和</t>
    </r>
  </si>
  <si>
    <r>
      <t>IND-004</t>
    </r>
  </si>
  <si>
    <r>
      <t>按燃料品种分别核算</t>
    </r>
  </si>
  <si>
    <r>
      <t>CAR-003</t>
    </r>
  </si>
  <si>
    <r>
      <t>过程排放量</t>
    </r>
  </si>
  <si>
    <r>
      <t>C过程</t>
    </r>
  </si>
  <si>
    <r>
      <t>工业生产过程产生的二氧化碳排放量总和</t>
    </r>
  </si>
  <si>
    <r>
      <t>当前口径按 0 处理</t>
    </r>
  </si>
  <si>
    <r>
      <t>CAR-004</t>
    </r>
  </si>
  <si>
    <r>
      <t>购入电力排放量</t>
    </r>
  </si>
  <si>
    <r>
      <t>C购入电</t>
    </r>
  </si>
  <si>
    <r>
      <t>购入电力对应的二氧化碳排放量</t>
    </r>
  </si>
  <si>
    <r>
      <t>采用省级电力平均排放因子 FAC-009</t>
    </r>
  </si>
  <si>
    <r>
      <t>CAR-005</t>
    </r>
  </si>
  <si>
    <r>
      <t>输出电力排放量</t>
    </r>
  </si>
  <si>
    <r>
      <t>C输出电</t>
    </r>
  </si>
  <si>
    <r>
      <t>输出电力对应的二氧化碳排放量（扣减项）</t>
    </r>
  </si>
  <si>
    <r>
      <t>无电力输出时取 0</t>
    </r>
  </si>
  <si>
    <r>
      <t>CAR-006</t>
    </r>
  </si>
  <si>
    <r>
      <t>购入热力排放量</t>
    </r>
  </si>
  <si>
    <r>
      <t>C购入热</t>
    </r>
  </si>
  <si>
    <r>
      <t>购入热力对应的二氧化碳排放量</t>
    </r>
  </si>
  <si>
    <r>
      <t>热力排放因子见 FAC-013</t>
    </r>
  </si>
  <si>
    <r>
      <t>CAR-007</t>
    </r>
  </si>
  <si>
    <r>
      <t>输出热力排放量</t>
    </r>
  </si>
  <si>
    <r>
      <t>C输出热</t>
    </r>
  </si>
  <si>
    <r>
      <t>输出热力对应的二氧化碳排放量（扣减项）</t>
    </r>
  </si>
  <si>
    <r>
      <t>无热力输出时取 0</t>
    </r>
  </si>
  <si>
    <r>
      <t>CAR-008</t>
    </r>
  </si>
  <si>
    <r>
      <t>二氧化碳回收利用量</t>
    </r>
  </si>
  <si>
    <r>
      <t>C回收利用</t>
    </r>
  </si>
  <si>
    <r>
      <t>化石燃料燃烧、工艺过程产生的 CO2 经回收自用或外供且确保未再次排放所对应的量（扣减项）</t>
    </r>
  </si>
  <si>
    <r>
      <t>CAR-009</t>
    </r>
  </si>
  <si>
    <r>
      <t>产品碳足迹值</t>
    </r>
  </si>
  <si>
    <r>
      <t>CF</t>
    </r>
  </si>
  <si>
    <r>
      <t>摇篮到大门阶段的产品碳足迹值，引用 GB/T 24067、ISO 14067</t>
    </r>
  </si>
  <si>
    <r>
      <t>tCO2/台套、tCO2/km 等</t>
    </r>
  </si>
  <si>
    <r>
      <t>碳足迹核算结果</t>
    </r>
  </si>
  <si>
    <r>
      <t>实时 / 月度</t>
    </r>
  </si>
  <si>
    <r>
      <t>IND-001</t>
    </r>
  </si>
  <si>
    <r>
      <t>由碳足迹系统计算并回传集控 / 集采中心</t>
    </r>
  </si>
  <si>
    <r>
      <t>CAR-010</t>
    </r>
  </si>
  <si>
    <r>
      <t>开展碳足迹分析的产品类别数量</t>
    </r>
  </si>
  <si>
    <r>
      <t>Ncf</t>
    </r>
  </si>
  <si>
    <r>
      <t>统计期内开展主要产品碳足迹分析的产品类别数量</t>
    </r>
  </si>
  <si>
    <r>
      <t>核算报告台账</t>
    </r>
  </si>
  <si>
    <r>
      <t>IND-002</t>
    </r>
  </si>
  <si>
    <r>
      <t>≥0 且 ≤ 主要产品类别总数</t>
    </r>
  </si>
  <si>
    <r>
      <t>系统提供开展计算的产品种类明细</t>
    </r>
  </si>
  <si>
    <r>
      <t>CAR-011</t>
    </r>
  </si>
  <si>
    <r>
      <t>主要产品类别总数</t>
    </r>
  </si>
  <si>
    <r>
      <t>N</t>
    </r>
  </si>
  <si>
    <r>
      <t>单位全部主要产品类别数量</t>
    </r>
  </si>
  <si>
    <r>
      <t>物料主数据.产品类别</t>
    </r>
  </si>
  <si>
    <r>
      <t>从 ERP 获取全部产品种类明细</t>
    </r>
  </si>
  <si>
    <r>
      <t>CAR-012</t>
    </r>
  </si>
  <si>
    <r>
      <t>净购入电力消费量</t>
    </r>
  </si>
  <si>
    <r>
      <t>购入电力扣除输出电力后的净消费量，用于碳排放核算</t>
    </r>
  </si>
  <si>
    <r>
      <t>MWh</t>
    </r>
  </si>
  <si>
    <r>
      <t>CAR-013</t>
    </r>
  </si>
  <si>
    <r>
      <t>净购入热力消费量</t>
    </r>
  </si>
  <si>
    <r>
      <t>购入热力扣除输出热力后的净消费量</t>
    </r>
  </si>
  <si>
    <r>
      <t>CAR-014</t>
    </r>
  </si>
  <si>
    <r>
      <t>化石燃料分品种消费量</t>
    </r>
  </si>
  <si>
    <r>
      <t>天然气、柴油、汽油、煤油等化石燃料的分品种消费量</t>
    </r>
  </si>
  <si>
    <r>
      <t>t 或 m³</t>
    </r>
  </si>
  <si>
    <r>
      <t>燃料台账</t>
    </r>
  </si>
  <si>
    <r>
      <t>与 EN-006、EN-010~EN-012 同源</t>
    </r>
  </si>
  <si>
    <r>
      <t>EQ-001</t>
    </r>
  </si>
  <si>
    <r>
      <t>节能装备累计额定总功率</t>
    </r>
  </si>
  <si>
    <r>
      <t>设备台账</t>
    </r>
  </si>
  <si>
    <r>
      <t>Res</t>
    </r>
  </si>
  <si>
    <r>
      <t>设备数据</t>
    </r>
  </si>
  <si>
    <r>
      <t>达到或优于能效强制性国家标准 2 级水平和节能水平的装备累计额定总功率</t>
    </r>
  </si>
  <si>
    <r>
      <t>kW</t>
    </r>
  </si>
  <si>
    <r>
      <t>装备台账</t>
    </r>
  </si>
  <si>
    <r>
      <t>手工录入（增量更新）</t>
    </r>
  </si>
  <si>
    <r>
      <t>增量更新</t>
    </r>
  </si>
  <si>
    <r>
      <t>IND-009</t>
    </r>
  </si>
  <si>
    <r>
      <t>≥0 且 ≤ 纳入统计范围装备累计额定总功率</t>
    </r>
  </si>
  <si>
    <r>
      <t>电动机、变压器、工业锅炉、风机、空压机、制冷设备、热泵等</t>
    </r>
  </si>
  <si>
    <r>
      <t>EQ-002</t>
    </r>
  </si>
  <si>
    <r>
      <t>纳入统计范围装备累计额定总功率</t>
    </r>
  </si>
  <si>
    <r>
      <t>Ets</t>
    </r>
  </si>
  <si>
    <r>
      <t>具有适用能效强制性国家标准的装备累计额定总功率；无适用标准的装备不纳入统计</t>
    </r>
  </si>
  <si>
    <r>
      <t>EQ-003</t>
    </r>
  </si>
  <si>
    <r>
      <t>节能装备明细</t>
    </r>
  </si>
  <si>
    <r>
      <t>节能装备逐台台账（名称、型号、额定功率、能效等级、投运日期等）</t>
    </r>
  </si>
  <si>
    <r>
      <t>关键字段非空</t>
    </r>
  </si>
  <si>
    <r>
      <t>支撑 Res 的计算与追溯</t>
    </r>
  </si>
  <si>
    <r>
      <t>EQ-004</t>
    </r>
  </si>
  <si>
    <r>
      <t>装备台账明细</t>
    </r>
  </si>
  <si>
    <r>
      <t>企业全部装备逐台台账（含能效标准适用性判定）</t>
    </r>
  </si>
  <si>
    <r>
      <t>支撑 Ets 的计算与追溯</t>
    </r>
  </si>
  <si>
    <r>
      <t>FAC-001</t>
    </r>
  </si>
  <si>
    <r>
      <t>电力折标准煤系数（当量值）</t>
    </r>
  </si>
  <si>
    <r>
      <t>电力按当量值折算标准煤的系数，用于综合能源消费量计算</t>
    </r>
  </si>
  <si>
    <r>
      <t>kgce/kWh</t>
    </r>
  </si>
  <si>
    <r>
      <t>0.1229</t>
    </r>
  </si>
  <si>
    <r>
      <t>依据 GB/T 2589；核算综合能源消费量时使用</t>
    </r>
  </si>
  <si>
    <r>
      <t>FAC-002</t>
    </r>
  </si>
  <si>
    <r>
      <t>电力折标准煤系数（等价值）</t>
    </r>
  </si>
  <si>
    <r>
      <t>电力按等价值折算标准煤的系数；优先使用所在省平均发电煤耗，无法获取时取 0.2856</t>
    </r>
  </si>
  <si>
    <r>
      <t>0.2856（缺省）</t>
    </r>
  </si>
  <si>
    <r>
      <t>IND-005</t>
    </r>
  </si>
  <si>
    <r>
      <t>用于单位能耗碳排放分母折标</t>
    </r>
  </si>
  <si>
    <r>
      <t>FAC-003</t>
    </r>
  </si>
  <si>
    <r>
      <t>天然气折标准煤系数</t>
    </r>
  </si>
  <si>
    <r>
      <t>天然气折算标准煤系数</t>
    </r>
  </si>
  <si>
    <r>
      <t>kgce/m³</t>
    </r>
  </si>
  <si>
    <r>
      <t>1.3300</t>
    </r>
  </si>
  <si>
    <r>
      <t>GB/T 2589 参考值，以电装维护值为准</t>
    </r>
  </si>
  <si>
    <r>
      <t>FAC-004</t>
    </r>
  </si>
  <si>
    <r>
      <t>蒸汽折标准煤系数</t>
    </r>
  </si>
  <si>
    <r>
      <t>蒸汽按热焓折算标准煤的系数（随蒸汽压力 / 温度变化）</t>
    </r>
  </si>
  <si>
    <r>
      <t>kgce/t</t>
    </r>
  </si>
  <si>
    <r>
      <t>按蒸汽热焓计算</t>
    </r>
  </si>
  <si>
    <r>
      <t>建议按压力 / 温度分档维护</t>
    </r>
  </si>
  <si>
    <r>
      <t>FAC-005</t>
    </r>
  </si>
  <si>
    <r>
      <t>热力折标准煤系数</t>
    </r>
  </si>
  <si>
    <r>
      <t>热力折算标准煤系数</t>
    </r>
  </si>
  <si>
    <r>
      <t>kgce/GJ</t>
    </r>
  </si>
  <si>
    <r>
      <t>34.12</t>
    </r>
  </si>
  <si>
    <r>
      <t>即 0.03412 kgce/MJ</t>
    </r>
  </si>
  <si>
    <r>
      <t>FAC-006</t>
    </r>
  </si>
  <si>
    <r>
      <t>柴油折标准煤系数</t>
    </r>
  </si>
  <si>
    <r>
      <t>柴油折算标准煤系数</t>
    </r>
  </si>
  <si>
    <r>
      <t>kgce/kg</t>
    </r>
  </si>
  <si>
    <r>
      <t>1.4571</t>
    </r>
  </si>
  <si>
    <r>
      <t>GB/T 2589 参考值</t>
    </r>
  </si>
  <si>
    <r>
      <t>FAC-007</t>
    </r>
  </si>
  <si>
    <r>
      <t>汽油折标准煤系数</t>
    </r>
  </si>
  <si>
    <r>
      <t>汽油折算标准煤系数</t>
    </r>
  </si>
  <si>
    <r>
      <t>1.4714</t>
    </r>
  </si>
  <si>
    <r>
      <t>FAC-008</t>
    </r>
  </si>
  <si>
    <r>
      <t>煤油折标准煤系数</t>
    </r>
  </si>
  <si>
    <r>
      <t>煤油折算标准煤系数</t>
    </r>
  </si>
  <si>
    <r>
      <t>FAC-009</t>
    </r>
  </si>
  <si>
    <r>
      <t>电力二氧化碳排放因子</t>
    </r>
  </si>
  <si>
    <r>
      <t>省级电网平均二氧化碳排放因子，用于购入电力碳排放核算</t>
    </r>
  </si>
  <si>
    <r>
      <t>tCO2/MWh</t>
    </r>
  </si>
  <si>
    <r>
      <t>按所在省最新公布值</t>
    </r>
  </si>
  <si>
    <r>
      <t>IND-004、IND-001</t>
    </r>
  </si>
  <si>
    <r>
      <t>取省级电力平均二氧化碳排放因子</t>
    </r>
  </si>
  <si>
    <r>
      <t>FAC-010</t>
    </r>
  </si>
  <si>
    <r>
      <t>化石燃料单位热值含碳量</t>
    </r>
  </si>
  <si>
    <r>
      <t>各化石燃料的单位热值含碳量，用于燃烧排放核算</t>
    </r>
  </si>
  <si>
    <r>
      <t>tC/GJ</t>
    </r>
  </si>
  <si>
    <r>
      <t>按燃料品种</t>
    </r>
  </si>
  <si>
    <r>
      <t>依据国家温室气体核算指南</t>
    </r>
  </si>
  <si>
    <r>
      <t>FAC-011</t>
    </r>
  </si>
  <si>
    <r>
      <t>化石燃料低位发热量</t>
    </r>
  </si>
  <si>
    <r>
      <t>各化石燃料的低位发热量</t>
    </r>
  </si>
  <si>
    <r>
      <t>GJ/t 或 GJ/万m³</t>
    </r>
  </si>
  <si>
    <r>
      <t>FAC-012</t>
    </r>
  </si>
  <si>
    <r>
      <t>化石燃料碳氧化率</t>
    </r>
  </si>
  <si>
    <r>
      <t>各化石燃料燃烧的碳氧化率</t>
    </r>
  </si>
  <si>
    <r>
      <t>%</t>
    </r>
  </si>
  <si>
    <r>
      <t>0~100</t>
    </r>
  </si>
  <si>
    <r>
      <t>按燃料品种（常用 98%）</t>
    </r>
  </si>
  <si>
    <r>
      <t>FAC-013</t>
    </r>
  </si>
  <si>
    <r>
      <t>热力二氧化碳排放因子</t>
    </r>
  </si>
  <si>
    <r>
      <t>购入热力对应的二氧化碳排放因子</t>
    </r>
  </si>
  <si>
    <r>
      <t>tCO2/GJ</t>
    </r>
  </si>
  <si>
    <r>
      <t>按供热来源</t>
    </r>
  </si>
  <si>
    <r>
      <t>EN-030</t>
    </r>
  </si>
  <si>
    <r>
      <t>液氮消费量</t>
    </r>
  </si>
  <si>
    <r>
      <t>实测值</t>
    </r>
  </si>
  <si>
    <r>
      <t>工厂当期外购液氮的消耗量（氮气由空分装置生产，其生产能耗应计入工厂综合能耗）</t>
    </r>
  </si>
  <si>
    <r>
      <t>≥ 0</t>
    </r>
  </si>
  <si>
    <r>
      <t>集控中心（双中心系统界面手动录入）</t>
    </r>
  </si>
  <si>
    <r>
      <t>集控中心录入界面.液氮消耗量</t>
    </r>
  </si>
  <si>
    <r>
      <t>各项目公司能源管理岗</t>
    </r>
  </si>
  <si>
    <r>
      <t>≥ 0；折算综合能源消费量时须使用 FAC 系数的液氮折标煤系数（见备注）</t>
    </r>
  </si>
  <si>
    <r>
      <t>【清单来源】数据需求清单9.16 第 63 项，原文备注「只有鲁缆有，需要算入能耗」。原 V1.0 参数表未覆盖该项，本版补齐。折标煤系数建议按对应氮气生产电耗折算，即 液氮折标煤系数 = 制氮电耗（kWh/t）× FAC-001 ÷ 1000，首次取值需由电装确认后登记为 FAC-014。</t>
    </r>
  </si>
  <si>
    <r>
      <t>EN-031</t>
    </r>
  </si>
  <si>
    <r>
      <t>外购蒸汽量</t>
    </r>
  </si>
  <si>
    <r>
      <t>工厂从外部采购的蒸汽量（自产蒸汽不纳入本口径）</t>
    </r>
  </si>
  <si>
    <r>
      <t>集控中心（项目公司能碳系统接入）</t>
    </r>
  </si>
  <si>
    <r>
      <t>能源管理系统.外购蒸汽计量表</t>
    </r>
  </si>
  <si>
    <r>
      <t>日</t>
    </r>
  </si>
  <si>
    <r>
      <t>≥ 0；≤ EN-007 蒸汽消费量（质量）</t>
    </r>
  </si>
  <si>
    <r>
      <t>【清单来源】数据需求清单9.16 第 61 项，原文备注「自己产的不纳入统计范围」。口径说明：EN-007 为工厂蒸汽消费总量（含外购与自产），本项为其中外购部分。核算综合能源消费量时，外购蒸汽按 EN-031 计入（避免与自产蒸汽所用燃料重复计算），自产蒸汽仅在其耗用的燃料已计入时不再重复计入。</t>
    </r>
  </si>
  <si>
    <r>
      <t>EN-032</t>
    </r>
  </si>
  <si>
    <r>
      <t>油品消费量（合计）</t>
    </r>
  </si>
  <si>
    <r>
      <t>工厂当期消耗的各类油品（柴油 / 汽油 / 煤油等）合计实物量，按体积计量</t>
    </r>
  </si>
  <si>
    <r>
      <t>L</t>
    </r>
  </si>
  <si>
    <r>
      <t>集控中心录入界面.油品消耗量</t>
    </r>
  </si>
  <si>
    <r>
      <t>＝ EN-010 柴油 + EN-011 汽油 + EN-012 煤油（按体积折算合计）；与按「t」计量的品种须经 FAC-015~017 密度系数换算，避免重复计量。</t>
    </r>
  </si>
  <si>
    <r>
      <t>≥ 0；质量(t) = 体积(L) × 密度(t/m³) ÷ 1000，密度取值见备注</t>
    </r>
  </si>
  <si>
    <r>
      <t>【清单来源】数据需求清单9.16 第 62 项「油消耗量（油、煤油、汽油）| L」。单位口径差异：【重要】清单按「L」统计，而 V1.0 参数表 EN-010 柴油 / EN-011 汽油 / EN-012 煤油 均按「t」统计。开发须二选一作为主口径：若按 L 采集，则 EN-010~012 由本项按密度拆分换算（柴油 0.84、汽油 0.74、煤油 0.80 t/m³）；本项为合计值，仅用于总量监控，分品种用量与折标煤计算仍以 EN-010~012 为准。</t>
    </r>
  </si>
  <si>
    <r>
      <t>FAC-014</t>
    </r>
  </si>
  <si>
    <r>
      <t>液氮折标准煤系数</t>
    </r>
  </si>
  <si>
    <r>
      <t>液氮按生产电耗折算的标准煤系数，用于将 EN-030 液氮消费量计入综合能源消费量</t>
    </r>
  </si>
  <si>
    <r>
      <t>&gt; 0，典型值 100 ~ 200</t>
    </r>
  </si>
  <si>
    <r>
      <t>集控中心.计算系数表.液氮折标煤系数</t>
    </r>
  </si>
  <si>
    <r>
      <t>电装集控中心</t>
    </r>
  </si>
  <si>
    <r>
      <t>&gt; 0；= 制氮电耗（kWh/t）× FAC-001 ÷ 1000</t>
    </r>
  </si>
  <si>
    <r>
      <t>【新增系数】V1.0 参数表缺项。参考算法：空分制氮电耗约 0.4~0.6 kWh/Nm³，液氮气化比约 640 Nm³/t，折电耗约 300~400 kWh/t，对应折标煤 30~50 kgce/t（当量值）。正式取值须由电装确认后录入。</t>
    </r>
  </si>
  <si>
    <r>
      <t>FAC-015</t>
    </r>
  </si>
  <si>
    <r>
      <t>柴油密度系数</t>
    </r>
  </si>
  <si>
    <r>
      <t>柴油的体积-质量换算密度，用于将按升（L）采集的油品量换算为按吨（t）统计</t>
    </r>
  </si>
  <si>
    <r>
      <t>t/m³</t>
    </r>
  </si>
  <si>
    <r>
      <t>0.6 ~ 1.0</t>
    </r>
  </si>
  <si>
    <r>
      <t>0.84</t>
    </r>
  </si>
  <si>
    <r>
      <t>集控中心.计算系数表.柴油密度</t>
    </r>
  </si>
  <si>
    <r>
      <t>0.6 ≤ 密度 ≤ 1.0；质量(t) = 体积(L) × 密度 ÷ 1000</t>
    </r>
  </si>
  <si>
    <r>
      <t>【新增系数】V1.0 参数表缺项。用于消除「EN-032 油品消费量（L）」与「EN-010 工厂级 柴油消费量（t）」之间的单位口径差异，对应 EN-010。缺省值取行业常温典型值，正式取值由电装确认。</t>
    </r>
  </si>
  <si>
    <r>
      <t>FAC-016</t>
    </r>
  </si>
  <si>
    <r>
      <t>汽油密度系数</t>
    </r>
  </si>
  <si>
    <r>
      <t>汽油的体积-质量换算密度，用于将按升（L）采集的油品量换算为按吨（t）统计</t>
    </r>
  </si>
  <si>
    <r>
      <t>0.74</t>
    </r>
  </si>
  <si>
    <r>
      <t>集控中心.计算系数表.汽油密度</t>
    </r>
  </si>
  <si>
    <r>
      <t>【新增系数】V1.0 参数表缺项。用于消除「EN-032 油品消费量（L）」与「EN-011 工厂级 汽油消费量（t）」之间的单位口径差异，对应 EN-011。缺省值取行业常温典型值，正式取值由电装确认。</t>
    </r>
  </si>
  <si>
    <r>
      <t>FAC-017</t>
    </r>
  </si>
  <si>
    <r>
      <t>煤油密度系数</t>
    </r>
  </si>
  <si>
    <r>
      <t>煤油的体积-质量换算密度，用于将按升（L）采集的油品量换算为按吨（t）统计</t>
    </r>
  </si>
  <si>
    <r>
      <t>0.80</t>
    </r>
  </si>
  <si>
    <r>
      <t>集控中心.计算系数表.煤油密度</t>
    </r>
  </si>
  <si>
    <r>
      <t>【新增系数】V1.0 参数表缺项。用于消除「EN-032 油品消费量（L）」与「EN-012 工厂级 煤油消费量（t）」之间的单位口径差异，对应 EN-012。缺省值取行业常温典型值，正式取值由电装确认。</t>
    </r>
  </si>
  <si>
    <r>
      <t>ZP-001</t>
    </r>
  </si>
  <si>
    <r>
      <t>光伏装机量</t>
    </r>
  </si>
  <si>
    <r>
      <t>静态台账</t>
    </r>
  </si>
  <si>
    <r>
      <t>园区基础配置</t>
    </r>
  </si>
  <si>
    <r>
      <t>园区 / 工厂已建光伏（或风光）电站的直流侧装机容量合计，是零碳园区新能源占比、绿电消纳与自平衡能力分析的基础输入</t>
    </r>
  </si>
  <si>
    <r>
      <t>MW</t>
    </r>
  </si>
  <si>
    <r>
      <t>&gt; 0</t>
    </r>
  </si>
  <si>
    <r>
      <t>集控中心.园区配置信息.光伏装机容量</t>
    </r>
  </si>
  <si>
    <r>
      <t>静态（变更时更新）</t>
    </r>
  </si>
  <si>
    <r>
      <t>各项目公司综合管理岗</t>
    </r>
  </si>
  <si>
    <r>
      <t>&gt; 0；须与新能源设备台账逐站核对；MW 保留 3 位小数</t>
    </r>
  </si>
  <si>
    <r>
      <t>【清单来源】数据需求清单9.16 第 1 项。数据对象＝园区 / 工厂；多家工厂共处一个园区时按园区整体填报。用途＝大屏展示。8.27 版原获取方式为「系统接入」，9.16 版调整为「界面手动录入」，开发以 9.16 为准。</t>
    </r>
  </si>
  <si>
    <r>
      <t>ZP-002</t>
    </r>
  </si>
  <si>
    <r>
      <t>变压器容量</t>
    </r>
  </si>
  <si>
    <r>
      <t>园区 / 工厂主变压器铭牌容量合计，用于供电能力、负荷率与容载比分析</t>
    </r>
  </si>
  <si>
    <r>
      <t>MVA</t>
    </r>
  </si>
  <si>
    <r>
      <t>集控中心.园区配置信息.变压器容量</t>
    </r>
  </si>
  <si>
    <r>
      <t>&gt; 0；须与电气设备台账一致</t>
    </r>
  </si>
  <si>
    <r>
      <t>【清单来源】数据需求清单9.16 第 2 项。数据对象＝园区 / 工厂；多家工厂共处一个园区时按园区整体填报。本项为园区供电能力参数，与「EQ-004 装备台账明细」中的变压器台账为不同用途，后者服务于能效统计。</t>
    </r>
  </si>
  <si>
    <r>
      <t>ZP-003</t>
    </r>
  </si>
  <si>
    <r>
      <t>储能装机功率</t>
    </r>
  </si>
  <si>
    <r>
      <t>园区 / 工厂已建储能电站的额定充放电功率（PCS 铭牌功率）合计</t>
    </r>
  </si>
  <si>
    <r>
      <t>集控中心.园区配置信息.储能装机功率</t>
    </r>
  </si>
  <si>
    <r>
      <t>&gt; 0；须与储能系统台账一致</t>
    </r>
  </si>
  <si>
    <r>
      <t>【最小颗粒度拆分】清单原文第 3 项为「储能装机容量（MW/MWh）」复合单位，已按最小颗粒度拆为「ZP-003 储能装机功率（MW）」与「ZP-004 储能装机容量（MWh）」两条，开发分别建字段。</t>
    </r>
  </si>
  <si>
    <r>
      <t>ZP-004</t>
    </r>
  </si>
  <si>
    <r>
      <t>储能装机容量</t>
    </r>
  </si>
  <si>
    <r>
      <t>园区 / 工厂已建储能电站的额定存储电量（电池簇铭牌能量）合计</t>
    </r>
  </si>
  <si>
    <r>
      <t>集控中心.园区配置信息.储能装机容量</t>
    </r>
  </si>
  <si>
    <r>
      <t>&gt; 0；一般应满足 装机容量(MWh) ≈ 装机功率(MW) × 储能时长(h)</t>
    </r>
  </si>
  <si>
    <r>
      <t>【最小颗粒度拆分】与 ZP-003 成对使用，见 ZP-003 备注。</t>
    </r>
  </si>
  <si>
    <r>
      <t>ZP-005</t>
    </r>
  </si>
  <si>
    <r>
      <t>园区 / 工厂照片</t>
    </r>
  </si>
  <si>
    <r>
      <t>园区或工厂的实景照片附件，用于大屏展示与集团形象页</t>
    </r>
  </si>
  <si>
    <r>
      <t>附件（图片 / 文档）</t>
    </r>
  </si>
  <si>
    <r>
      <t>集控中心.园区配置信息.照片附件</t>
    </r>
  </si>
  <si>
    <r>
      <t>支持 jpg / png；单张 ≤ 10 MB；建议 ≥ 1920×1080</t>
    </r>
  </si>
  <si>
    <r>
      <t>【清单来源】数据需求清单9.16 第 4 项。非数值型，不参与任何指标计算，仅作展示资源管理。</t>
    </r>
  </si>
  <si>
    <r>
      <t>ZP-006</t>
    </r>
  </si>
  <si>
    <r>
      <t>零碳项目基本信息</t>
    </r>
  </si>
  <si>
    <r>
      <t>零碳项目（光伏、储能、绿电交易、碳足迹系统上线等）的项目名称、建设内容、投运时间、投资额、减排效果等描述性信息，含配套照片</t>
    </r>
  </si>
  <si>
    <r>
      <t>集控中心.零碳项目信息表</t>
    </r>
  </si>
  <si>
    <r>
      <t>项目名称非空；投运时间 ≤ 当前日期；增量更新</t>
    </r>
  </si>
  <si>
    <r>
      <t>【清单来源】数据需求清单9.16 第 5 项。用途＝大屏展示、零碳项目评估。建议拆为结构化子字段（项目名称 / 建设内容 / 投运时间 / 容量 / 投资额），当前按一条复合记录管理。</t>
    </r>
  </si>
  <si>
    <r>
      <t>ZP-007</t>
    </r>
  </si>
  <si>
    <r>
      <t>零碳关键事件</t>
    </r>
  </si>
  <si>
    <r>
      <t>园区 / 工厂零碳进程中的里程碑事件及其发生时间，如光伏并网、储能并网、碳足迹系统上线、零碳工厂申报、零碳工厂认证等</t>
    </r>
  </si>
  <si>
    <r>
      <t>见「07-枚举字典」ZC-01</t>
    </r>
  </si>
  <si>
    <r>
      <t>集控中心.零碳关键事件表</t>
    </r>
  </si>
  <si>
    <r>
      <t>事件类型须在枚举内；事件时间非空且 ≤ 当前日期</t>
    </r>
  </si>
  <si>
    <r>
      <t>【清单来源】数据需求清单V1.0 (8.27) 第 5 项。9.16 版已删除该项，但零碳工厂申报与认证是集团级考核时点，故保留并按「事件类型 + 事件时间」建项，供大屏时间轴使用。</t>
    </r>
  </si>
  <si>
    <r>
      <t>NE-001</t>
    </r>
  </si>
  <si>
    <r>
      <t>累计发电量（表底值）</t>
    </r>
  </si>
  <si>
    <r>
      <t>新能源与储能</t>
    </r>
  </si>
  <si>
    <r>
      <t>光伏 / 新能源电站关口电能表的累计正向有功电量示数（表底值，非本期间发电量）</t>
    </r>
  </si>
  <si>
    <r>
      <t>能源管理系统.新能源关口表.累计发电量</t>
    </r>
  </si>
  <si>
    <r>
      <t>实时（15 分钟）</t>
    </r>
  </si>
  <si>
    <r>
      <t>非负、单调不减（换表除外）；期间发电量 = 期末表底 − 期初表底</t>
    </r>
  </si>
  <si>
    <r>
      <t>【清单来源】数据需求清单9.16 第 6 项。用途＝大屏展示、集中监管、能效分析。口径为累计表底值，开发须同时留存储值快照时间，以便按日 / 月差分。</t>
    </r>
  </si>
  <si>
    <r>
      <t>NE-002</t>
    </r>
  </si>
  <si>
    <r>
      <t>累计消纳电量</t>
    </r>
  </si>
  <si>
    <r>
      <t>新能源发电量中在园区 / 工厂内部就地消纳（未上网）的累计电量</t>
    </r>
  </si>
  <si>
    <r>
      <t>能源管理系统.新能源并网点.累计消纳电量</t>
    </r>
  </si>
  <si>
    <r>
      <t>≥ 0；应满足 累计消纳电量 ≤ 累计发电量</t>
    </r>
  </si>
  <si>
    <r>
      <t>【清单来源】数据需求清单9.16 第 8 项。为绿电消费量的物理认定依据之一，与 EN-005 非化石能源电力消费物理认定量相关。</t>
    </r>
  </si>
  <si>
    <r>
      <t>NE-003</t>
    </r>
  </si>
  <si>
    <r>
      <t>累计上网电量（表底值）</t>
    </r>
  </si>
  <si>
    <r>
      <t>新能源电站向电网输送的累计上网电量（反向有功电量表底值）</t>
    </r>
  </si>
  <si>
    <r>
      <t>能源管理系统.新能源关口表.累计上网电量</t>
    </r>
  </si>
  <si>
    <r>
      <t>≥ 0；应满足 累计上网电量 + 累计消纳电量 ≈ 累计发电量（线损允许偏差）</t>
    </r>
  </si>
  <si>
    <r>
      <t>【清单来源】数据需求清单9.16 第 9 项。与 RV-001 绿电上网收益互为量价关系，可用于收益合理性校验。</t>
    </r>
  </si>
  <si>
    <r>
      <t>NE-004</t>
    </r>
  </si>
  <si>
    <r>
      <t>新能源发电功率</t>
    </r>
  </si>
  <si>
    <r>
      <t>光伏 / 新能源电站的实时有功输出功率（瞬时值）</t>
    </r>
  </si>
  <si>
    <r>
      <t>能源管理系统.新能源关口表.有功功率</t>
    </r>
  </si>
  <si>
    <r>
      <t>≥ 0；≤ ZP-001 装机量 × 1000 × 容配比上限</t>
    </r>
  </si>
  <si>
    <r>
      <t>【清单来源】数据需求清单9.16 第 20 项。实时曲线类数据，建议按时序库存储，保留 5 年。</t>
    </r>
  </si>
  <si>
    <r>
      <t>NE-005</t>
    </r>
  </si>
  <si>
    <r>
      <t>储能充电量（表底值）</t>
    </r>
  </si>
  <si>
    <r>
      <t>储能系统充电侧的累计充电电量表底值</t>
    </r>
  </si>
  <si>
    <r>
      <t>能源管理系统.储能系统.累计充电电量</t>
    </r>
  </si>
  <si>
    <r>
      <t>非负、单调不减</t>
    </r>
  </si>
  <si>
    <r>
      <t>【清单来源】数据需求清单9.16 第 24 项。为储能往返效率与收益测算的输入。</t>
    </r>
  </si>
  <si>
    <r>
      <t>NE-006</t>
    </r>
  </si>
  <si>
    <r>
      <t>储能放电量（表底值）</t>
    </r>
  </si>
  <si>
    <r>
      <t>储能系统放电侧的累计放电电量表底值</t>
    </r>
  </si>
  <si>
    <r>
      <t>能源管理系统.储能系统.累计放电电量</t>
    </r>
  </si>
  <si>
    <r>
      <t>非负、单调不减；往返效率 = 放电量 ÷ 充电量，一般应在 80%~95%</t>
    </r>
  </si>
  <si>
    <r>
      <t>【清单来源】数据需求清单9.16 第 25 项。</t>
    </r>
  </si>
  <si>
    <r>
      <t>NE-007</t>
    </r>
  </si>
  <si>
    <r>
      <t>储能充电功率</t>
    </r>
  </si>
  <si>
    <r>
      <t>储能系统充电工况下的实时有功功率（正向）</t>
    </r>
  </si>
  <si>
    <r>
      <t>能源管理系统.储能系统.PCS 有功功率（充电方向）</t>
    </r>
  </si>
  <si>
    <r>
      <t>≥ 0；≤ ZP-003 装机功率 × 1000</t>
    </r>
  </si>
  <si>
    <r>
      <t>【最小颗粒度拆分】清单原文第 23 项为「储能充放电功率（kW）」单一测点（以符号区分方向），已按最小颗粒度拆为「NE-007 储能充电功率」与「NE-008 储能放电功率」，避免开发侧因符号约定不一致导致取数错误。</t>
    </r>
  </si>
  <si>
    <r>
      <t>NE-008</t>
    </r>
  </si>
  <si>
    <r>
      <t>储能放电功率</t>
    </r>
  </si>
  <si>
    <r>
      <t>储能系统放电工况下的实时有功功率（反向，取绝对值）</t>
    </r>
  </si>
  <si>
    <r>
      <t>能源管理系统.储能系统.PCS 有功功率（放电方向）</t>
    </r>
  </si>
  <si>
    <r>
      <t>≥ 0；≤ ZP-003 装机功率 × 1000；同一时刻 NE-007 与 NE-008 不可同时大于 0</t>
    </r>
  </si>
  <si>
    <r>
      <t>【最小颗粒度拆分】见 NE-007 备注。</t>
    </r>
  </si>
  <si>
    <r>
      <t>NE-009</t>
    </r>
  </si>
  <si>
    <r>
      <t>储能系统 SOC</t>
    </r>
  </si>
  <si>
    <r>
      <t>储能电池系统的荷电状态（State of Charge），即剩余电量占额定容量的百分比</t>
    </r>
  </si>
  <si>
    <r>
      <t>百分比</t>
    </r>
  </si>
  <si>
    <r>
      <t>1</t>
    </r>
  </si>
  <si>
    <r>
      <t>0 ~ 100</t>
    </r>
  </si>
  <si>
    <r>
      <t>能源管理系统.储能 EMS.SOC</t>
    </r>
  </si>
  <si>
    <r>
      <t>0 ≤ SOC ≤ 100；一般运行区间 10%~90%</t>
    </r>
  </si>
  <si>
    <r>
      <t>【清单来源】数据需求清单9.16 第 26 项。</t>
    </r>
  </si>
  <si>
    <r>
      <t>NE-010</t>
    </r>
  </si>
  <si>
    <r>
      <t>储能系统运行状态</t>
    </r>
  </si>
  <si>
    <r>
      <t>储能系统的当前工况状态：充电 / 放电 / 待机</t>
    </r>
  </si>
  <si>
    <r>
      <t>见「07-枚举字典」ZC-02</t>
    </r>
  </si>
  <si>
    <r>
      <t>能源管理系统.储能 EMS.运行状态</t>
    </r>
  </si>
  <si>
    <r>
      <t>取值须在枚举内；与 NE-007 / NE-008 功率方向一致</t>
    </r>
  </si>
  <si>
    <r>
      <t>【清单来源】数据需求清单9.16 第 27 项。</t>
    </r>
  </si>
  <si>
    <r>
      <t>NE-011</t>
    </r>
  </si>
  <si>
    <r>
      <t>储能日充尖电量</t>
    </r>
  </si>
  <si>
    <r>
      <t>储能系统在电网尖峰时段的当日累计充电电量</t>
    </r>
  </si>
  <si>
    <r>
      <t>能源管理系统.储能 EMS.日充尖电量</t>
    </r>
  </si>
  <si>
    <r>
      <t>≥ 0；Σ(尖+峰+平+谷+深谷) 日充电量 应 ≈ NE-005 当日增量</t>
    </r>
  </si>
  <si>
    <r>
      <t>【清单来源】数据需求清单V1.0 (8.27) 第 24 项附表。9.16 版已删除该组，但储能分时充放电量是峰谷价差收益测算与分时策略优化的直接依据，故保留。分时时段划分见「07-枚举字典」ZC-03。</t>
    </r>
  </si>
  <si>
    <r>
      <t>NE-012</t>
    </r>
  </si>
  <si>
    <r>
      <t>储能日充峰电量</t>
    </r>
  </si>
  <si>
    <r>
      <t>储能系统在电网高峰时段的当日累计充电电量</t>
    </r>
  </si>
  <si>
    <r>
      <t>能源管理系统.储能 EMS.日充峰电量</t>
    </r>
  </si>
  <si>
    <r>
      <t>NE-013</t>
    </r>
  </si>
  <si>
    <r>
      <t>储能日充平电量</t>
    </r>
  </si>
  <si>
    <r>
      <t>储能系统在电网平段时段的当日累计充电电量</t>
    </r>
  </si>
  <si>
    <r>
      <t>能源管理系统.储能 EMS.日充平电量</t>
    </r>
  </si>
  <si>
    <r>
      <t>NE-014</t>
    </r>
  </si>
  <si>
    <r>
      <t>储能日充谷电量</t>
    </r>
  </si>
  <si>
    <r>
      <t>储能系统在电网低谷时段的当日累计充电电量</t>
    </r>
  </si>
  <si>
    <r>
      <t>能源管理系统.储能 EMS.日充谷电量</t>
    </r>
  </si>
  <si>
    <r>
      <t>NE-015</t>
    </r>
  </si>
  <si>
    <r>
      <t>储能日充深谷电量</t>
    </r>
  </si>
  <si>
    <r>
      <t>储能系统在电网深谷时段的当日累计充电电量</t>
    </r>
  </si>
  <si>
    <r>
      <t>能源管理系统.储能 EMS.日充深谷电量</t>
    </r>
  </si>
  <si>
    <r>
      <t>NE-016</t>
    </r>
  </si>
  <si>
    <r>
      <t>储能日放尖电量</t>
    </r>
  </si>
  <si>
    <r>
      <t>储能系统在电网尖峰时段的当日累计放电电量</t>
    </r>
  </si>
  <si>
    <r>
      <t>能源管理系统.储能 EMS.日放尖电量</t>
    </r>
  </si>
  <si>
    <r>
      <t>≥ 0；Σ(尖+峰+平+谷+深谷) 日放电量 应 ≈ NE-006 当日增量</t>
    </r>
  </si>
  <si>
    <r>
      <t>【清单来源】数据需求清单V1.0 (8.27) 第 24 项附表。见 NE-011 备注。</t>
    </r>
  </si>
  <si>
    <r>
      <t>NE-017</t>
    </r>
  </si>
  <si>
    <r>
      <t>储能日放峰电量</t>
    </r>
  </si>
  <si>
    <r>
      <t>储能系统在电网高峰时段的当日累计放电电量</t>
    </r>
  </si>
  <si>
    <r>
      <t>能源管理系统.储能 EMS.日放峰电量</t>
    </r>
  </si>
  <si>
    <r>
      <t>NE-018</t>
    </r>
  </si>
  <si>
    <r>
      <t>储能日放平电量</t>
    </r>
  </si>
  <si>
    <r>
      <t>储能系统在电网平段时段的当日累计放电电量</t>
    </r>
  </si>
  <si>
    <r>
      <t>能源管理系统.储能 EMS.日放平电量</t>
    </r>
  </si>
  <si>
    <r>
      <t>NE-019</t>
    </r>
  </si>
  <si>
    <r>
      <t>储能日放谷电量</t>
    </r>
  </si>
  <si>
    <r>
      <t>储能系统在电网低谷时段的当日累计放电电量</t>
    </r>
  </si>
  <si>
    <r>
      <t>能源管理系统.储能 EMS.日放谷电量</t>
    </r>
  </si>
  <si>
    <r>
      <t>NE-020</t>
    </r>
  </si>
  <si>
    <r>
      <t>储能日放深谷电量</t>
    </r>
  </si>
  <si>
    <r>
      <t>储能系统在电网深谷时段的当日累计放电电量</t>
    </r>
  </si>
  <si>
    <r>
      <t>能源管理系统.储能 EMS.日放深谷电量</t>
    </r>
  </si>
  <si>
    <r>
      <t>LD-001</t>
    </r>
  </si>
  <si>
    <r>
      <t>累计市电电量（表底值）</t>
    </r>
  </si>
  <si>
    <r>
      <t>园区负荷</t>
    </r>
  </si>
  <si>
    <r>
      <t>园区 / 工厂与电网关口计量点的累计受电电量（正向有功表底值）</t>
    </r>
  </si>
  <si>
    <r>
      <t>能源管理系统.关口表.累计正向有功电量</t>
    </r>
  </si>
  <si>
    <r>
      <t>非负、单调不减；与 EN-002 市电消费量（kWh）为同一物理量，1 MWh = 1000 kWh</t>
    </r>
  </si>
  <si>
    <r>
      <t>【清单来源】数据需求清单9.16 第 7 项。与「EN-002 市电消费量」为同一数据的两个单位口径，开发建议统一以 kWh 存储（EN-002），本项仅用于大屏按 MWh 展示。</t>
    </r>
  </si>
  <si>
    <r>
      <t>LD-002</t>
    </r>
  </si>
  <si>
    <r>
      <t>累计负荷用电量（表底值）</t>
    </r>
  </si>
  <si>
    <r>
      <t>园区 / 工厂总负荷侧（含新能源自用与市电）的累计用电量表底值</t>
    </r>
  </si>
  <si>
    <r>
      <t>能源管理系统.总负荷计量点.累计用电量</t>
    </r>
  </si>
  <si>
    <r>
      <t>≥ 0；应满足 累计负荷用电量 ≈ 累计市电电量 + 累计消纳电量 − 上网电量</t>
    </r>
  </si>
  <si>
    <r>
      <t>【清单来源】数据需求清单9.16 第 12 项。用于园区总用电平衡校验。</t>
    </r>
  </si>
  <si>
    <r>
      <t>LD-003</t>
    </r>
  </si>
  <si>
    <r>
      <t>总负荷功率</t>
    </r>
  </si>
  <si>
    <r>
      <t>园区 / 工厂总负荷的实时有功功率（瞬时值）</t>
    </r>
  </si>
  <si>
    <r>
      <t>能源管理系统.总负荷计量点.有功功率</t>
    </r>
  </si>
  <si>
    <r>
      <t>≥ 0；应满足 总负荷功率 ≈ 市电功率 + 新能源发电功率 − 上网功率 ± 储能功率</t>
    </r>
  </si>
  <si>
    <r>
      <t>【清单来源】数据需求清单9.16 第 21 项。实时曲线类数据，用于大屏与需量预警。</t>
    </r>
  </si>
  <si>
    <r>
      <t>LD-004</t>
    </r>
  </si>
  <si>
    <r>
      <t>市电功率</t>
    </r>
  </si>
  <si>
    <r>
      <t>园区 / 工厂电网受电侧的实时有功功率（瞬时值）</t>
    </r>
  </si>
  <si>
    <r>
      <t>能源管理系统.关口表.有功功率</t>
    </r>
  </si>
  <si>
    <r>
      <t>≥ 0（倒送时按负值或另记上网功率）；≤ ZP-002 变压器容量 × 1000</t>
    </r>
  </si>
  <si>
    <r>
      <t>【清单来源】数据需求清单9.16 第 22 项。</t>
    </r>
  </si>
  <si>
    <r>
      <t>LD-005</t>
    </r>
  </si>
  <si>
    <r>
      <t>日负荷尖电量</t>
    </r>
  </si>
  <si>
    <r>
      <t>园区 / 工厂总负荷在电网尖峰时段的当日累计用电量</t>
    </r>
  </si>
  <si>
    <r>
      <t>能源管理系统.分时计量.日尖电量</t>
    </r>
  </si>
  <si>
    <r>
      <t>≥ 0；Σ(尖+峰+平+谷+深谷) 应 = LD-010</t>
    </r>
  </si>
  <si>
    <r>
      <t>【清单来源】数据需求清单9.16 第 15~19 项。分时时段划分见「07-枚举字典」ZC-03，用于分时电价成本分析、峰谷用电结构优化。</t>
    </r>
  </si>
  <si>
    <r>
      <t>LD-006</t>
    </r>
  </si>
  <si>
    <r>
      <t>日负荷峰电量</t>
    </r>
  </si>
  <si>
    <r>
      <t>园区 / 工厂总负荷在电网高峰时段的当日累计用电量</t>
    </r>
  </si>
  <si>
    <r>
      <t>能源管理系统.分时计量.日峰电量</t>
    </r>
  </si>
  <si>
    <r>
      <t>LD-007</t>
    </r>
  </si>
  <si>
    <r>
      <t>日负荷平电量</t>
    </r>
  </si>
  <si>
    <r>
      <t>园区 / 工厂总负荷在电网平段时段的当日累计用电量</t>
    </r>
  </si>
  <si>
    <r>
      <t>能源管理系统.分时计量.日平电量</t>
    </r>
  </si>
  <si>
    <r>
      <t>LD-008</t>
    </r>
  </si>
  <si>
    <r>
      <t>日负荷谷电量</t>
    </r>
  </si>
  <si>
    <r>
      <t>园区 / 工厂总负荷在电网低谷时段的当日累计用电量</t>
    </r>
  </si>
  <si>
    <r>
      <t>能源管理系统.分时计量.日谷电量</t>
    </r>
  </si>
  <si>
    <r>
      <t>LD-009</t>
    </r>
  </si>
  <si>
    <r>
      <t>日负荷深谷电量</t>
    </r>
  </si>
  <si>
    <r>
      <t>园区 / 工厂总负荷在电网深谷时段的当日累计用电量</t>
    </r>
  </si>
  <si>
    <r>
      <t>能源管理系统.分时计量.日深谷电量</t>
    </r>
  </si>
  <si>
    <r>
      <t>LD-010</t>
    </r>
  </si>
  <si>
    <r>
      <t>日负荷总电量</t>
    </r>
  </si>
  <si>
    <r>
      <t>计算值</t>
    </r>
  </si>
  <si>
    <r>
      <t>当日总负荷用电量，由五段分时电量加总得出</t>
    </r>
  </si>
  <si>
    <r>
      <t>＝ LD-005 + LD-006 + LD-007 + LD-008 + LD-009</t>
    </r>
  </si>
  <si>
    <r>
      <t>【计算字段】由分时电量加总，用于与 LD-002 的当日增量交叉校验，二者偏差应 ≤ 1%。</t>
    </r>
  </si>
  <si>
    <r>
      <t>GV-001</t>
    </r>
  </si>
  <si>
    <r>
      <t>购买绿电量</t>
    </r>
  </si>
  <si>
    <r>
      <t>绿色电力</t>
    </r>
  </si>
  <si>
    <r>
      <t>通过绿电交易 / 绿电直连方式购买的绿色电力电量（非自建新能源自发自用部分）</t>
    </r>
  </si>
  <si>
    <r>
      <t>集控中心.绿电绿证台账.购买绿电量</t>
    </r>
  </si>
  <si>
    <r>
      <t>≥ 0；须附绿电交易合同 / 结算凭证编号</t>
    </r>
  </si>
  <si>
    <r>
      <t>【清单来源】数据需求清单9.16 第 13 项。与「EN-003 绿电消费量（kWh）」为同一数据的不同单位口径（1 MWh = 1000 kWh），开发统一以 kWh 存储，本项供大屏按 MWh 展示。对应「EN-02 非化石能源电力来源」枚举中的「购买绿电」。</t>
    </r>
  </si>
  <si>
    <r>
      <t>GV-002</t>
    </r>
  </si>
  <si>
    <r>
      <t>购买绿证量</t>
    </r>
  </si>
  <si>
    <r>
      <t>通过绿证交易购买的绿色电力证书数量，1 个（张）绿证对应 1 MWh 可再生能源电量</t>
    </r>
  </si>
  <si>
    <r>
      <t>个（张）</t>
    </r>
  </si>
  <si>
    <r>
      <t>集控中心.绿电绿证台账.购买绿证量</t>
    </r>
  </si>
  <si>
    <r>
      <t>≥ 0；须附绿证核发 / 交易编号</t>
    </r>
  </si>
  <si>
    <r>
      <t>【清单来源】数据需求清单9.16 第 14 项。与「EN-004 绿证购入量」为同一数据；原 V1.0 将 EN-004 单位写作「张 / MWh」为复合口径，本版统一为「个（张）」计数，折电量 = 绿证个数 × 1 MWh，请勿与 GV-001 重复计入绿电消费量。</t>
    </r>
  </si>
  <si>
    <r>
      <t>RV-001</t>
    </r>
  </si>
  <si>
    <r>
      <t>绿电上网收益</t>
    </r>
  </si>
  <si>
    <r>
      <t>收益数据</t>
    </r>
  </si>
  <si>
    <r>
      <t>新能源发电量上网部分所取得的售电收入累计值</t>
    </r>
  </si>
  <si>
    <r>
      <t>能源管理系统 / 财务系统.绿电上网收益</t>
    </r>
  </si>
  <si>
    <r>
      <t>各项目公司财务岗</t>
    </r>
  </si>
  <si>
    <r>
      <t>≥ 0；应与 上网电量 × 上网电价 吻合（偏差 ≤ 5%）</t>
    </r>
  </si>
  <si>
    <r>
      <t>【清单来源】数据需求清单9.16 第 10 项。用途＝集中监管、零碳项目评估。以财务确认数为准时可改为月度更新。</t>
    </r>
  </si>
  <si>
    <r>
      <t>RV-002</t>
    </r>
  </si>
  <si>
    <r>
      <t>绿电消纳收益</t>
    </r>
  </si>
  <si>
    <r>
      <t>新能源自发自用（消纳）部分替代市电产生的电费节约收益累计值</t>
    </r>
  </si>
  <si>
    <r>
      <t>能源管理系统 / 财务系统.绿电消纳收益</t>
    </r>
  </si>
  <si>
    <r>
      <t>≥ 0；一般按（市电电价 − 自发电成本）× 消纳电量 估算</t>
    </r>
  </si>
  <si>
    <r>
      <t>【清单来源】数据需求清单9.16 第 11 项。</t>
    </r>
  </si>
  <si>
    <r>
      <t>RV-003</t>
    </r>
  </si>
  <si>
    <r>
      <t>储能收益</t>
    </r>
  </si>
  <si>
    <r>
      <t>储能系统通过峰谷价差套利、需量管理、辅助服务等方式取得的累计收益</t>
    </r>
  </si>
  <si>
    <r>
      <t>元</t>
    </r>
  </si>
  <si>
    <r>
      <t>能源管理系统.储能 EMS.储能收益</t>
    </r>
  </si>
  <si>
    <r>
      <t>【清单来源】数据需求清单9.16 第 28 项。注意本项单位为「元」，与 RV-001 / RV-002 的「万元」不同，开发入库时须做单位归一，避免汇总时相差 10000 倍。</t>
    </r>
  </si>
  <si>
    <r>
      <t>EQ-005</t>
    </r>
  </si>
  <si>
    <r>
      <t>重点设备用电功率</t>
    </r>
  </si>
  <si>
    <r>
      <t>设备级</t>
    </r>
  </si>
  <si>
    <r>
      <t>重点设备运行数据</t>
    </r>
  </si>
  <si>
    <r>
      <t>纳入重点监管的单台设备（或设备组）实时有功功率</t>
    </r>
  </si>
  <si>
    <r>
      <t>能源管理系统.重点设备计量点.有功功率</t>
    </r>
  </si>
  <si>
    <r>
      <t>各项目公司设备管理岗</t>
    </r>
  </si>
  <si>
    <r>
      <t>≥ 0；≤ EQ-008 额定负荷</t>
    </r>
  </si>
  <si>
    <r>
      <t>【清单来源】数据需求清单9.16 第 29 项。数据对象＝重点设备；重点设备清单须先在设备台账中登记并绑定计量点（ORG-007 / ORG-008）。</t>
    </r>
  </si>
  <si>
    <r>
      <t>EQ-006</t>
    </r>
  </si>
  <si>
    <r>
      <t>重点设备用电量</t>
    </r>
  </si>
  <si>
    <r>
      <t>纳入重点监管的单台设备（或设备组）累计用电量</t>
    </r>
  </si>
  <si>
    <r>
      <t>能源管理系统.重点设备计量点.累计电量</t>
    </r>
  </si>
  <si>
    <r>
      <t>≥ 0；Σ(尖+峰+平+谷+深谷) 应 = 本项当日增量</t>
    </r>
  </si>
  <si>
    <r>
      <t>【清单来源】数据需求清单9.16 第 30 项。</t>
    </r>
  </si>
  <si>
    <r>
      <t>EQ-007</t>
    </r>
  </si>
  <si>
    <r>
      <t>重点设备尖用电量</t>
    </r>
  </si>
  <si>
    <r>
      <t>单台重点设备在电网尖峰时段的当日累计用电量</t>
    </r>
  </si>
  <si>
    <r>
      <t>能源管理系统.重点设备计量点.日尖电量</t>
    </r>
  </si>
  <si>
    <r>
      <t>【清单来源】数据需求清单9.16 第 31~35 项。分时时段划分见「07-枚举字典」ZC-03。</t>
    </r>
  </si>
  <si>
    <r>
      <t>EQ-008</t>
    </r>
  </si>
  <si>
    <r>
      <t>重点设备峰用电量</t>
    </r>
  </si>
  <si>
    <r>
      <t>单台重点设备在电网高峰时段的当日累计用电量</t>
    </r>
  </si>
  <si>
    <r>
      <t>能源管理系统.重点设备计量点.日峰电量</t>
    </r>
  </si>
  <si>
    <r>
      <t>EQ-009</t>
    </r>
  </si>
  <si>
    <r>
      <t>重点设备平用电量</t>
    </r>
  </si>
  <si>
    <r>
      <t>单台重点设备在电网平段时段的当日累计用电量</t>
    </r>
  </si>
  <si>
    <r>
      <t>能源管理系统.重点设备计量点.日平电量</t>
    </r>
  </si>
  <si>
    <r>
      <t>EQ-010</t>
    </r>
  </si>
  <si>
    <r>
      <t>重点设备谷用电量</t>
    </r>
  </si>
  <si>
    <r>
      <t>单台重点设备在电网低谷时段的当日累计用电量</t>
    </r>
  </si>
  <si>
    <r>
      <t>能源管理系统.重点设备计量点.日谷电量</t>
    </r>
  </si>
  <si>
    <r>
      <t>EQ-011</t>
    </r>
  </si>
  <si>
    <r>
      <t>重点设备深谷用电量</t>
    </r>
  </si>
  <si>
    <r>
      <t>单台重点设备在电网深谷时段的当日累计用电量</t>
    </r>
  </si>
  <si>
    <r>
      <t>能源管理系统.重点设备计量点.日深谷电量</t>
    </r>
  </si>
  <si>
    <r>
      <t>EQ-012</t>
    </r>
  </si>
  <si>
    <r>
      <t>重点设备额定负荷</t>
    </r>
  </si>
  <si>
    <r>
      <t>重点设备的铭牌额定功率（负荷）</t>
    </r>
  </si>
  <si>
    <r>
      <t>集控中心.重点设备台账.额定负荷</t>
    </r>
  </si>
  <si>
    <r>
      <t>&gt; 0；须与设备铭牌一致</t>
    </r>
  </si>
  <si>
    <r>
      <t>【清单来源】数据需求清单9.16 第 36 项。为静态数据，与 EQ-005 的实时功率配合用于负荷率分析。</t>
    </r>
  </si>
  <si>
    <r>
      <t>EQ-013</t>
    </r>
  </si>
  <si>
    <r>
      <t>重点设备蒸汽瞬时流量</t>
    </r>
  </si>
  <si>
    <r>
      <t>使用蒸汽的重点设备蒸汽流量计瞬时读数</t>
    </r>
  </si>
  <si>
    <r>
      <t>t/h</t>
    </r>
  </si>
  <si>
    <r>
      <t>能源管理系统.重点设备蒸汽流量计.瞬时流量</t>
    </r>
  </si>
  <si>
    <r>
      <t>【清单来源】数据需求清单9.16 第 37 项。9.16 版新增（8.27 版无此三项蒸汽参数）。</t>
    </r>
  </si>
  <si>
    <r>
      <t>EQ-014</t>
    </r>
  </si>
  <si>
    <r>
      <t>重点设备蒸汽消耗量</t>
    </r>
  </si>
  <si>
    <r>
      <t>使用蒸汽的重点设备累计蒸汽消耗量</t>
    </r>
  </si>
  <si>
    <r>
      <t>能源管理系统.重点设备蒸汽流量计.累计流量</t>
    </r>
  </si>
  <si>
    <r>
      <t>非负、单调不减；Σ 全厂重点设备蒸汽消耗量 ≤ EN-007 蒸汽消费量</t>
    </r>
  </si>
  <si>
    <r>
      <t>【清单来源】数据需求清单9.16 第 38 项。</t>
    </r>
  </si>
  <si>
    <r>
      <t>HV-001</t>
    </r>
  </si>
  <si>
    <r>
      <t>热泵系统 COP</t>
    </r>
  </si>
  <si>
    <r>
      <t>暖通系统</t>
    </r>
  </si>
  <si>
    <r>
      <t>热泵系统的系统能效比（Coefficient of Performance），制热 / 制冷量与耗电量之比</t>
    </r>
  </si>
  <si>
    <r>
      <t>0.5 ~ 8</t>
    </r>
  </si>
  <si>
    <r>
      <t>能源管理系统.热泵系统.COP</t>
    </r>
  </si>
  <si>
    <r>
      <t>系统能效比应在合理区间：热泵制热 2.0~6.0、空调制冷 1.5~8.0；低于下限时提示设备异常</t>
    </r>
  </si>
  <si>
    <r>
      <t>【清单来源】数据需求清单9.16 第 39 项「热泵系统 COP」。9.16 版新增热泵系统完整运行参数（8.27 版仅 10 项，无制热量 / 耗电量 / 压力 / 用电功率 / 服务面积）。本项为计算值：COP = 制热量(GJ) ÷ [耗电量(kWh) × 0.0036]，也可直接取系统上送值。</t>
    </r>
  </si>
  <si>
    <r>
      <t>HV-002</t>
    </r>
  </si>
  <si>
    <r>
      <t>热泵系统回水温度</t>
    </r>
  </si>
  <si>
    <r>
      <t>热泵系统的系统回水（进水）侧温度</t>
    </r>
  </si>
  <si>
    <r>
      <t>℃</t>
    </r>
  </si>
  <si>
    <r>
      <t>-20 ~ 120</t>
    </r>
  </si>
  <si>
    <r>
      <t>能源管理系统.热泵系统.回水温度</t>
    </r>
  </si>
  <si>
    <r>
      <t>-20 ≤ t ≤ 120；制热工况下供水温度应 ≥ 回水温度，制冷工况相反</t>
    </r>
  </si>
  <si>
    <r>
      <t>【清单来源】数据需求清单9.16 第 40 项「热泵系统回水温度」。9.16 版新增热泵系统完整运行参数（8.27 版仅 10 项，无制热量 / 耗电量 / 压力 / 用电功率 / 服务面积）。【更名】8.27 版该项名为「热泵系统回收温度」，9.16 版改为「回水温度」，开发以 9.16 为准。</t>
    </r>
  </si>
  <si>
    <r>
      <t>HV-003</t>
    </r>
  </si>
  <si>
    <r>
      <t>热泵系统供水温度</t>
    </r>
  </si>
  <si>
    <r>
      <t>热泵系统的系统供水（出水）侧温度</t>
    </r>
  </si>
  <si>
    <r>
      <t>-20 ~ 150</t>
    </r>
  </si>
  <si>
    <r>
      <t>能源管理系统.热泵系统.供水温度</t>
    </r>
  </si>
  <si>
    <r>
      <t>-20 ≤ t ≤ 150；须与回水温度成对校验</t>
    </r>
  </si>
  <si>
    <r>
      <t>【清单来源】数据需求清单9.16 第 41 项「热泵系统供水温度」。9.16 版新增热泵系统完整运行参数（8.27 版仅 10 项，无制热量 / 耗电量 / 压力 / 用电功率 / 服务面积）。</t>
    </r>
  </si>
  <si>
    <r>
      <t>HV-004</t>
    </r>
  </si>
  <si>
    <r>
      <t>热泵系统制热量</t>
    </r>
  </si>
  <si>
    <r>
      <t>热泵系统的系统累计 / 瞬时制热量</t>
    </r>
  </si>
  <si>
    <r>
      <t>能源管理系统.热泵系统.制热量</t>
    </r>
  </si>
  <si>
    <r>
      <t>≥ 0；与耗电量一同校验：制热量(GJ) ÷ [耗电量(kWh) × 0.0036] ≈ COP</t>
    </r>
  </si>
  <si>
    <r>
      <t>【清单来源】数据需求清单9.16 第 42 项「热泵系统制热量」。9.16 版新增热泵系统完整运行参数（8.27 版仅 10 项，无制热量 / 耗电量 / 压力 / 用电功率 / 服务面积）。</t>
    </r>
  </si>
  <si>
    <r>
      <t>HV-005</t>
    </r>
  </si>
  <si>
    <r>
      <t>热泵系统耗电量</t>
    </r>
  </si>
  <si>
    <r>
      <t>热泵系统的系统累计耗电量</t>
    </r>
  </si>
  <si>
    <r>
      <t>能源管理系统.热泵系统.耗电量</t>
    </r>
  </si>
  <si>
    <r>
      <t>非负、单调不减（累计量）；≤ 工厂总用电量</t>
    </r>
  </si>
  <si>
    <r>
      <t>【清单来源】数据需求清单9.16 第 43 项「热泵系统耗电量」。9.16 版新增热泵系统完整运行参数（8.27 版仅 10 项，无制热量 / 耗电量 / 压力 / 用电功率 / 服务面积）。</t>
    </r>
  </si>
  <si>
    <r>
      <t>HV-006</t>
    </r>
  </si>
  <si>
    <r>
      <t>热泵系统压力</t>
    </r>
  </si>
  <si>
    <r>
      <t>热泵系统的系统运行压力</t>
    </r>
  </si>
  <si>
    <r>
      <t>MPa</t>
    </r>
  </si>
  <si>
    <r>
      <t>0 ~ 10</t>
    </r>
  </si>
  <si>
    <r>
      <t>能源管理系统.热泵系统.压力</t>
    </r>
  </si>
  <si>
    <r>
      <t>0 ≤ p ≤ 10</t>
    </r>
  </si>
  <si>
    <r>
      <t>【清单来源】数据需求清单9.16 第 44 项「热泵系统压力」。9.16 版新增热泵系统完整运行参数（8.27 版仅 10 项，无制热量 / 耗电量 / 压力 / 用电功率 / 服务面积）。</t>
    </r>
  </si>
  <si>
    <r>
      <t>HV-007</t>
    </r>
  </si>
  <si>
    <r>
      <t>热泵系统用电功率</t>
    </r>
  </si>
  <si>
    <r>
      <t>热泵系统的系统实时有功功率</t>
    </r>
  </si>
  <si>
    <r>
      <t>能源管理系统.热泵系统.用电功率</t>
    </r>
  </si>
  <si>
    <r>
      <t>非负；≤ 设备铭牌额定功率</t>
    </r>
  </si>
  <si>
    <r>
      <t>【清单来源】数据需求清单9.16 第 47 项「热泵系统用电功率」。9.16 版新增热泵系统完整运行参数（8.27 版仅 10 项，无制热量 / 耗电量 / 压力 / 用电功率 / 服务面积）。</t>
    </r>
  </si>
  <si>
    <r>
      <t>HV-008</t>
    </r>
  </si>
  <si>
    <r>
      <t>热泵系统绿电占比</t>
    </r>
  </si>
  <si>
    <r>
      <t>热泵系统的系统用电中绿色电力所占比例</t>
    </r>
  </si>
  <si>
    <r>
      <t>能源管理系统.热泵系统.绿电占比</t>
    </r>
  </si>
  <si>
    <r>
      <t>0 ≤ x ≤ 100</t>
    </r>
  </si>
  <si>
    <r>
      <t>【清单来源】数据需求清单9.16 第 45 项「热泵系统绿电占比」。9.16 版新增热泵系统完整运行参数（8.27 版仅 10 项，无制热量 / 耗电量 / 压力 / 用电功率 / 服务面积）。绿电占比 = 系统绿电用电量 ÷ 系统总用电量 × 100，依赖 EN-005 的绿电拆分口径。</t>
    </r>
  </si>
  <si>
    <r>
      <t>HV-009</t>
    </r>
  </si>
  <si>
    <r>
      <t>热泵系统用电尖/峰占比</t>
    </r>
  </si>
  <si>
    <r>
      <t>热泵系统的系统用电中尖峰时段电量所占比例</t>
    </r>
  </si>
  <si>
    <r>
      <t>能源管理系统.热泵系统.用电尖/峰占比</t>
    </r>
  </si>
  <si>
    <r>
      <t>0 ≤ x ≤ 100；时段划分见「07-枚举字典」ZC-03</t>
    </r>
  </si>
  <si>
    <r>
      <t>【清单来源】数据需求清单9.16 第 46 项「热泵系统用电尖/峰占比」。9.16 版新增热泵系统完整运行参数（8.27 版仅 10 项，无制热量 / 耗电量 / 压力 / 用电功率 / 服务面积）。尖峰时段划分见「07-枚举字典」ZC-03。</t>
    </r>
  </si>
  <si>
    <r>
      <t>HV-010</t>
    </r>
  </si>
  <si>
    <r>
      <t>热泵系统供热面积</t>
    </r>
  </si>
  <si>
    <r>
      <t>热泵系统实际服务的供热建筑面积</t>
    </r>
  </si>
  <si>
    <r>
      <t>㎡</t>
    </r>
  </si>
  <si>
    <r>
      <t>集控中心.热泵系统台账.供热面积</t>
    </r>
  </si>
  <si>
    <r>
      <t>&gt; 0；单位面积供热量 = HV-004 ÷ HV-010，可用于能效横向对标</t>
    </r>
  </si>
  <si>
    <r>
      <t>【清单来源】数据需求清单9.16 第 48 项。原文标注数据来源为「双中心系统界面手动录入」但备注为「15分钟」，按静态属性处理，采集频率定为「静态（变更时更新）」。</t>
    </r>
  </si>
  <si>
    <r>
      <t>HV-011</t>
    </r>
  </si>
  <si>
    <r>
      <t>空调系统 COP</t>
    </r>
  </si>
  <si>
    <r>
      <t>空调系统的系统能效比（Coefficient of Performance），制热 / 制冷量与耗电量之比</t>
    </r>
  </si>
  <si>
    <r>
      <t>能源管理系统.空调系统.COP</t>
    </r>
  </si>
  <si>
    <r>
      <t>【清单来源】数据需求清单9.16 第 49 项「空调系统 COP」。9.16 版新增空调系统整组参数（8.27 版无该组）。本项为计算值：COP = 制冷量(GJ) ÷ [耗电量(kWh) × 0.0036]，也可直接取系统上送值。</t>
    </r>
  </si>
  <si>
    <r>
      <t>HV-012</t>
    </r>
  </si>
  <si>
    <r>
      <t>空调系统回水温度</t>
    </r>
  </si>
  <si>
    <r>
      <t>空调系统的系统回水（进水）侧温度</t>
    </r>
  </si>
  <si>
    <r>
      <t>能源管理系统.空调系统.回水温度</t>
    </r>
  </si>
  <si>
    <r>
      <t>【清单来源】数据需求清单9.16 第 50 项「空调系统回水温度」。9.16 版新增空调系统整组参数（8.27 版无该组）。</t>
    </r>
  </si>
  <si>
    <r>
      <t>HV-013</t>
    </r>
  </si>
  <si>
    <r>
      <t>空调系统供水温度</t>
    </r>
  </si>
  <si>
    <r>
      <t>空调系统的系统供水（出水）侧温度</t>
    </r>
  </si>
  <si>
    <r>
      <t>能源管理系统.空调系统.供水温度</t>
    </r>
  </si>
  <si>
    <r>
      <t>【清单来源】数据需求清单9.16 第 51 项「空调系统供水温度」。9.16 版新增空调系统整组参数（8.27 版无该组）。</t>
    </r>
  </si>
  <si>
    <r>
      <t>HV-014</t>
    </r>
  </si>
  <si>
    <r>
      <t>空调系统制冷量</t>
    </r>
  </si>
  <si>
    <r>
      <t>空调系统的系统累计 / 瞬时制冷量</t>
    </r>
  </si>
  <si>
    <r>
      <t>能源管理系统.空调系统.制冷量</t>
    </r>
  </si>
  <si>
    <r>
      <t>≥ 0；与耗电量一同校验：制冷量(GJ) ÷ [耗电量(kWh) × 0.0036] ≈ COP</t>
    </r>
  </si>
  <si>
    <r>
      <t>【清单来源】数据需求清单9.16 第 52 项「空调系统制冷量」。9.16 版新增空调系统整组参数（8.27 版无该组）。</t>
    </r>
  </si>
  <si>
    <r>
      <t>HV-015</t>
    </r>
  </si>
  <si>
    <r>
      <t>空调系统耗电量</t>
    </r>
  </si>
  <si>
    <r>
      <t>空调系统的系统累计耗电量</t>
    </r>
  </si>
  <si>
    <r>
      <t>能源管理系统.空调系统.耗电量</t>
    </r>
  </si>
  <si>
    <r>
      <t>【清单来源】数据需求清单9.16 第 53 项「空调系统耗电量」。9.16 版新增空调系统整组参数（8.27 版无该组）。</t>
    </r>
  </si>
  <si>
    <r>
      <t>HV-016</t>
    </r>
  </si>
  <si>
    <r>
      <t>空调系统压力</t>
    </r>
  </si>
  <si>
    <r>
      <t>空调系统的系统运行压力</t>
    </r>
  </si>
  <si>
    <r>
      <t>能源管理系统.空调系统.压力</t>
    </r>
  </si>
  <si>
    <r>
      <t>【清单来源】数据需求清单9.16 第 54 项「空调系统压力」。9.16 版新增空调系统整组参数（8.27 版无该组）。</t>
    </r>
  </si>
  <si>
    <r>
      <t>HV-017</t>
    </r>
  </si>
  <si>
    <r>
      <t>空调系统用电功率</t>
    </r>
  </si>
  <si>
    <r>
      <t>空调系统的系统实时有功功率</t>
    </r>
  </si>
  <si>
    <r>
      <t>能源管理系统.空调系统.用电功率</t>
    </r>
  </si>
  <si>
    <r>
      <t>【清单来源】数据需求清单9.16 第 57 项「空调系统用电功率」。9.16 版新增空调系统整组参数（8.27 版无该组）。</t>
    </r>
  </si>
  <si>
    <r>
      <t>HV-018</t>
    </r>
  </si>
  <si>
    <r>
      <t>空调系统绿电占比</t>
    </r>
  </si>
  <si>
    <r>
      <t>空调系统的系统用电中绿色电力所占比例</t>
    </r>
  </si>
  <si>
    <r>
      <t>能源管理系统.空调系统.绿电占比</t>
    </r>
  </si>
  <si>
    <r>
      <t>【清单来源】数据需求清单9.16 第 55 项「空调系统绿电占比」。9.16 版新增空调系统整组参数（8.27 版无该组）。绿电占比 = 系统绿电用电量 ÷ 系统总用电量 × 100，依赖 EN-005 的绿电拆分口径。</t>
    </r>
  </si>
  <si>
    <r>
      <t>HV-019</t>
    </r>
  </si>
  <si>
    <r>
      <t>空调系统用电尖/峰占比</t>
    </r>
  </si>
  <si>
    <r>
      <t>空调系统的系统用电中尖峰时段电量所占比例</t>
    </r>
  </si>
  <si>
    <r>
      <t>能源管理系统.空调系统.用电尖/峰占比</t>
    </r>
  </si>
  <si>
    <r>
      <t>【清单来源】数据需求清单9.16 第 56 项「空调系统用电尖/峰占比」。9.16 版新增空调系统整组参数（8.27 版无该组）。尖峰时段划分见「07-枚举字典」ZC-03。</t>
    </r>
  </si>
  <si>
    <r>
      <t>HV-020</t>
    </r>
  </si>
  <si>
    <r>
      <t>空调系统供冷面积</t>
    </r>
  </si>
  <si>
    <r>
      <t>空调系统实际服务的供冷建筑面积</t>
    </r>
  </si>
  <si>
    <r>
      <t>集控中心.空调系统台账.供冷面积</t>
    </r>
  </si>
  <si>
    <r>
      <t>&gt; 0；单位面积制冷量 = HV-014 ÷ HV-020，可用于能效横向对标</t>
    </r>
  </si>
  <si>
    <r>
      <t>【清单来源】数据需求清单9.16 第 58 项。同 HV-010，按静态属性处理。</t>
    </r>
  </si>
  <si>
    <r>
      <t>CO-001</t>
    </r>
  </si>
  <si>
    <r>
      <t>用水费用</t>
    </r>
  </si>
  <si>
    <r>
      <t>能源费用</t>
    </r>
  </si>
  <si>
    <r>
      <t>工厂当期发生的水采购（使用）费用，用于能效成本分析与单位产值能源成本核算</t>
    </r>
  </si>
  <si>
    <r>
      <t>集控中心.能源费用台账.用水费用</t>
    </r>
  </si>
  <si>
    <r>
      <t>≥ 0；单价 = 本项 ÷ 对应实物量，偏离行业区间 ±30% 时提示复核　对应实物量编码：EN-026（用水量（总量））。</t>
    </r>
  </si>
  <si>
    <r>
      <t>【清单来源】数据需求清单9.16 第 68 项。清单原文单位为「万元」；请勿按单价理解（中间参照稿曾误写为「单价」）。CO-001 对应 EN-026 用水量、CO-002 对应 EN-006 天然气、CO-003 对应 EN-031 外购蒸汽、CO-004 对应 EN-032 油品、CO-005 对应 EN-002 市电、CO-006 对应 EN-030 液氮。</t>
    </r>
  </si>
  <si>
    <r>
      <t>CO-002</t>
    </r>
  </si>
  <si>
    <r>
      <t>天然气费用</t>
    </r>
  </si>
  <si>
    <r>
      <t>工厂当期发生的天然气采购（使用）费用，用于能效成本分析与单位产值能源成本核算</t>
    </r>
  </si>
  <si>
    <r>
      <t>集控中心.能源费用台账.天然气费用</t>
    </r>
  </si>
  <si>
    <r>
      <t>≥ 0；单价 = 本项 ÷ 对应实物量，偏离行业区间 ±30% 时提示复核　对应实物量编码：EN-006（天然气消费量）。</t>
    </r>
  </si>
  <si>
    <r>
      <t>【清单来源】数据需求清单9.16 第 69 项。清单原文单位为「万元」；请勿按单价理解（中间参照稿曾误写为「单价」）。CO-001 对应 EN-026 用水量、CO-002 对应 EN-006 天然气、CO-003 对应 EN-031 外购蒸汽、CO-004 对应 EN-032 油品、CO-005 对应 EN-002 市电、CO-006 对应 EN-030 液氮。</t>
    </r>
  </si>
  <si>
    <r>
      <t>CO-003</t>
    </r>
  </si>
  <si>
    <r>
      <t>外购蒸汽费用</t>
    </r>
  </si>
  <si>
    <r>
      <t>工厂当期发生的外购蒸汽采购（使用）费用，用于能效成本分析与单位产值能源成本核算</t>
    </r>
  </si>
  <si>
    <r>
      <t>集控中心.能源费用台账.外购蒸汽费用</t>
    </r>
  </si>
  <si>
    <r>
      <t>≥ 0；单价 = 本项 ÷ 对应实物量，偏离行业区间 ±30% 时提示复核　对应实物量编码：EN-031（外购蒸汽量）。</t>
    </r>
  </si>
  <si>
    <r>
      <t>【清单来源】数据需求清单9.16 第 70 项。清单原文单位为「万元」；请勿按单价理解（中间参照稿曾误写为「单价」）。CO-001 对应 EN-026 用水量、CO-002 对应 EN-006 天然气、CO-003 对应 EN-031 外购蒸汽、CO-004 对应 EN-032 油品、CO-005 对应 EN-002 市电、CO-006 对应 EN-030 液氮。</t>
    </r>
  </si>
  <si>
    <r>
      <t>CO-004</t>
    </r>
  </si>
  <si>
    <r>
      <t>油品费用</t>
    </r>
  </si>
  <si>
    <r>
      <t>工厂当期发生的油品（柴油 / 汽油 / 煤油）采购（使用）费用，用于能效成本分析与单位产值能源成本核算</t>
    </r>
  </si>
  <si>
    <r>
      <t>集控中心.能源费用台账.油品费用</t>
    </r>
  </si>
  <si>
    <r>
      <t>≥ 0；单价 = 本项 ÷ 对应实物量，偏离行业区间 ±30% 时提示复核　对应实物量编码：EN-032（油品消费量）。</t>
    </r>
  </si>
  <si>
    <r>
      <t>【清单来源】数据需求清单9.16 第 71 项。清单原文单位为「万元」；请勿按单价理解（中间参照稿曾误写为「单价」）。CO-001 对应 EN-026 用水量、CO-002 对应 EN-006 天然气、CO-003 对应 EN-031 外购蒸汽、CO-004 对应 EN-032 油品、CO-005 对应 EN-002 市电、CO-006 对应 EN-030 液氮。</t>
    </r>
  </si>
  <si>
    <r>
      <t>CO-005</t>
    </r>
  </si>
  <si>
    <r>
      <t>市电费用</t>
    </r>
  </si>
  <si>
    <r>
      <t>工厂当期发生的市电采购（使用）费用，用于能效成本分析与单位产值能源成本核算</t>
    </r>
  </si>
  <si>
    <r>
      <t>集控中心.能源费用台账.市电费用</t>
    </r>
  </si>
  <si>
    <r>
      <t>≥ 0；单价 = 本项 ÷ 对应实物量，偏离行业区间 ±30% 时提示复核　对应实物量编码：EN-002（市电消费量）。</t>
    </r>
  </si>
  <si>
    <r>
      <t>【清单来源】数据需求清单9.16 第 72 项。清单原文单位为「万元」；请勿按单价理解（中间参照稿曾误写为「单价」）。CO-001 对应 EN-026 用水量、CO-002 对应 EN-006 天然气、CO-003 对应 EN-031 外购蒸汽、CO-004 对应 EN-032 油品、CO-005 对应 EN-002 市电、CO-006 对应 EN-030 液氮。</t>
    </r>
  </si>
  <si>
    <r>
      <t>CO-006</t>
    </r>
  </si>
  <si>
    <r>
      <t>氮气费用</t>
    </r>
  </si>
  <si>
    <r>
      <t>工厂当期发生的氮气采购（使用）费用，用于能效成本分析与单位产值能源成本核算</t>
    </r>
  </si>
  <si>
    <r>
      <t>集控中心.能源费用台账.氮气费用</t>
    </r>
  </si>
  <si>
    <r>
      <t>≥ 0；单价 = 本项 ÷ 对应实物量，偏离行业区间 ±30% 时提示复核　对应实物量编码：EN-030（液氮消费量）。</t>
    </r>
  </si>
  <si>
    <r>
      <t>【清单来源】数据需求清单9.16 第 73 项。清单原文单位为「万元」；请勿按单价理解（中间参照稿曾误写为「单价」）。CO-001 对应 EN-026 用水量、CO-002 对应 EN-006 天然气、CO-003 对应 EN-031 外购蒸汽、CO-004 对应 EN-032 油品、CO-005 对应 EN-002 市电、CO-006 对应 EN-030 液氮。</t>
    </r>
  </si>
  <si>
    <r>
      <t>OD-001</t>
    </r>
  </si>
  <si>
    <r>
      <t>订单基本信息</t>
    </r>
  </si>
  <si>
    <r>
      <t>订单数据</t>
    </r>
  </si>
  <si>
    <r>
      <t>订单主记录：订单号、客户名称、订单日期、交期、产品型号、数量等</t>
    </r>
  </si>
  <si>
    <r>
      <t>本地数据采集模块（订单接入）</t>
    </r>
  </si>
  <si>
    <r>
      <t>本地数据采集模块.订单表.订单基本信息</t>
    </r>
  </si>
  <si>
    <r>
      <t>各项目公司生产管理岗</t>
    </r>
  </si>
  <si>
    <r>
      <t>订单号非空、全局唯一；产品型号须能在 MD-001 中匹配</t>
    </r>
  </si>
  <si>
    <r>
      <t>【清单来源】数据需求清单9.16 第 74 项（原为「订单信息（订单基本信息、对应产量、物料明细、工单信息）」一条复合项）。按最小颗粒度拆为「OD-001 订单基本信息」「OD-002 订单物料明细」「OD-003 订单能耗」三条；原复合项中的「对应产量」见 OUT-009，「工单信息」见 MD-006，不重复建项。</t>
    </r>
  </si>
  <si>
    <r>
      <t>OD-002</t>
    </r>
  </si>
  <si>
    <r>
      <t>订单物料明细（BOM）</t>
    </r>
  </si>
  <si>
    <r>
      <t>订单对应的产品物料清单：物料编码、物料名称、规格、用量、单位，是产品碳足迹核算的物料输入</t>
    </r>
  </si>
  <si>
    <r>
      <t>ERP / 本地数据采集模块</t>
    </r>
  </si>
  <si>
    <r>
      <t>ERP.物料清单.订单 BOM 明细</t>
    </r>
  </si>
  <si>
    <r>
      <t>物料用量 &gt; 0；物料编码非空；须覆盖 CN-001 主材</t>
    </r>
  </si>
  <si>
    <r>
      <t>【清单来源】数据需求清单9.16 第 74 项。产品碳足迹（IND-001）核算的核心输入，与《GB/T 24067》要求的上游物料数据对应。</t>
    </r>
  </si>
  <si>
    <r>
      <t>OD-003</t>
    </r>
  </si>
  <si>
    <r>
      <t>订单能耗</t>
    </r>
  </si>
  <si>
    <r>
      <t>单个订单在生产过程中消耗的各类能源量（按订单归集），是订单级碳足迹与产品碳足迹核算的输入</t>
    </r>
  </si>
  <si>
    <r>
      <t>本地数据采集模块.订单能耗归集表</t>
    </r>
  </si>
  <si>
    <r>
      <t>IND-001、IND-012</t>
    </r>
  </si>
  <si>
    <r>
      <t>≥ 0；同一统计期内 Σ 订单能耗 应 ≈ 工厂总能耗（偏差 ≤ 5%）</t>
    </r>
  </si>
  <si>
    <r>
      <t>【清单来源】数据需求清单V1.0 (8.27) 第 63 项。9.16 版将其归入「生产单元能耗计量数据（MT-001）」，但订单级归集是碳足迹分摊的必要环节，故保留；与 MT-001 的区别在于本项按订单维度组织。</t>
    </r>
  </si>
  <si>
    <r>
      <t>OD-004</t>
    </r>
  </si>
  <si>
    <r>
      <t>开展产品碳足迹核算的类别</t>
    </r>
  </si>
  <si>
    <r>
      <t>当期已开展产品碳足迹核算的产品类别明细清单</t>
    </r>
  </si>
  <si>
    <r>
      <t>碳足迹系统.核算范围配置.产品类别</t>
    </r>
  </si>
  <si>
    <r>
      <t>IND-002（对应 CAR-010）</t>
    </r>
  </si>
  <si>
    <r>
      <t>类别名称非空；须为主数据中的有效产品类别</t>
    </r>
  </si>
  <si>
    <r>
      <t>【清单来源】数据需求清单9.16 集采中心第 1 项。本项为明细清单，其计数即 CAR-010；本表建项用于记录取值明细，指标计算仍按 CAR-010 取数。</t>
    </r>
  </si>
  <si>
    <r>
      <t>OD-005</t>
    </r>
  </si>
  <si>
    <r>
      <t>主要产品类别</t>
    </r>
  </si>
  <si>
    <r>
      <t>工厂（项目公司）在产的主要产品类别明细清单</t>
    </r>
  </si>
  <si>
    <r>
      <t>ERP.产品主数据.主要产品类别</t>
    </r>
  </si>
  <si>
    <r>
      <t>IND-002（对应 CAR-011）</t>
    </r>
  </si>
  <si>
    <r>
      <t>类别名称非空；须与 MD-002 产品种类口径一致</t>
    </r>
  </si>
  <si>
    <r>
      <t>【清单来源】数据需求清单9.16 集采中心第 2 项。本项为明细清单，其计数即 CAR-011。</t>
    </r>
  </si>
  <si>
    <r>
      <t>MT-001</t>
    </r>
  </si>
  <si>
    <r>
      <t>生产单元能耗计量数据</t>
    </r>
  </si>
  <si>
    <r>
      <t>计量数据</t>
    </r>
  </si>
  <si>
    <r>
      <t>按生产单元（车间 / 产线 / 工序）× 计量点 × 能源品种组织的原始能耗计量时序数据，含时刻、瞬时值、累计值、期间用量</t>
    </r>
  </si>
  <si>
    <r>
      <t>本地数据采集模块.计量数据表（时序）</t>
    </r>
  </si>
  <si>
    <r>
      <t>IND-012~IND-094（全部工序级指标）</t>
    </r>
  </si>
  <si>
    <r>
      <t>≥ 0；须完成「生产单元-计量点绑定」（ORG-008）后方可归集；缺失率 ≤ 1%</t>
    </r>
  </si>
  <si>
    <r>
      <t>【清单来源】数据需求清单9.16 第 76 项，对应 8.27 版第 64 项「关键工序能耗指标」（原文要求「上送指标值，及对应的分子、分母、统计周期」）。本项是工序级指标（EN-KE / EN-KS / EN-KT）的原始数据层：MT-001 存原始时序，EN-KE 系列存月度汇总值，二者为明细与汇总关系。</t>
    </r>
  </si>
  <si>
    <r>
      <t>MT-002</t>
    </r>
  </si>
  <si>
    <r>
      <t>生产单元-能耗计量绑定关系</t>
    </r>
  </si>
  <si>
    <r>
      <t>生产单元（车间 / 产线 / 工序）与能耗计量点的绑定关系记录，支持一对多与多对一</t>
    </r>
  </si>
  <si>
    <r>
      <t>碳足迹在线核算及报告系统（生产-能源绑定模块）</t>
    </r>
  </si>
  <si>
    <r>
      <t>碳足迹系统.生产-能源绑定关系表</t>
    </r>
  </si>
  <si>
    <r>
      <t>绑定率须达 100%；同一计量点被多单元绑定时须配置分摊系数</t>
    </r>
  </si>
  <si>
    <r>
      <t>【清单来源】数据需求清单9.16 第 75 项。本项与「ORG-008 生产管理单元-计量点绑定关系」为同一数据，此处建项用于标明其数据域归属与采集频率（增量），开发实现时以 ORG-008 为唯一主键定义，不重复建表。</t>
    </r>
  </si>
  <si>
    <r>
      <t>OUT-P01</t>
    </r>
  </si>
  <si>
    <r>
      <t>产品产量（型号 × 产品种类 × 产线大类）</t>
    </r>
  </si>
  <si>
    <r>
      <t>接口值 / 计算值</t>
    </r>
  </si>
  <si>
    <r>
      <t>统计期内，按「产品型号 × ERP 产品种类 × 电装产线大类」口径归集的入库产品产量。</t>
    </r>
  </si>
  <si>
    <r>
      <t>万kVA / 万km·mm² / 台套 等</t>
    </r>
  </si>
  <si>
    <r>
      <t>数值</t>
    </r>
  </si>
  <si>
    <r>
      <t>ERP / MES 生产工单与入库记录</t>
    </r>
  </si>
  <si>
    <r>
      <t>ERP / 能源计量系统（按型号-种类-产线分摊）</t>
    </r>
  </si>
  <si>
    <r>
      <t>系统接口</t>
    </r>
  </si>
  <si>
    <r>
      <t>IND-012、IND-013、IND-014、IND-015、IND-016（单位产品能耗（型号、ERP产品种类、电装产线大类）、单位产品电耗、单位产品蒸汽消耗、单位产品天然气消耗、单位产品水耗）</t>
    </r>
  </si>
  <si>
    <r>
      <t>本编码按「产品型号 × ERP 产品种类 × 电装产线大类」组合取值，单位随产品种类变化：变压器类＝万kVA、线缆类＝万km·mm²、开关柜 / 其他＝台套。若需按产品大类分别汇总，建议按大类拆分为独立编码后再统计。</t>
    </r>
  </si>
  <si>
    <r>
      <t>非负；须先完成「型号-产品种类-产线」映射（MD-005）与能源分摊</t>
    </r>
  </si>
  <si>
    <r>
      <t>颗粒度：产品型号 × ERP 产品种类 × 电装产线大类。原表变量符号「M」。</t>
    </r>
  </si>
  <si>
    <r>
      <t>EN-P01</t>
    </r>
  </si>
  <si>
    <r>
      <t>产品综合能源消费量（型号口径）</t>
    </r>
  </si>
  <si>
    <r>
      <t>统计期内，归属到「产品型号 × ERP 产品种类 × 电装产线大类」口径的电、天然气、蒸汽、热力等全部能源折算后的综合能源消费量。</t>
    </r>
  </si>
  <si>
    <r>
      <t>能源计量系统（按型号分摊后汇总）</t>
    </r>
  </si>
  <si>
    <r>
      <t>IND-012（单位产品能耗（型号、ERP产品种类、电装产线大类））</t>
    </r>
  </si>
  <si>
    <r>
      <t>＝EN-P02 产品电力消费量（型号口径）（kWh） + EN-P03 产品蒸汽消费量（型号口径）（GJ） + EN-P04 产品天然气消费量（型号口径）（m³）；含电力、蒸汽、天然气三品种折标加总；热力品种源表未单列，如有须补建；水（EN-P05）不计入综合能耗折标。</t>
    </r>
  </si>
  <si>
    <r>
      <t>颗粒度：产品型号 × ERP 产品种类 × 电装产线大类。原表变量符号「E」。</t>
    </r>
  </si>
  <si>
    <r>
      <t>EN-P02</t>
    </r>
  </si>
  <si>
    <r>
      <t>产品电力消费量（型号口径）</t>
    </r>
  </si>
  <si>
    <r>
      <t>统计期内，归属到「产品型号 × ERP 产品种类 × 电装产线大类」口径的电力消费量（含市电与绿电、含公辅设备分摊量）。</t>
    </r>
  </si>
  <si>
    <r>
      <t>IND-013（单位产品电耗）</t>
    </r>
  </si>
  <si>
    <r>
      <t>颗粒度：产品型号 × ERP 产品种类 × 电装产线大类。原表变量符号「Q电」。</t>
    </r>
  </si>
  <si>
    <r>
      <t>EN-P03</t>
    </r>
  </si>
  <si>
    <r>
      <t>产品蒸汽消费量（型号口径）</t>
    </r>
  </si>
  <si>
    <r>
      <t>统计期内，归属到「产品型号 × ERP 产品种类 × 电装产线大类」口径的蒸汽消费量（热量口径）。</t>
    </r>
  </si>
  <si>
    <r>
      <t>IND-014（单位产品蒸汽消耗）</t>
    </r>
  </si>
  <si>
    <r>
      <t>颗粒度：产品型号 × ERP 产品种类 × 电装产线大类。原表变量符号「Q蒸汽」。</t>
    </r>
  </si>
  <si>
    <r>
      <t>EN-P04</t>
    </r>
  </si>
  <si>
    <r>
      <t>产品天然气消费量（型号口径）</t>
    </r>
  </si>
  <si>
    <r>
      <t>统计期内，归属到「产品型号 × ERP 产品种类 × 电装产线大类」口径的天然气消费量。</t>
    </r>
  </si>
  <si>
    <r>
      <t>IND-015（单位产品天然气消耗）</t>
    </r>
  </si>
  <si>
    <r>
      <t>颗粒度：产品型号 × ERP 产品种类 × 电装产线大类。原表变量符号「Q天然气」。</t>
    </r>
  </si>
  <si>
    <r>
      <t>EN-P05</t>
    </r>
  </si>
  <si>
    <r>
      <t>产品水消费量（型号口径）</t>
    </r>
  </si>
  <si>
    <r>
      <t>统计期内，归属到「产品型号 × ERP 产品种类 × 电装产线大类」口径的取水量。</t>
    </r>
  </si>
  <si>
    <r>
      <t>水务计量系统（按型号分摊后汇总）</t>
    </r>
  </si>
  <si>
    <r>
      <t>IND-016（单位产品水耗）</t>
    </r>
  </si>
  <si>
    <r>
      <t>颗粒度：产品型号 × ERP 产品种类 × 电装产线大类。原表变量符号「Q水」。</t>
    </r>
  </si>
  <si>
    <r>
      <t>EN-KE01</t>
    </r>
  </si>
  <si>
    <r>
      <t>工序电力消费量（GIL-测试）</t>
    </r>
  </si>
  <si>
    <r>
      <t>QGIL-测试-电</t>
    </r>
  </si>
  <si>
    <r>
      <t>GIL</t>
    </r>
  </si>
  <si>
    <r>
      <t>测试</t>
    </r>
  </si>
  <si>
    <r>
      <t>GIL测试工序电力消费量。</t>
    </r>
  </si>
  <si>
    <r>
      <t>≥ 0，≤ 该产线总电量</t>
    </r>
  </si>
  <si>
    <r>
      <t>能源计量系统 / 产线工序电表</t>
    </r>
  </si>
  <si>
    <r>
      <t>能源计量系统.产线-工序计量点.正向有功电量累计值</t>
    </r>
  </si>
  <si>
    <r>
      <t>IND-085（单位产值电耗（GIL-测试)）</t>
    </r>
  </si>
  <si>
    <r>
      <t>非负、与计量点绑定、按月累计、单位 kWh</t>
    </r>
  </si>
  <si>
    <r>
      <t>颗粒度：产线「GIL」× 工序「测试」。原表变量符号「QGIL-测试-电」。</t>
    </r>
  </si>
  <si>
    <r>
      <t>EN-KE02</t>
    </r>
  </si>
  <si>
    <r>
      <t>工序电力消费量（GIL-绝缘子生产）</t>
    </r>
  </si>
  <si>
    <r>
      <t>QGIL-绝缘-电</t>
    </r>
  </si>
  <si>
    <r>
      <t>绝缘子生产</t>
    </r>
  </si>
  <si>
    <r>
      <t>GIL绝缘子生产工序电力消费量。</t>
    </r>
  </si>
  <si>
    <r>
      <t>IND-086（单位产值电耗（GIL-绝缘子生产)）</t>
    </r>
  </si>
  <si>
    <r>
      <t>颗粒度：产线「GIL」× 工序「绝缘子生产」。原表变量符号「QGIL-绝缘-电」。</t>
    </r>
  </si>
  <si>
    <r>
      <t>EN-KE03</t>
    </r>
  </si>
  <si>
    <r>
      <t>工序电力消费量（GIL-螺旋焊管生产）</t>
    </r>
  </si>
  <si>
    <r>
      <t>QGIL-螺旋焊管-电</t>
    </r>
  </si>
  <si>
    <r>
      <t>螺旋焊管生产</t>
    </r>
  </si>
  <si>
    <r>
      <t>GIL螺旋焊管生产工序电力消费量。</t>
    </r>
  </si>
  <si>
    <r>
      <t>IND-084（单位产值电耗（GIL-螺旋焊管生产)）</t>
    </r>
  </si>
  <si>
    <r>
      <t>颗粒度：产线「GIL」× 工序「螺旋焊管生产」。原表变量符号「QGIL-螺旋焊管-电」。</t>
    </r>
  </si>
  <si>
    <r>
      <t>EN-KE04</t>
    </r>
  </si>
  <si>
    <r>
      <t>工序电力消费量（GIS-工频耐压试验）</t>
    </r>
  </si>
  <si>
    <r>
      <t>QGIS-试验-电</t>
    </r>
  </si>
  <si>
    <r>
      <t>GIS</t>
    </r>
  </si>
  <si>
    <r>
      <t>工频耐压试验</t>
    </r>
  </si>
  <si>
    <r>
      <t>GIS工频耐压试验工序电力消费量。</t>
    </r>
  </si>
  <si>
    <r>
      <t>IND-089（单位产值电耗（GIS-工频耐压试验)）</t>
    </r>
  </si>
  <si>
    <r>
      <t>颗粒度：产线「GIS」× 工序「工频耐压试验」。原表变量符号「QGIS-试验-电」。</t>
    </r>
  </si>
  <si>
    <r>
      <t>EN-KE05</t>
    </r>
  </si>
  <si>
    <r>
      <t>工序电力消费量（GIS-抽真空）</t>
    </r>
  </si>
  <si>
    <r>
      <t>QGIS-真空-电</t>
    </r>
  </si>
  <si>
    <r>
      <t>抽真空</t>
    </r>
  </si>
  <si>
    <r>
      <t>GIS抽真空工序电力消费量。</t>
    </r>
  </si>
  <si>
    <r>
      <t>IND-087（单位产值电耗（GIS-抽真空)）</t>
    </r>
  </si>
  <si>
    <r>
      <t>颗粒度：产线「GIS」× 工序「抽真空」。原表变量符号「QGIS-真空-电」。</t>
    </r>
  </si>
  <si>
    <r>
      <t>EN-KE06</t>
    </r>
  </si>
  <si>
    <r>
      <t>工序电力消费量（GIS-空调恒温除湿）</t>
    </r>
  </si>
  <si>
    <r>
      <t>QGIS-除湿-电</t>
    </r>
  </si>
  <si>
    <r>
      <t>空调恒温除湿</t>
    </r>
  </si>
  <si>
    <r>
      <t>GIS空调恒温除湿工序电力消费量。</t>
    </r>
  </si>
  <si>
    <r>
      <t>IND-090（单位产值电耗（GIS-空调恒温除湿)）</t>
    </r>
  </si>
  <si>
    <r>
      <t>颗粒度：产线「GIS」× 工序「空调恒温除湿」。原表变量符号「QGIS-除湿-电」。</t>
    </r>
  </si>
  <si>
    <r>
      <t>EN-KE07</t>
    </r>
  </si>
  <si>
    <r>
      <t>工序电力消费量（GIS-绝缘件干燥）</t>
    </r>
  </si>
  <si>
    <r>
      <t>QGIS-干燥-电</t>
    </r>
  </si>
  <si>
    <r>
      <t>绝缘件干燥</t>
    </r>
  </si>
  <si>
    <r>
      <t>GIS绝缘件干燥工序电力消费量。</t>
    </r>
  </si>
  <si>
    <r>
      <t>IND-088（单位产值电耗（GIS-绝缘件干燥)）</t>
    </r>
  </si>
  <si>
    <r>
      <t>颗粒度：产线「GIS」× 工序「绝缘件干燥」。原表变量符号「QGIS-干燥-电」。</t>
    </r>
  </si>
  <si>
    <r>
      <t>EN-KE08</t>
    </r>
  </si>
  <si>
    <r>
      <t>工序电力消费量（中低压开关柜-钣金加工）</t>
    </r>
  </si>
  <si>
    <r>
      <t>Q柜-加工-电</t>
    </r>
  </si>
  <si>
    <r>
      <t>中低压开关柜</t>
    </r>
  </si>
  <si>
    <r>
      <t>钣金加工</t>
    </r>
  </si>
  <si>
    <r>
      <t>中低压开关柜钣金加工工序中电力消费量。</t>
    </r>
  </si>
  <si>
    <r>
      <t>IND-066（单位产值电耗（中低压开关柜-钣金加工））</t>
    </r>
  </si>
  <si>
    <r>
      <t>颗粒度：产线「中低压开关柜」× 工序「钣金加工」。原表变量符号「Q柜-加工-电」。</t>
    </r>
  </si>
  <si>
    <r>
      <t>EN-KE09</t>
    </r>
  </si>
  <si>
    <r>
      <t>工序电力消费量（中低压开关柜-钣金喷涂）</t>
    </r>
  </si>
  <si>
    <r>
      <t>Q柜-喷涂-电</t>
    </r>
  </si>
  <si>
    <r>
      <t>钣金喷涂</t>
    </r>
  </si>
  <si>
    <r>
      <t>中低压开关柜钣金喷涂工序中电力消费量。</t>
    </r>
  </si>
  <si>
    <r>
      <t>IND-067（单位产值电耗（中低压开关柜-钣金喷涂））</t>
    </r>
  </si>
  <si>
    <r>
      <t>颗粒度：产线「中低压开关柜」× 工序「钣金喷涂」。原表变量符号「Q柜-喷涂-电」。</t>
    </r>
  </si>
  <si>
    <r>
      <t>EN-KE10</t>
    </r>
  </si>
  <si>
    <r>
      <t>工序电力消费量（二次-SMT贴片）</t>
    </r>
  </si>
  <si>
    <r>
      <t>Q二次-贴片-电</t>
    </r>
  </si>
  <si>
    <r>
      <t>二次</t>
    </r>
  </si>
  <si>
    <r>
      <t>SMT贴片</t>
    </r>
  </si>
  <si>
    <r>
      <t>二次-SMT贴片工序电力消费量。</t>
    </r>
  </si>
  <si>
    <r>
      <t>IND-075（单位产值电耗（二次-SMT贴片））</t>
    </r>
  </si>
  <si>
    <r>
      <t>颗粒度：产线「二次」× 工序「SMT贴片」。原表变量符号「Q二次-贴片-电」。</t>
    </r>
  </si>
  <si>
    <r>
      <t>EN-KE11</t>
    </r>
  </si>
  <si>
    <r>
      <t>工序电力消费量（二次-波峰焊）</t>
    </r>
  </si>
  <si>
    <r>
      <t>Q二次-波峰焊-电</t>
    </r>
  </si>
  <si>
    <r>
      <t>波峰焊</t>
    </r>
  </si>
  <si>
    <r>
      <t>二次-波峰焊工序电力消费量。</t>
    </r>
  </si>
  <si>
    <r>
      <t>IND-077（单位产值电耗（二次-波峰焊））</t>
    </r>
  </si>
  <si>
    <r>
      <t>颗粒度：产线「二次」× 工序「波峰焊」。原表变量符号「Q二次-波峰焊-电」。</t>
    </r>
  </si>
  <si>
    <r>
      <t>EN-KE12</t>
    </r>
  </si>
  <si>
    <r>
      <t>工序电力消费量（二次-高温老化）</t>
    </r>
  </si>
  <si>
    <r>
      <t>Q二次-高温-电</t>
    </r>
  </si>
  <si>
    <r>
      <t>高温老化</t>
    </r>
  </si>
  <si>
    <r>
      <t>二次-高温老化工序电力消费量。</t>
    </r>
  </si>
  <si>
    <r>
      <t>IND-076（单位产值电耗（二次-高温老化））</t>
    </r>
  </si>
  <si>
    <r>
      <t>颗粒度：产线「二次」× 工序「高温老化」。原表变量符号「Q二次-高温-电」。</t>
    </r>
  </si>
  <si>
    <r>
      <t>EN-KE13</t>
    </r>
  </si>
  <si>
    <r>
      <t>工序电力消费量（互感器-干燥）</t>
    </r>
  </si>
  <si>
    <r>
      <t>Q互-干燥-电</t>
    </r>
  </si>
  <si>
    <r>
      <t>互感器</t>
    </r>
  </si>
  <si>
    <r>
      <t>干燥</t>
    </r>
  </si>
  <si>
    <r>
      <t>互感器干燥工序电力消费量。</t>
    </r>
  </si>
  <si>
    <r>
      <t>IND-072（单位产值电耗（互感器-干燥））</t>
    </r>
  </si>
  <si>
    <r>
      <t>颗粒度：产线「互感器」× 工序「干燥」。原表变量符号「Q互-干燥-电」。</t>
    </r>
  </si>
  <si>
    <r>
      <t>EN-KE14</t>
    </r>
  </si>
  <si>
    <r>
      <t>工序电力消费量（互感器-试验）</t>
    </r>
  </si>
  <si>
    <r>
      <t>Q互-试验-电</t>
    </r>
  </si>
  <si>
    <r>
      <t>试验</t>
    </r>
  </si>
  <si>
    <r>
      <t>互感器试验工序电力消费量。</t>
    </r>
  </si>
  <si>
    <r>
      <t>IND-074（单位产值电耗（互感器-试验））</t>
    </r>
  </si>
  <si>
    <r>
      <t>颗粒度：产线「互感器」× 工序「试验」。原表变量符号「Q互-试验-电」。</t>
    </r>
  </si>
  <si>
    <r>
      <t>EN-KE15</t>
    </r>
  </si>
  <si>
    <r>
      <t>工序电力消费量（变压器-特高压-器身干燥）</t>
    </r>
  </si>
  <si>
    <r>
      <t>Q变-特高压-器身干燥-电</t>
    </r>
  </si>
  <si>
    <r>
      <t>变压器-特高压</t>
    </r>
  </si>
  <si>
    <r>
      <t>器身干燥</t>
    </r>
  </si>
  <si>
    <r>
      <t>变压器特高压产线器身干燥工序中电力消费量。</t>
    </r>
  </si>
  <si>
    <r>
      <t>IND-036（单位产量电耗（变压器-特高压-器身干燥））</t>
    </r>
  </si>
  <si>
    <r>
      <t>颗粒度：产线「变压器-特高压」× 工序「器身干燥」。原表变量符号「Q变-特高压-器身干燥-电」。</t>
    </r>
  </si>
  <si>
    <r>
      <t>EN-KE16</t>
    </r>
  </si>
  <si>
    <r>
      <t>工序电力消费量（变压器-特高压-试验）</t>
    </r>
  </si>
  <si>
    <r>
      <t>Q变-特高压-试验-电</t>
    </r>
  </si>
  <si>
    <r>
      <t>变压器特高压产线试验工序中电力消费量。</t>
    </r>
  </si>
  <si>
    <r>
      <t>IND-039（单位产量电耗（变压器-特高压-试验））</t>
    </r>
  </si>
  <si>
    <r>
      <t>颗粒度：产线「变压器-特高压」× 工序「试验」。原表变量符号「Q变-特高压-试验-电」。</t>
    </r>
  </si>
  <si>
    <r>
      <t>EN-KE17</t>
    </r>
  </si>
  <si>
    <r>
      <t>工序电力消费量（变压器-超高压-器身干燥）</t>
    </r>
  </si>
  <si>
    <r>
      <t>Q变-超高压-器身干燥-电</t>
    </r>
  </si>
  <si>
    <r>
      <t>变压器-超高压</t>
    </r>
  </si>
  <si>
    <r>
      <t>变压器超高压产线器身干燥工序中电力消费量。</t>
    </r>
  </si>
  <si>
    <r>
      <t>IND-041（单位产量电耗（变压器-超高压-器身干燥））</t>
    </r>
  </si>
  <si>
    <r>
      <t>颗粒度：产线「变压器-超高压」× 工序「器身干燥」。原表变量符号「Q变-超高压-器身干燥-电」。</t>
    </r>
  </si>
  <si>
    <r>
      <t>EN-KE18</t>
    </r>
  </si>
  <si>
    <r>
      <t>工序电力消费量（变压器-超高压-试验）</t>
    </r>
  </si>
  <si>
    <r>
      <t>Q变-超高压-试验-电</t>
    </r>
  </si>
  <si>
    <r>
      <t>变压器超高压产线试验工序中电力消费量。</t>
    </r>
  </si>
  <si>
    <r>
      <t>IND-044（单位产量电耗（变压器-超高压-试验））</t>
    </r>
  </si>
  <si>
    <r>
      <t>颗粒度：产线「变压器-超高压」× 工序「试验」。原表变量符号「Q变-超高压-试验-电」。</t>
    </r>
  </si>
  <si>
    <r>
      <t>EN-KE19</t>
    </r>
  </si>
  <si>
    <r>
      <t>工序电力消费量（变压器-配变中特-器身干燥）</t>
    </r>
  </si>
  <si>
    <r>
      <t>Q变-配变中特-器身干燥-电</t>
    </r>
  </si>
  <si>
    <r>
      <t>变压器-配变中特</t>
    </r>
  </si>
  <si>
    <r>
      <t>变压器配变中特产线器身干燥工序中电力消费量。</t>
    </r>
  </si>
  <si>
    <r>
      <t>IND-055（单位产量电耗（变压器-配变中特-器身干燥））</t>
    </r>
  </si>
  <si>
    <r>
      <t>颗粒度：产线「变压器-配变中特」× 工序「器身干燥」。原表变量符号「Q变-配变中特-器身干燥-电」。</t>
    </r>
  </si>
  <si>
    <r>
      <t>EN-KE20</t>
    </r>
  </si>
  <si>
    <r>
      <t>工序电力消费量（变压器-配变中特-试验）</t>
    </r>
  </si>
  <si>
    <r>
      <t>Q变-配变中特-试验-电</t>
    </r>
  </si>
  <si>
    <r>
      <t>变压器配变中特产线试验工序中电力消费量。</t>
    </r>
  </si>
  <si>
    <r>
      <t>IND-057（单位产量电耗（变压器-配变中特-试验））</t>
    </r>
  </si>
  <si>
    <r>
      <t>颗粒度：产线「变压器-配变中特」× 工序「试验」。原表变量符号「Q变-配变中特-试验-电」。</t>
    </r>
  </si>
  <si>
    <r>
      <t>EN-KE21</t>
    </r>
  </si>
  <si>
    <r>
      <t>工序电力消费量（变压器-配变干变-浇注固化）</t>
    </r>
  </si>
  <si>
    <r>
      <t>Q变-配变干变-浇注固化-电</t>
    </r>
  </si>
  <si>
    <r>
      <t>变压器-配变干变</t>
    </r>
  </si>
  <si>
    <r>
      <t>浇注固化</t>
    </r>
  </si>
  <si>
    <r>
      <t>变压器配变干变产线浇注固化工序中电力消费量。</t>
    </r>
  </si>
  <si>
    <r>
      <t>IND-063（单位产量电耗（变压器-配变干变-浇注固化））</t>
    </r>
  </si>
  <si>
    <r>
      <t>颗粒度：产线「变压器-配变干变」× 工序「浇注固化」。原表变量符号「Q变-配变干变-浇注固化-电」。</t>
    </r>
  </si>
  <si>
    <r>
      <t>EN-KE22</t>
    </r>
  </si>
  <si>
    <r>
      <t>工序电力消费量（变压器-配变干变-试验）</t>
    </r>
  </si>
  <si>
    <r>
      <t>Q变-配变干变-试验-电</t>
    </r>
  </si>
  <si>
    <r>
      <t>变压器配变干变产线试验工序中电力消费量。</t>
    </r>
  </si>
  <si>
    <r>
      <t>IND-065（单位产量电耗（变压器-配变干变-试验））</t>
    </r>
  </si>
  <si>
    <r>
      <t>颗粒度：产线「变压器-配变干变」× 工序「试验」。原表变量符号「Q变-配变干变-试验-电」。</t>
    </r>
  </si>
  <si>
    <r>
      <t>EN-KE23</t>
    </r>
  </si>
  <si>
    <r>
      <t>工序电力消费量（变压器-配变油变-器身干燥）</t>
    </r>
  </si>
  <si>
    <r>
      <t>Q变-配变油变-器身干燥-电</t>
    </r>
  </si>
  <si>
    <r>
      <t>变压器-配变油变</t>
    </r>
  </si>
  <si>
    <r>
      <t>变压器配变油变产线器身干燥工序中电力消费量。</t>
    </r>
  </si>
  <si>
    <r>
      <t>IND-059（单位产量电耗（变压器-配变油变-器身干燥））</t>
    </r>
  </si>
  <si>
    <r>
      <t>颗粒度：产线「变压器-配变油变」× 工序「器身干燥」。原表变量符号「Q变-配变油变-器身干燥-电」。</t>
    </r>
  </si>
  <si>
    <r>
      <t>EN-KE24</t>
    </r>
  </si>
  <si>
    <r>
      <t>工序电力消费量（变压器-配变油变-试验）</t>
    </r>
  </si>
  <si>
    <r>
      <t>Q变-配变油变-试验-电</t>
    </r>
  </si>
  <si>
    <r>
      <t>变压器配变油变产线试验工序中电力消费量。</t>
    </r>
  </si>
  <si>
    <r>
      <t>IND-061（单位产量电耗（变压器-配变油变-试验））</t>
    </r>
  </si>
  <si>
    <r>
      <t>颗粒度：产线「变压器-配变油变」× 工序「试验」。原表变量符号「Q变-配变油变-试验-电」。</t>
    </r>
  </si>
  <si>
    <r>
      <t>EN-KE25</t>
    </r>
  </si>
  <si>
    <r>
      <t>工序电力消费量（变压器-配变箱变-器身干燥）</t>
    </r>
  </si>
  <si>
    <r>
      <t>Q变-配变箱变-器身干燥-电</t>
    </r>
  </si>
  <si>
    <r>
      <t>变压器-配变箱变</t>
    </r>
  </si>
  <si>
    <r>
      <t>变压器配变箱变产线器身干燥工序中电力消费量。</t>
    </r>
  </si>
  <si>
    <r>
      <t>IND-051（单位产量电耗（变压器-配变箱变-器身干燥））</t>
    </r>
  </si>
  <si>
    <r>
      <t>颗粒度：产线「变压器-配变箱变」× 工序「器身干燥」。原表变量符号「Q变-配变箱变-器身干燥-电」。</t>
    </r>
  </si>
  <si>
    <r>
      <t>EN-KE26</t>
    </r>
  </si>
  <si>
    <r>
      <t>工序电力消费量（变压器-配变箱变-试验）</t>
    </r>
  </si>
  <si>
    <r>
      <t>Q变-配变箱变-试验-电</t>
    </r>
  </si>
  <si>
    <r>
      <t>变压器配变箱变产线试验工序中电力消费量。</t>
    </r>
  </si>
  <si>
    <r>
      <t>IND-053（单位产量电耗（变压器-配变箱变-试验））</t>
    </r>
  </si>
  <si>
    <r>
      <t>颗粒度：产线「变压器-配变箱变」× 工序「试验」。原表变量符号「Q变-配变箱变-试验-电」。</t>
    </r>
  </si>
  <si>
    <r>
      <t>EN-KE27</t>
    </r>
  </si>
  <si>
    <r>
      <t>工序电力消费量（变压器-高压-器身干燥）</t>
    </r>
  </si>
  <si>
    <r>
      <t>Q变-高压-器身干燥-电</t>
    </r>
  </si>
  <si>
    <r>
      <t>变压器-高压</t>
    </r>
  </si>
  <si>
    <r>
      <t>变压器高压产线器身干燥工序中电力消费量。</t>
    </r>
  </si>
  <si>
    <r>
      <t>IND-046（单位产量电耗（变压器-高压-器身干燥））</t>
    </r>
  </si>
  <si>
    <r>
      <t>颗粒度：产线「变压器-高压」× 工序「器身干燥」。原表变量符号「Q变-高压-器身干燥-电」。</t>
    </r>
  </si>
  <si>
    <r>
      <t>EN-KE28</t>
    </r>
  </si>
  <si>
    <r>
      <t>工序电力消费量（变压器-高压-试验）</t>
    </r>
  </si>
  <si>
    <r>
      <t>Q变-高压-试验-电</t>
    </r>
  </si>
  <si>
    <r>
      <t>变压器高压产线试验工序中电力消费量。</t>
    </r>
  </si>
  <si>
    <r>
      <t>IND-049（单位产量电耗（变压器-高压-试验））</t>
    </r>
  </si>
  <si>
    <r>
      <t>颗粒度：产线「变压器-高压」× 工序「试验」。原表变量符号「Q变-高压-试验-电」。</t>
    </r>
  </si>
  <si>
    <r>
      <t>EN-KE29</t>
    </r>
  </si>
  <si>
    <r>
      <t>工序电力消费量（套管-卷制）</t>
    </r>
  </si>
  <si>
    <r>
      <t>Q套-卷制-电</t>
    </r>
  </si>
  <si>
    <r>
      <t>套管</t>
    </r>
  </si>
  <si>
    <r>
      <t>卷制</t>
    </r>
  </si>
  <si>
    <r>
      <t>套管卷制工序电力消费量。</t>
    </r>
  </si>
  <si>
    <r>
      <t>IND-069（单位产值电耗（套管-卷制），能耗占比较小，沈变建议去掉）</t>
    </r>
  </si>
  <si>
    <r>
      <t>颗粒度：产线「套管」× 工序「卷制」。原表变量符号「Q套-卷制-电」。</t>
    </r>
  </si>
  <si>
    <r>
      <t>EN-KE30</t>
    </r>
  </si>
  <si>
    <r>
      <t>工序电力消费量（套管-干燥）</t>
    </r>
  </si>
  <si>
    <r>
      <t>Q套-干燥-电</t>
    </r>
  </si>
  <si>
    <r>
      <t>套管干燥工序电力消费量。</t>
    </r>
  </si>
  <si>
    <r>
      <t>IND-068（单位产值电耗（套管-干燥））</t>
    </r>
  </si>
  <si>
    <r>
      <t>颗粒度：产线「套管」× 工序「干燥」。原表变量符号「Q套-干燥-电」。</t>
    </r>
  </si>
  <si>
    <r>
      <t>EN-KE31</t>
    </r>
  </si>
  <si>
    <r>
      <t>工序电力消费量（套管-试验）</t>
    </r>
  </si>
  <si>
    <r>
      <t>Q套-试验-电</t>
    </r>
  </si>
  <si>
    <r>
      <t>套管试验工序电力消费量。</t>
    </r>
  </si>
  <si>
    <r>
      <t>IND-070（单位产值电耗（套管-试验），能耗占比较小，沈变建议去掉）</t>
    </r>
  </si>
  <si>
    <r>
      <t>颗粒度：产线「套管」× 工序「试验」。原表变量符号「Q套-试验-电」。</t>
    </r>
  </si>
  <si>
    <r>
      <t>EN-KE32</t>
    </r>
  </si>
  <si>
    <r>
      <t>工序电力消费量（干式电抗器-固化）</t>
    </r>
  </si>
  <si>
    <r>
      <t>Q抗-固化-电</t>
    </r>
  </si>
  <si>
    <r>
      <t>干式电抗器</t>
    </r>
  </si>
  <si>
    <r>
      <t>固化</t>
    </r>
  </si>
  <si>
    <r>
      <t>干式电抗器固化工序电力消费量。</t>
    </r>
  </si>
  <si>
    <r>
      <t>IND-082（单位产值电耗（干式电抗器-固化））</t>
    </r>
  </si>
  <si>
    <r>
      <t>颗粒度：产线「干式电抗器」× 工序「固化」。原表变量符号「Q抗-固化-电」。</t>
    </r>
  </si>
  <si>
    <r>
      <t>EN-KE33</t>
    </r>
  </si>
  <si>
    <r>
      <t>工序电力消费量（干式电抗器-试验）</t>
    </r>
  </si>
  <si>
    <r>
      <t>Q抗-试验-电</t>
    </r>
  </si>
  <si>
    <r>
      <t>干式电抗器试验工序电力消费量。</t>
    </r>
  </si>
  <si>
    <r>
      <t>IND-083（单位产值电耗（干式电抗器-试验））</t>
    </r>
  </si>
  <si>
    <r>
      <t>颗粒度：产线「干式电抗器」× 工序「试验」。原表变量符号「Q抗-试验-电」。</t>
    </r>
  </si>
  <si>
    <r>
      <t>EN-KE34</t>
    </r>
  </si>
  <si>
    <r>
      <t>工序电力消费量（电容器-喷漆）</t>
    </r>
  </si>
  <si>
    <r>
      <t>Q容-喷漆-电</t>
    </r>
  </si>
  <si>
    <r>
      <t>电容器</t>
    </r>
  </si>
  <si>
    <r>
      <t>喷漆</t>
    </r>
  </si>
  <si>
    <r>
      <t>电容器喷漆工序中电力消费量。</t>
    </r>
  </si>
  <si>
    <r>
      <t>IND-080（单位产量电耗（电容器-喷漆））</t>
    </r>
  </si>
  <si>
    <r>
      <t>颗粒度：产线「电容器」× 工序「喷漆」。原表变量符号「Q容-喷漆-电」。</t>
    </r>
  </si>
  <si>
    <r>
      <t>EN-KE35</t>
    </r>
  </si>
  <si>
    <r>
      <t>工序电力消费量（电容器-真空浸渍）</t>
    </r>
  </si>
  <si>
    <r>
      <t>Q容-真空-电</t>
    </r>
  </si>
  <si>
    <r>
      <t>真空浸渍</t>
    </r>
  </si>
  <si>
    <r>
      <t>电容器真空浸渍工序中电力消费量。</t>
    </r>
  </si>
  <si>
    <r>
      <t>IND-079（单位产量电耗（电容器-真空浸渍））</t>
    </r>
  </si>
  <si>
    <r>
      <t>颗粒度：产线「电容器」× 工序「真空浸渍」。原表变量符号「Q容-真空-电」。</t>
    </r>
  </si>
  <si>
    <r>
      <t>EN-KE36</t>
    </r>
  </si>
  <si>
    <r>
      <t>工序电力消费量（电容器-芯子卷绕）</t>
    </r>
  </si>
  <si>
    <r>
      <t>Q容-卷绕-电</t>
    </r>
  </si>
  <si>
    <r>
      <t>芯子卷绕</t>
    </r>
  </si>
  <si>
    <r>
      <t>电容器芯子卷绕工序中电力消费量。</t>
    </r>
  </si>
  <si>
    <r>
      <t>IND-078（单位产量电耗（电容器-芯子卷绕））</t>
    </r>
  </si>
  <si>
    <r>
      <t>颗粒度：产线「电容器」× 工序「芯子卷绕」。原表变量符号「Q容-卷绕-电」。</t>
    </r>
  </si>
  <si>
    <r>
      <t>EN-KE37</t>
    </r>
  </si>
  <si>
    <r>
      <t>工序电力消费量（电容器-试验）</t>
    </r>
  </si>
  <si>
    <r>
      <t>Q容-试验-电</t>
    </r>
  </si>
  <si>
    <r>
      <t>电容器试验工序中电力消费量。</t>
    </r>
  </si>
  <si>
    <r>
      <t>IND-081（单位产量电耗（电容器-试验））</t>
    </r>
  </si>
  <si>
    <r>
      <t>颗粒度：产线「电容器」× 工序「试验」。原表变量符号「Q容-试验-电」。</t>
    </r>
  </si>
  <si>
    <r>
      <t>EN-KE38</t>
    </r>
  </si>
  <si>
    <r>
      <t>工序电力消费量（硅钢铁心-中型叠装）</t>
    </r>
  </si>
  <si>
    <r>
      <t>Q硅钢-中型叠装-电</t>
    </r>
  </si>
  <si>
    <r>
      <t>硅钢铁心</t>
    </r>
  </si>
  <si>
    <r>
      <t>中型叠装</t>
    </r>
  </si>
  <si>
    <r>
      <t>硅钢铁心中型叠装工序中电力消费量。</t>
    </r>
  </si>
  <si>
    <r>
      <t>IND-093（单位产量电耗（硅钢铁心-中型叠装））</t>
    </r>
  </si>
  <si>
    <r>
      <t>颗粒度：产线「硅钢铁心」× 工序「中型叠装」。原表变量符号「Q硅钢-中型叠装-电」。</t>
    </r>
  </si>
  <si>
    <r>
      <t>EN-KE39</t>
    </r>
  </si>
  <si>
    <r>
      <t>工序电力消费量（硅钢铁心-大型叠装）</t>
    </r>
  </si>
  <si>
    <r>
      <t>Q硅钢-大型叠装-电</t>
    </r>
  </si>
  <si>
    <r>
      <t>大型叠装</t>
    </r>
  </si>
  <si>
    <r>
      <t>硅钢铁心大型叠装工序中电力消费量。</t>
    </r>
  </si>
  <si>
    <r>
      <t>IND-094（单位产量电耗（硅钢铁心-大型叠装））</t>
    </r>
  </si>
  <si>
    <r>
      <t>颗粒度：产线「硅钢铁心」× 工序「大型叠装」。原表变量符号「Q硅钢-大型叠装-电」。</t>
    </r>
  </si>
  <si>
    <r>
      <t>EN-KE40</t>
    </r>
  </si>
  <si>
    <r>
      <t>工序电力消费量（硅钢铁心-纵剪）</t>
    </r>
  </si>
  <si>
    <r>
      <t>Q硅钢-纵剪-电</t>
    </r>
  </si>
  <si>
    <r>
      <t>纵剪</t>
    </r>
  </si>
  <si>
    <r>
      <t>硅钢铁心纵剪工序中电力消费量。</t>
    </r>
  </si>
  <si>
    <r>
      <t>IND-092（单位产量电耗（硅钢铁心-纵剪））</t>
    </r>
  </si>
  <si>
    <r>
      <t>颗粒度：产线「硅钢铁心」× 工序「纵剪」。原表变量符号「Q硅钢-纵剪-电」。</t>
    </r>
  </si>
  <si>
    <r>
      <t>EN-KE41</t>
    </r>
  </si>
  <si>
    <r>
      <t>工序电力消费量（线缆-中压电缆-交联）</t>
    </r>
  </si>
  <si>
    <r>
      <t>Q线缆-中压电缆-交联-电</t>
    </r>
  </si>
  <si>
    <r>
      <t>线缆-中压电缆</t>
    </r>
  </si>
  <si>
    <r>
      <t>交联</t>
    </r>
  </si>
  <si>
    <r>
      <t>中压电缆产线中交联工序电力消费量。</t>
    </r>
  </si>
  <si>
    <r>
      <t>IND-026（中压交联（干法）（线缆-中压电缆-交联））</t>
    </r>
  </si>
  <si>
    <r>
      <t>颗粒度：产线「线缆-中压电缆」× 工序「交联」。原表变量符号「Q线缆-中压电缆-交联-电」。</t>
    </r>
  </si>
  <si>
    <r>
      <t>EN-KE42</t>
    </r>
  </si>
  <si>
    <r>
      <t>工序电力消费量（线缆-中压电缆-拉丝·铜）</t>
    </r>
  </si>
  <si>
    <r>
      <t>Q线缆-中压电缆-拉丝Cu-电</t>
    </r>
  </si>
  <si>
    <r>
      <t>拉丝</t>
    </r>
  </si>
  <si>
    <r>
      <t>中压电缆产线中拉丝工序电力消费量（计量对象：铜）。</t>
    </r>
  </si>
  <si>
    <r>
      <t>IND-024（吨铜电耗（线缆-中压电缆-拉丝））</t>
    </r>
  </si>
  <si>
    <r>
      <t>颗粒度：产线「线缆-中压电缆」× 工序「拉丝」× 物料「铜」。原表变量符号「Q线缆-中压电缆-拉丝Cu-电」。</t>
    </r>
  </si>
  <si>
    <r>
      <t>EN-KE43</t>
    </r>
  </si>
  <si>
    <r>
      <t>工序电力消费量（线缆-中压电缆-拉丝·铝）</t>
    </r>
  </si>
  <si>
    <r>
      <t>Q线缆-中压电缆-拉丝Al-电</t>
    </r>
  </si>
  <si>
    <r>
      <t>中压电缆产线中拉丝工序电力消费量（计量对象：铝）。</t>
    </r>
  </si>
  <si>
    <r>
      <t>IND-025（吨铝电耗（线缆-中压电缆-拉丝））</t>
    </r>
  </si>
  <si>
    <r>
      <t>颗粒度：产线「线缆-中压电缆」× 工序「拉丝」× 物料「铝」。原表变量符号「Q线缆-中压电缆-拉丝Al-电」。</t>
    </r>
  </si>
  <si>
    <r>
      <t>EN-KE44</t>
    </r>
  </si>
  <si>
    <r>
      <t>工序电力消费量（线缆-低压电缆-拉丝·铜）</t>
    </r>
  </si>
  <si>
    <r>
      <t>Q线缆-低压电缆-拉丝Cu-电</t>
    </r>
  </si>
  <si>
    <r>
      <t>线缆-低压电缆</t>
    </r>
  </si>
  <si>
    <r>
      <t>低压电缆产线中拉丝工序电力消费量（计量对象：铜）。</t>
    </r>
  </si>
  <si>
    <r>
      <t>IND-027（吨铜电耗（线缆-低压电缆-拉丝））</t>
    </r>
  </si>
  <si>
    <r>
      <t>颗粒度：产线「线缆-低压电缆」× 工序「拉丝」× 物料「铜」。原表变量符号「Q线缆-低压电缆-拉丝Cu-电」。</t>
    </r>
  </si>
  <si>
    <r>
      <t>EN-KE45</t>
    </r>
  </si>
  <si>
    <r>
      <t>工序电力消费量（线缆-低压电缆-拉丝·铝）</t>
    </r>
  </si>
  <si>
    <r>
      <t>Q线缆-低压电缆-拉丝Al-电</t>
    </r>
  </si>
  <si>
    <r>
      <t>低压电缆产线中拉丝工序电力消费量（计量对象：铝）。</t>
    </r>
  </si>
  <si>
    <r>
      <t>IND-028（吨铝电耗（线缆-低压电缆-拉丝））</t>
    </r>
  </si>
  <si>
    <r>
      <t>颗粒度：产线「线缆-低压电缆」× 工序「拉丝」× 物料「铝」。原表变量符号「Q线缆-低压电缆-拉丝Al-电」。</t>
    </r>
  </si>
  <si>
    <r>
      <t>工序电力消费量（线缆-导线-拉丝·铜）</t>
    </r>
  </si>
  <si>
    <r>
      <t>Q线缆-导线-拉丝Cu-电</t>
    </r>
  </si>
  <si>
    <r>
      <t>线缆-导线</t>
    </r>
  </si>
  <si>
    <r>
      <t>导线产线中拉丝工序电力消费量（计量对象：铜）。</t>
    </r>
  </si>
  <si>
    <r>
      <t>IND-017（吨铜电耗（线缆-导线-拉丝））</t>
    </r>
  </si>
  <si>
    <r>
      <t>颗粒度：产线「线缆-导线」× 工序「拉丝」× 物料「铜」。原表变量符号「Q线缆-导线-拉丝Cu-电」。</t>
    </r>
  </si>
  <si>
    <r>
      <t>EN-KE47</t>
    </r>
  </si>
  <si>
    <r>
      <t>工序电力消费量（线缆-导线-拉丝·铝）</t>
    </r>
  </si>
  <si>
    <r>
      <t>Q线缆-导线-拉丝Al-电</t>
    </r>
  </si>
  <si>
    <r>
      <t>导线产线中拉丝工序电力消费量（计量对象：铝）。</t>
    </r>
  </si>
  <si>
    <r>
      <t>IND-018（吨铝电耗（线缆-导线-拉丝））</t>
    </r>
  </si>
  <si>
    <r>
      <t>颗粒度：产线「线缆-导线」× 工序「拉丝」× 物料「铝」。原表变量符号「Q线缆-导线-拉丝Al-电」。</t>
    </r>
  </si>
  <si>
    <r>
      <t>EN-KE48</t>
    </r>
  </si>
  <si>
    <r>
      <t>工序电力消费量（线缆-布电线-拉丝·铜）</t>
    </r>
  </si>
  <si>
    <r>
      <t>Q线缆-布电线-拉丝Cu-电</t>
    </r>
  </si>
  <si>
    <r>
      <t>线缆-布电线</t>
    </r>
  </si>
  <si>
    <r>
      <t>布电线产线中拉丝工序电力消费量（计量对象：铜）。</t>
    </r>
  </si>
  <si>
    <r>
      <t>IND-019（吨铜电耗（线缆-布电线-拉丝））</t>
    </r>
  </si>
  <si>
    <r>
      <t>颗粒度：产线「线缆-布电线」× 工序「拉丝」× 物料「铜」。原表变量符号「Q线缆-布电线-拉丝Cu-电」。</t>
    </r>
  </si>
  <si>
    <r>
      <t>EN-KE49</t>
    </r>
  </si>
  <si>
    <r>
      <t>工序电力消费量（线缆-布电线-拉丝·铝）</t>
    </r>
  </si>
  <si>
    <r>
      <t>Q线缆-布电线-拉丝Al-电</t>
    </r>
  </si>
  <si>
    <r>
      <t>布电线产线中拉丝工序电力消费量（计量对象：铝）。</t>
    </r>
  </si>
  <si>
    <r>
      <t>IND-020（吨铝电耗（线缆-布电线-拉丝））</t>
    </r>
  </si>
  <si>
    <r>
      <t>颗粒度：产线「线缆-布电线」× 工序「拉丝」× 物料「铝」。原表变量符号「Q线缆-布电线-拉丝Al-电」。</t>
    </r>
  </si>
  <si>
    <r>
      <t>EN-KE50</t>
    </r>
  </si>
  <si>
    <r>
      <t>工序电力消费量（线缆-橡套电缆-拉丝·铜）</t>
    </r>
  </si>
  <si>
    <r>
      <t>Q线缆-橡套电缆-拉丝Cu-电</t>
    </r>
  </si>
  <si>
    <r>
      <t>线缆-橡套电缆</t>
    </r>
  </si>
  <si>
    <r>
      <t>橡套电缆产线中拉丝工序电力消费量（计量对象：铜）。</t>
    </r>
  </si>
  <si>
    <r>
      <t>IND-033（吨铜电耗（线缆-橡套电缆-拉丝））</t>
    </r>
  </si>
  <si>
    <r>
      <t>颗粒度：产线「线缆-橡套电缆」× 工序「拉丝」× 物料「铜」。原表变量符号「Q线缆-橡套电缆-拉丝Cu-电」。</t>
    </r>
  </si>
  <si>
    <r>
      <t>EN-KE51</t>
    </r>
  </si>
  <si>
    <r>
      <t>工序电力消费量（线缆-橡套电缆-拉丝·铝）</t>
    </r>
  </si>
  <si>
    <r>
      <t>Q线缆-橡套电缆-拉丝Al-电</t>
    </r>
  </si>
  <si>
    <r>
      <t>橡套电缆产线中拉丝工序电力消费量（计量对象：铝）。</t>
    </r>
  </si>
  <si>
    <r>
      <t>IND-034（吨铝电耗（线缆-橡套电缆-拉丝））</t>
    </r>
  </si>
  <si>
    <r>
      <t>颗粒度：产线「线缆-橡套电缆」× 工序「拉丝」× 物料「铝」。原表变量符号「Q线缆-橡套电缆-拉丝Al-电」。</t>
    </r>
  </si>
  <si>
    <r>
      <t>EN-KE52</t>
    </r>
  </si>
  <si>
    <r>
      <t>工序电力消费量（线缆-特种电缆-拉丝·铜）</t>
    </r>
  </si>
  <si>
    <r>
      <t>Q线缆-特种电缆-拉丝Cu-电</t>
    </r>
  </si>
  <si>
    <r>
      <t>线缆-特种电缆</t>
    </r>
  </si>
  <si>
    <r>
      <t>特种电缆产线中拉丝工序电力消费量（计量对象：铜）。</t>
    </r>
  </si>
  <si>
    <r>
      <t>IND-029（吨铜电耗（线缆-特种电缆-拉丝））</t>
    </r>
  </si>
  <si>
    <r>
      <t>颗粒度：产线「线缆-特种电缆」× 工序「拉丝」× 物料「铜」。原表变量符号「Q线缆-特种电缆-拉丝Cu-电」。</t>
    </r>
  </si>
  <si>
    <r>
      <t>EN-KE53</t>
    </r>
  </si>
  <si>
    <r>
      <t>工序电力消费量（线缆-特种电缆-拉丝·铝）</t>
    </r>
  </si>
  <si>
    <r>
      <t>Q线缆-特种电缆-拉丝Al-电</t>
    </r>
  </si>
  <si>
    <r>
      <t>特种电缆产线中拉丝工序电力消费量（计量对象：铝）。</t>
    </r>
  </si>
  <si>
    <r>
      <t>IND-030（吨铝电耗（线缆-特种电缆-拉丝））</t>
    </r>
  </si>
  <si>
    <r>
      <t>颗粒度：产线「线缆-特种电缆」× 工序「拉丝」× 物料「铝」。原表变量符号「Q线缆-特种电缆-拉丝Al-电」。</t>
    </r>
  </si>
  <si>
    <r>
      <t>EN-KE54</t>
    </r>
  </si>
  <si>
    <r>
      <t>工序电力消费量（线缆-装备电缆-拉丝·铜）</t>
    </r>
  </si>
  <si>
    <r>
      <t>Q线缆-装备电缆-拉丝Cu-电</t>
    </r>
  </si>
  <si>
    <r>
      <t>线缆-装备电缆</t>
    </r>
  </si>
  <si>
    <r>
      <t>装备电缆产线中拉丝工序电力消费量（计量对象：铜）。</t>
    </r>
  </si>
  <si>
    <r>
      <t>IND-031（吨铜电耗（线缆-装备电缆-拉丝））</t>
    </r>
  </si>
  <si>
    <r>
      <t>颗粒度：产线「线缆-装备电缆」× 工序「拉丝」× 物料「铜」。原表变量符号「Q线缆-装备电缆-拉丝Cu-电」。</t>
    </r>
  </si>
  <si>
    <r>
      <t>EN-KE55</t>
    </r>
  </si>
  <si>
    <r>
      <t>工序电力消费量（线缆-装备电缆-拉丝·铝）</t>
    </r>
  </si>
  <si>
    <r>
      <t>Q线缆-装备电缆-拉丝Al-电</t>
    </r>
  </si>
  <si>
    <r>
      <t>装备电缆产线中拉丝工序电力消费量（计量对象：铝）。</t>
    </r>
  </si>
  <si>
    <r>
      <t>IND-032（吨铝电耗（线缆-装备电缆-拉丝））</t>
    </r>
  </si>
  <si>
    <r>
      <t>颗粒度：产线「线缆-装备电缆」× 工序「拉丝」× 物料「铝」。原表变量符号「Q线缆-装备电缆-拉丝Al-电」。</t>
    </r>
  </si>
  <si>
    <r>
      <t>EN-KE56</t>
    </r>
  </si>
  <si>
    <r>
      <t>工序电力消费量（线缆-高压电缆-交联）</t>
    </r>
  </si>
  <si>
    <r>
      <t>Q线缆-高压电缆-交联-电</t>
    </r>
  </si>
  <si>
    <r>
      <t>线缆-高压电缆</t>
    </r>
  </si>
  <si>
    <r>
      <t>高压电缆产线中交联工序电力消费量。</t>
    </r>
  </si>
  <si>
    <r>
      <t>IND-023（高压交联（干法）（线缆-高压电缆-交联））</t>
    </r>
  </si>
  <si>
    <r>
      <t>颗粒度：产线「线缆-高压电缆」× 工序「交联」。原表变量符号「Q线缆-高压电缆-交联-电」。</t>
    </r>
  </si>
  <si>
    <r>
      <t>EN-KE57</t>
    </r>
  </si>
  <si>
    <r>
      <t>工序电力消费量（线缆-高压电缆-拉丝·铜）</t>
    </r>
  </si>
  <si>
    <r>
      <t>Q线缆-高压电缆-拉丝Cu-电</t>
    </r>
  </si>
  <si>
    <r>
      <t>高压电缆产线中拉丝工序电力消费量（计量对象：铜）。</t>
    </r>
  </si>
  <si>
    <r>
      <t>IND-021（吨铜电耗（线缆-高压电缆-拉丝））</t>
    </r>
  </si>
  <si>
    <r>
      <t>颗粒度：产线「线缆-高压电缆」× 工序「拉丝」× 物料「铜」。原表变量符号「Q线缆-高压电缆-拉丝Cu-电」。</t>
    </r>
  </si>
  <si>
    <r>
      <t>EN-KE58</t>
    </r>
  </si>
  <si>
    <r>
      <t>工序电力消费量（线缆-高压电缆-拉丝·铝）</t>
    </r>
  </si>
  <si>
    <r>
      <t>Q线缆-高压电缆-拉丝Al-电</t>
    </r>
  </si>
  <si>
    <r>
      <t>高压电缆产线中拉丝工序电力消费量（计量对象：铝）。</t>
    </r>
  </si>
  <si>
    <r>
      <t>IND-022（吨铝电耗（线缆-高压电缆-拉丝））</t>
    </r>
  </si>
  <si>
    <r>
      <t>颗粒度：产线「线缆-高压电缆」× 工序「拉丝」× 物料「铝」。原表变量符号「Q线缆-高压电缆-拉丝Al-电」。</t>
    </r>
  </si>
  <si>
    <r>
      <t>EN-KE59</t>
    </r>
  </si>
  <si>
    <r>
      <t>工序电力消费量（非晶合金铁心-退火）</t>
    </r>
  </si>
  <si>
    <r>
      <t>Q非晶-退火-电</t>
    </r>
  </si>
  <si>
    <r>
      <t>非晶合金铁心</t>
    </r>
  </si>
  <si>
    <r>
      <t>退火</t>
    </r>
  </si>
  <si>
    <r>
      <t>非晶合金铁心退火工序中电力消费量。</t>
    </r>
  </si>
  <si>
    <r>
      <t>IND-091（单位产量电耗（非晶合金铁心-退火））</t>
    </r>
  </si>
  <si>
    <r>
      <t>颗粒度：产线「非晶合金铁心」× 工序「退火」。原表变量符号「Q非晶-退火-电」。</t>
    </r>
  </si>
  <si>
    <r>
      <t>EN-KS01</t>
    </r>
  </si>
  <si>
    <r>
      <t>工序蒸汽消费量（互感器-干燥）</t>
    </r>
  </si>
  <si>
    <r>
      <t>Q互-干燥-蒸汽</t>
    </r>
  </si>
  <si>
    <r>
      <t>互感器干燥工序蒸汽能源消费量。</t>
    </r>
  </si>
  <si>
    <r>
      <t>能源计量系统 / 蒸汽流量计</t>
    </r>
  </si>
  <si>
    <r>
      <t>能源计量系统.产线-工序计量点.蒸汽累计流量</t>
    </r>
  </si>
  <si>
    <r>
      <t>IND-073（单位产值蒸汽消耗（互感器-干燥））</t>
    </r>
  </si>
  <si>
    <r>
      <t>非负、与计量点绑定、按月累计、单位 t</t>
    </r>
  </si>
  <si>
    <r>
      <t>颗粒度：产线「互感器」× 工序「干燥」。原表变量符号「Q互-干燥-蒸汽」。</t>
    </r>
  </si>
  <si>
    <r>
      <t>EN-KS02</t>
    </r>
  </si>
  <si>
    <r>
      <t>工序蒸汽消费量（变压器-特高压-器身干燥）</t>
    </r>
  </si>
  <si>
    <r>
      <t>Q变-特高压-器身干燥-蒸汽</t>
    </r>
  </si>
  <si>
    <r>
      <t>变压器特高压产线器身干燥工序中蒸汽能源消费量。</t>
    </r>
  </si>
  <si>
    <r>
      <t>IND-037（单位产量蒸汽耗（变压器-特高压-器身干燥））</t>
    </r>
  </si>
  <si>
    <r>
      <t>颗粒度：产线「变压器-特高压」× 工序「器身干燥」。原表变量符号「Q变-特高压-器身干燥-蒸汽」。</t>
    </r>
  </si>
  <si>
    <r>
      <t>EN-KS03</t>
    </r>
  </si>
  <si>
    <r>
      <t>工序蒸汽消费量（变压器-超高压-器身干燥）</t>
    </r>
  </si>
  <si>
    <r>
      <t>Q变-超高压-器身干燥-蒸汽</t>
    </r>
  </si>
  <si>
    <r>
      <t>变压器超高压产线器身干燥工序中蒸汽能源消费量。</t>
    </r>
  </si>
  <si>
    <r>
      <t>IND-042（单位产量蒸汽耗（变压器-超高压-器身干燥））</t>
    </r>
  </si>
  <si>
    <r>
      <t>颗粒度：产线「变压器-超高压」× 工序「器身干燥」。原表变量符号「Q变-超高压-器身干燥-蒸汽」。</t>
    </r>
  </si>
  <si>
    <r>
      <t>EN-KS04</t>
    </r>
  </si>
  <si>
    <r>
      <t>工序蒸汽消费量（变压器-高压-器身干燥）</t>
    </r>
  </si>
  <si>
    <r>
      <t>Q变-高压-器身干燥-蒸汽</t>
    </r>
  </si>
  <si>
    <r>
      <t>变压器高压产线器身干燥工序中蒸汽能源消费量。</t>
    </r>
  </si>
  <si>
    <r>
      <t>IND-047（单位产量蒸汽耗（变压器-高压-器身干燥））</t>
    </r>
  </si>
  <si>
    <r>
      <t>颗粒度：产线「变压器-高压」× 工序「器身干燥」。原表变量符号「Q变-高压-器身干燥-蒸汽」。</t>
    </r>
  </si>
  <si>
    <r>
      <t>EN-KT01</t>
    </r>
  </si>
  <si>
    <r>
      <t>工序综合能源消费量（互感器-干燥）</t>
    </r>
  </si>
  <si>
    <r>
      <t>E互-干燥</t>
    </r>
  </si>
  <si>
    <r>
      <t>互感器干燥工序综合能源消费量。</t>
    </r>
  </si>
  <si>
    <r>
      <t>能源计量系统（各能源品种折算汇总）</t>
    </r>
  </si>
  <si>
    <r>
      <t>由本工序电力、蒸汽等品种折算汇总</t>
    </r>
  </si>
  <si>
    <r>
      <t>IND-071（单位产值综合能耗（互感器-干燥））</t>
    </r>
  </si>
  <si>
    <r>
      <t>＝EN-KE13 工序电力消费量（互感器-干燥）（kWh） + EN-KS01 工序蒸汽消费量（互感器-干燥）（t）</t>
    </r>
  </si>
  <si>
    <r>
      <t>非负、= Σ(本工序各能源品种消费量 × 折标准煤系数) ÷ 1000</t>
    </r>
  </si>
  <si>
    <r>
      <t>颗粒度：产线「互感器」× 工序「干燥」。原表变量符号「E互-干燥」。</t>
    </r>
  </si>
  <si>
    <r>
      <t>EN-KT02</t>
    </r>
  </si>
  <si>
    <r>
      <t>工序综合能源消费量（变压器-特高压-器身干燥）</t>
    </r>
  </si>
  <si>
    <r>
      <t>E变-特高压-器身干燥</t>
    </r>
  </si>
  <si>
    <r>
      <t>变压器特高压产线器身干燥工序综合能源消费量。</t>
    </r>
  </si>
  <si>
    <r>
      <t>IND-035（单位产量能耗（变压器-特高压-器身干燥））</t>
    </r>
  </si>
  <si>
    <r>
      <t>＝EN-KE15 工序电力消费量（变压器-特高压-器身干燥）（kWh） + EN-KS02 工序蒸汽消费量（变压器-特高压-器身干燥）（t）</t>
    </r>
  </si>
  <si>
    <r>
      <t>颗粒度：产线「变压器-特高压」× 工序「器身干燥」。原表变量符号「E变-特高压-器身干燥」。</t>
    </r>
  </si>
  <si>
    <r>
      <t>EN-KT03</t>
    </r>
  </si>
  <si>
    <r>
      <t>工序综合能源消费量（变压器-特高压-试验）</t>
    </r>
  </si>
  <si>
    <r>
      <t>E变-特高压-试验</t>
    </r>
  </si>
  <si>
    <r>
      <t>变压器特高压产线试验工序综合能源消费量。</t>
    </r>
  </si>
  <si>
    <r>
      <t>IND-038（单位产量能耗（变压器-特高压-试验））</t>
    </r>
  </si>
  <si>
    <r>
      <t>＝EN-KE16 工序电力消费量（变压器-特高压-试验）（kWh）；本工序除电力外的能源品种（蒸汽 / 天然气 / 热力等）源表未单列，综合能耗值须由项目公司确认品种构成后补充对应参数编码。</t>
    </r>
  </si>
  <si>
    <r>
      <t>颗粒度：产线「变压器-特高压」× 工序「试验」。原表变量符号「E变-特高压-试验」。</t>
    </r>
  </si>
  <si>
    <r>
      <t>EN-KT04</t>
    </r>
  </si>
  <si>
    <r>
      <t>工序综合能源消费量（变压器-超高压-器身干燥）</t>
    </r>
  </si>
  <si>
    <r>
      <t>E变-超高压-器身干燥</t>
    </r>
  </si>
  <si>
    <r>
      <t>变压器超高压产线器身干燥工序综合能源消费量。</t>
    </r>
  </si>
  <si>
    <r>
      <t>IND-040（单位产量能耗（变压器-超高压-器身干燥））</t>
    </r>
  </si>
  <si>
    <r>
      <t>＝EN-KE17 工序电力消费量（变压器-超高压-器身干燥）（kWh） + EN-KS03 工序蒸汽消费量（变压器-超高压-器身干燥）（t）</t>
    </r>
  </si>
  <si>
    <r>
      <t>颗粒度：产线「变压器-超高压」× 工序「器身干燥」。原表变量符号「E变-超高压-器身干燥」。</t>
    </r>
  </si>
  <si>
    <r>
      <t>EN-KT05</t>
    </r>
  </si>
  <si>
    <r>
      <t>工序综合能源消费量（变压器-超高压-试验）</t>
    </r>
  </si>
  <si>
    <r>
      <t>E变-超高压-试验</t>
    </r>
  </si>
  <si>
    <r>
      <t>变压器超高压产线试验工序综合能源消费量。</t>
    </r>
  </si>
  <si>
    <r>
      <t>IND-043（单位产量能耗（变压器-超高压-试验））</t>
    </r>
  </si>
  <si>
    <r>
      <t>＝EN-KE18 工序电力消费量（变压器-超高压-试验）（kWh）；本工序除电力外的能源品种（蒸汽 / 天然气 / 热力等）源表未单列，综合能耗值须由项目公司确认品种构成后补充对应参数编码。</t>
    </r>
  </si>
  <si>
    <r>
      <t>颗粒度：产线「变压器-超高压」× 工序「试验」。原表变量符号「E变-超高压-试验」。</t>
    </r>
  </si>
  <si>
    <r>
      <t>EN-KT06</t>
    </r>
  </si>
  <si>
    <r>
      <t>工序综合能源消费量（变压器-配变中特-器身干燥）</t>
    </r>
  </si>
  <si>
    <r>
      <t>E变-配变中特-器身干燥</t>
    </r>
  </si>
  <si>
    <r>
      <t>变压器配变中特产线器身干燥工序综合能源消费量。</t>
    </r>
  </si>
  <si>
    <r>
      <t>IND-054（单位产量能耗（变压器-配变中特-器身干燥））</t>
    </r>
  </si>
  <si>
    <r>
      <t>＝EN-KE19 工序电力消费量（变压器-配变中特-器身干燥）（kWh）；本工序除电力外的能源品种（蒸汽 / 天然气 / 热力等）源表未单列，综合能耗值须由项目公司确认品种构成后补充对应参数编码。</t>
    </r>
  </si>
  <si>
    <r>
      <t>颗粒度：产线「变压器-配变中特」× 工序「器身干燥」。原表变量符号「E变-配变中特-器身干燥」。</t>
    </r>
  </si>
  <si>
    <r>
      <t>EN-KT07</t>
    </r>
  </si>
  <si>
    <r>
      <t>工序综合能源消费量（变压器-配变中特-试验）</t>
    </r>
  </si>
  <si>
    <r>
      <t>E变-配变中特-试验</t>
    </r>
  </si>
  <si>
    <r>
      <t>变压器配变中特产线试验工序综合能源消费量。</t>
    </r>
  </si>
  <si>
    <r>
      <t>IND-056（单位产量能耗（变压器-配变中特-试验））</t>
    </r>
  </si>
  <si>
    <r>
      <t>＝EN-KE20 工序电力消费量（变压器-配变中特-试验）（kWh）；本工序除电力外的能源品种（蒸汽 / 天然气 / 热力等）源表未单列，综合能耗值须由项目公司确认品种构成后补充对应参数编码。</t>
    </r>
  </si>
  <si>
    <r>
      <t>颗粒度：产线「变压器-配变中特」× 工序「试验」。原表变量符号「E变-配变中特-试验」。</t>
    </r>
  </si>
  <si>
    <r>
      <t>EN-KT08</t>
    </r>
  </si>
  <si>
    <r>
      <t>工序综合能源消费量（变压器-配变干变-浇注固化）</t>
    </r>
  </si>
  <si>
    <r>
      <t>E变-配变干变-浇注固化</t>
    </r>
  </si>
  <si>
    <r>
      <t>变压器配变干变产线浇注固化工序综合能源消费量。</t>
    </r>
  </si>
  <si>
    <r>
      <t>IND-062（单位产量能耗（变压器-配变干变-浇注固化））</t>
    </r>
  </si>
  <si>
    <r>
      <t>＝EN-KE21 工序电力消费量（变压器-配变干变-浇注固化）（kWh）；本工序除电力外的能源品种（蒸汽 / 天然气 / 热力等）源表未单列，综合能耗值须由项目公司确认品种构成后补充对应参数编码。</t>
    </r>
  </si>
  <si>
    <r>
      <t>颗粒度：产线「变压器-配变干变」× 工序「浇注固化」。原表变量符号「E变-配变干变-浇注固化」。</t>
    </r>
  </si>
  <si>
    <r>
      <t>EN-KT09</t>
    </r>
  </si>
  <si>
    <r>
      <t>工序综合能源消费量（变压器-配变干变-试验）</t>
    </r>
  </si>
  <si>
    <r>
      <t>E变-配变干变-试验</t>
    </r>
  </si>
  <si>
    <r>
      <t>变压器配变干变产线试验工序综合能源消费量。</t>
    </r>
  </si>
  <si>
    <r>
      <t>IND-064（单位产量能耗（变压器-配变干变-试验））</t>
    </r>
  </si>
  <si>
    <r>
      <t>＝EN-KE22 工序电力消费量（变压器-配变干变-试验）（kWh）；本工序除电力外的能源品种（蒸汽 / 天然气 / 热力等）源表未单列，综合能耗值须由项目公司确认品种构成后补充对应参数编码。</t>
    </r>
  </si>
  <si>
    <r>
      <t>颗粒度：产线「变压器-配变干变」× 工序「试验」。原表变量符号「E变-配变干变-试验」。</t>
    </r>
  </si>
  <si>
    <r>
      <t>EN-KT10</t>
    </r>
  </si>
  <si>
    <r>
      <t>工序综合能源消费量（变压器-配变油变-器身干燥）</t>
    </r>
  </si>
  <si>
    <r>
      <t>E变-配变油变-器身干燥</t>
    </r>
  </si>
  <si>
    <r>
      <t>变压器配变油变产线器身干燥工序综合能源消费量。</t>
    </r>
  </si>
  <si>
    <r>
      <t>IND-058（单位产量能耗（变压器-配变油变-器身干燥））</t>
    </r>
  </si>
  <si>
    <r>
      <t>＝EN-KE23 工序电力消费量（变压器-配变油变-器身干燥）（kWh）；本工序除电力外的能源品种（蒸汽 / 天然气 / 热力等）源表未单列，综合能耗值须由项目公司确认品种构成后补充对应参数编码。</t>
    </r>
  </si>
  <si>
    <r>
      <t>颗粒度：产线「变压器-配变油变」× 工序「器身干燥」。原表变量符号「E变-配变油变-器身干燥」。</t>
    </r>
  </si>
  <si>
    <r>
      <t>EN-KT11</t>
    </r>
  </si>
  <si>
    <r>
      <t>工序综合能源消费量（变压器-配变油变-试验）</t>
    </r>
  </si>
  <si>
    <r>
      <t>E变-配变油变-试验</t>
    </r>
  </si>
  <si>
    <r>
      <t>变压器配变油变产线试验工序综合能源消费量。</t>
    </r>
  </si>
  <si>
    <r>
      <t>IND-060（单位产量能耗（变压器-配变油变-试验））</t>
    </r>
  </si>
  <si>
    <r>
      <t>＝EN-KE24 工序电力消费量（变压器-配变油变-试验）（kWh）；本工序除电力外的能源品种（蒸汽 / 天然气 / 热力等）源表未单列，综合能耗值须由项目公司确认品种构成后补充对应参数编码。</t>
    </r>
  </si>
  <si>
    <r>
      <t>颗粒度：产线「变压器-配变油变」× 工序「试验」。原表变量符号「E变-配变油变-试验」。</t>
    </r>
  </si>
  <si>
    <r>
      <t>EN-KT12</t>
    </r>
  </si>
  <si>
    <r>
      <t>工序综合能源消费量（变压器-配变箱变-器身干燥）</t>
    </r>
  </si>
  <si>
    <r>
      <t>E变-配变箱变-器身干燥</t>
    </r>
  </si>
  <si>
    <r>
      <t>变压器配变箱变产线器身干燥工序综合能源消费量。</t>
    </r>
  </si>
  <si>
    <r>
      <t>IND-050（单位产量能耗（变压器-配变箱变-器身干燥））</t>
    </r>
  </si>
  <si>
    <r>
      <t>＝EN-KE25 工序电力消费量（变压器-配变箱变-器身干燥）（kWh）；本工序除电力外的能源品种（蒸汽 / 天然气 / 热力等）源表未单列，综合能耗值须由项目公司确认品种构成后补充对应参数编码。</t>
    </r>
  </si>
  <si>
    <r>
      <t>颗粒度：产线「变压器-配变箱变」× 工序「器身干燥」。原表变量符号「E变-配变箱变-器身干燥」。</t>
    </r>
  </si>
  <si>
    <r>
      <t>EN-KT13</t>
    </r>
  </si>
  <si>
    <r>
      <t>工序综合能源消费量（变压器-配变箱变-试验）</t>
    </r>
  </si>
  <si>
    <r>
      <t>E变-配变箱变-试验</t>
    </r>
  </si>
  <si>
    <r>
      <t>变压器配变箱变产线试验工序综合能源消费量。</t>
    </r>
  </si>
  <si>
    <r>
      <t>IND-052（单位产量能耗（变压器-配变箱变-试验））</t>
    </r>
  </si>
  <si>
    <r>
      <t>＝EN-KE26 工序电力消费量（变压器-配变箱变-试验）（kWh）；本工序除电力外的能源品种（蒸汽 / 天然气 / 热力等）源表未单列，综合能耗值须由项目公司确认品种构成后补充对应参数编码。</t>
    </r>
  </si>
  <si>
    <r>
      <t>颗粒度：产线「变压器-配变箱变」× 工序「试验」。原表变量符号「E变-配变箱变-试验」。</t>
    </r>
  </si>
  <si>
    <r>
      <t>EN-KT14</t>
    </r>
  </si>
  <si>
    <r>
      <t>工序综合能源消费量（变压器-高压-器身干燥）</t>
    </r>
  </si>
  <si>
    <r>
      <t>E变-高压-器身干燥</t>
    </r>
  </si>
  <si>
    <r>
      <t>变压器高压产线器身干燥工序综合能源消费量。</t>
    </r>
  </si>
  <si>
    <r>
      <t>IND-045（单位产量能耗（变压器-高压-器身干燥））</t>
    </r>
  </si>
  <si>
    <r>
      <t>＝EN-KE27 工序电力消费量（变压器-高压-器身干燥）（kWh） + EN-KS04 工序蒸汽消费量（变压器-高压-器身干燥）（t）</t>
    </r>
  </si>
  <si>
    <r>
      <t>颗粒度：产线「变压器-高压」× 工序「器身干燥」。原表变量符号「E变-高压-器身干燥」。</t>
    </r>
  </si>
  <si>
    <r>
      <t>EN-KT15</t>
    </r>
  </si>
  <si>
    <r>
      <t>工序综合能源消费量（变压器-高压-试验）</t>
    </r>
  </si>
  <si>
    <r>
      <t>E变-高压-试验</t>
    </r>
  </si>
  <si>
    <r>
      <t>变压器高压产线试验工序综合能源消费量。</t>
    </r>
  </si>
  <si>
    <r>
      <t>IND-048（单位产量能耗（变压器-高压-试验））</t>
    </r>
  </si>
  <si>
    <r>
      <t>＝EN-KE28 工序电力消费量（变压器-高压-试验）（kWh）；本工序除电力外的能源品种（蒸汽 / 天然气 / 热力等）源表未单列，综合能耗值须由项目公司确认品种构成后补充对应参数编码。</t>
    </r>
  </si>
  <si>
    <r>
      <t>颗粒度：产线「变压器-高压」× 工序「试验」。原表变量符号「E变-高压-试验」。</t>
    </r>
  </si>
  <si>
    <r>
      <t>OUT-KM01</t>
    </r>
  </si>
  <si>
    <r>
      <t>工序产品产量（变压器-特高压-器身干燥）</t>
    </r>
  </si>
  <si>
    <r>
      <t>M变-特高压-器身干燥</t>
    </r>
  </si>
  <si>
    <r>
      <t>变压器特高压产线器身干燥工序产品产量。</t>
    </r>
  </si>
  <si>
    <r>
      <t>ERP.生产入库单.产量（按产线-工序归集）</t>
    </r>
  </si>
  <si>
    <r>
      <t>IND-035、IND-036、IND-037（单位产量能耗（变压器-特高压-器身干燥）、单位产量电耗（变压器-特高压-器身干燥）、单位产量蒸汽耗（变压器-特高压-器身干燥））</t>
    </r>
  </si>
  <si>
    <r>
      <t>非负、须能与产线-工序主数据对应、按月归集</t>
    </r>
  </si>
  <si>
    <r>
      <t>颗粒度：产线「变压器-特高压」× 工序「器身干燥」。原表变量符号「M变-特高压-器身干燥」。</t>
    </r>
  </si>
  <si>
    <r>
      <t>OUT-KM02</t>
    </r>
  </si>
  <si>
    <r>
      <t>工序产品产量（变压器-特高压-试验）</t>
    </r>
  </si>
  <si>
    <r>
      <t>M变-特高压-试验</t>
    </r>
  </si>
  <si>
    <r>
      <t>变压器特高压产线试验工序产品产量。</t>
    </r>
  </si>
  <si>
    <r>
      <t>IND-038、IND-039（单位产量能耗（变压器-特高压-试验）、单位产量电耗（变压器-特高压-试验））</t>
    </r>
  </si>
  <si>
    <r>
      <t>颗粒度：产线「变压器-特高压」× 工序「试验」。原表变量符号「M变-特高压-试验」。</t>
    </r>
  </si>
  <si>
    <r>
      <t>OUT-KM03</t>
    </r>
  </si>
  <si>
    <r>
      <t>工序产品产量（变压器-超高压-器身干燥）</t>
    </r>
  </si>
  <si>
    <r>
      <t>M变-超高压-器身干燥</t>
    </r>
  </si>
  <si>
    <r>
      <t>变压器超高压产线器身干燥工序产品产量。</t>
    </r>
  </si>
  <si>
    <r>
      <t>IND-040、IND-041、IND-042（单位产量能耗（变压器-超高压-器身干燥）、单位产量电耗（变压器-超高压-器身干燥）、单位产量蒸汽耗（变压器-超高压-器身干燥））</t>
    </r>
  </si>
  <si>
    <r>
      <t>颗粒度：产线「变压器-超高压」× 工序「器身干燥」。原表变量符号「M变-超高压-器身干燥」。</t>
    </r>
  </si>
  <si>
    <r>
      <t>OUT-KM04</t>
    </r>
  </si>
  <si>
    <r>
      <t>工序产品产量（变压器-超高压-试验）</t>
    </r>
  </si>
  <si>
    <r>
      <t>M变-超高压-试验</t>
    </r>
  </si>
  <si>
    <r>
      <t>变压器超高压产线试验工序产品产量。</t>
    </r>
  </si>
  <si>
    <r>
      <t>IND-043、IND-044（单位产量能耗（变压器-超高压-试验）、单位产量电耗（变压器-超高压-试验））</t>
    </r>
  </si>
  <si>
    <r>
      <t>颗粒度：产线「变压器-超高压」× 工序「试验」。原表变量符号「M变-超高压-试验」。</t>
    </r>
  </si>
  <si>
    <r>
      <t>OUT-KM05</t>
    </r>
  </si>
  <si>
    <r>
      <t>工序产品产量（变压器-配变中特-器身干燥）</t>
    </r>
  </si>
  <si>
    <r>
      <t>M变-配变中特-器身干燥</t>
    </r>
  </si>
  <si>
    <r>
      <t>变压器配变中特产线器身干燥工序产品产量。</t>
    </r>
  </si>
  <si>
    <r>
      <t>IND-054、IND-055（单位产量能耗（变压器-配变中特-器身干燥）、单位产量电耗（变压器-配变中特-器身干燥））</t>
    </r>
  </si>
  <si>
    <r>
      <t>颗粒度：产线「变压器-配变中特」× 工序「器身干燥」。原表变量符号「M变-配变中特-器身干燥」。</t>
    </r>
  </si>
  <si>
    <r>
      <t>OUT-KM06</t>
    </r>
  </si>
  <si>
    <r>
      <t>工序产品产量（变压器-配变中特-试验）</t>
    </r>
  </si>
  <si>
    <r>
      <t>M变-配变中特-试验</t>
    </r>
  </si>
  <si>
    <r>
      <t>变压器配变中特产线试验工序产品产量。</t>
    </r>
  </si>
  <si>
    <r>
      <t>IND-056、IND-057（单位产量能耗（变压器-配变中特-试验）、单位产量电耗（变压器-配变中特-试验））</t>
    </r>
  </si>
  <si>
    <r>
      <t>颗粒度：产线「变压器-配变中特」× 工序「试验」。原表变量符号「M变-配变中特-试验」。</t>
    </r>
  </si>
  <si>
    <r>
      <t>OUT-KM07</t>
    </r>
  </si>
  <si>
    <r>
      <t>工序产品产量（变压器-配变干变-浇注固化）</t>
    </r>
  </si>
  <si>
    <r>
      <t>M变-配变干变-浇注固化</t>
    </r>
  </si>
  <si>
    <r>
      <t>变压器配变干变产线浇注固化工序产品产量。</t>
    </r>
  </si>
  <si>
    <r>
      <t>IND-062、IND-063（单位产量能耗（变压器-配变干变-浇注固化）、单位产量电耗（变压器-配变干变-浇注固化））</t>
    </r>
  </si>
  <si>
    <r>
      <t>颗粒度：产线「变压器-配变干变」× 工序「浇注固化」。原表变量符号「M变-配变干变-浇注固化」。</t>
    </r>
  </si>
  <si>
    <r>
      <t>OUT-KM08</t>
    </r>
  </si>
  <si>
    <r>
      <t>工序产品产量（变压器-配变干变-试验）</t>
    </r>
  </si>
  <si>
    <r>
      <t>M变-配变干变-试验</t>
    </r>
  </si>
  <si>
    <r>
      <t>变压器配变干变产线试验工序产品产量。</t>
    </r>
  </si>
  <si>
    <r>
      <t>IND-064、IND-065（单位产量能耗（变压器-配变干变-试验）、单位产量电耗（变压器-配变干变-试验））</t>
    </r>
  </si>
  <si>
    <r>
      <t>颗粒度：产线「变压器-配变干变」× 工序「试验」。原表变量符号「M变-配变干变-试验」。</t>
    </r>
  </si>
  <si>
    <r>
      <t>OUT-KM09</t>
    </r>
  </si>
  <si>
    <r>
      <t>工序产品产量（变压器-配变油变-器身干燥）</t>
    </r>
  </si>
  <si>
    <r>
      <t>M变-配变油变-器身干燥</t>
    </r>
  </si>
  <si>
    <r>
      <t>变压器配变油变产线器身干燥工序产品产量。</t>
    </r>
  </si>
  <si>
    <r>
      <t>IND-058、IND-059（单位产量能耗（变压器-配变油变-器身干燥）、单位产量电耗（变压器-配变油变-器身干燥））</t>
    </r>
  </si>
  <si>
    <r>
      <t>颗粒度：产线「变压器-配变油变」× 工序「器身干燥」。原表变量符号「M变-配变油变-器身干燥」。</t>
    </r>
  </si>
  <si>
    <r>
      <t>OUT-KM10</t>
    </r>
  </si>
  <si>
    <r>
      <t>工序产品产量（变压器-配变油变-试验）</t>
    </r>
  </si>
  <si>
    <r>
      <t>M变-配变油变-试验</t>
    </r>
  </si>
  <si>
    <r>
      <t>变压器配变油变产线试验工序产品产量。</t>
    </r>
  </si>
  <si>
    <r>
      <t>IND-060、IND-061（单位产量能耗（变压器-配变油变-试验）、单位产量电耗（变压器-配变油变-试验））</t>
    </r>
  </si>
  <si>
    <r>
      <t>颗粒度：产线「变压器-配变油变」× 工序「试验」。原表变量符号「M变-配变油变-试验」。</t>
    </r>
  </si>
  <si>
    <r>
      <t>OUT-KM11</t>
    </r>
  </si>
  <si>
    <r>
      <t>工序产品产量（变压器-配变箱变-器身干燥）</t>
    </r>
  </si>
  <si>
    <r>
      <t>M变-配变箱变-器身干燥</t>
    </r>
  </si>
  <si>
    <r>
      <t>变压器配变箱变产线器身干燥工序产品产量。</t>
    </r>
  </si>
  <si>
    <r>
      <t>IND-050、IND-051（单位产量能耗（变压器-配变箱变-器身干燥）、单位产量电耗（变压器-配变箱变-器身干燥））</t>
    </r>
  </si>
  <si>
    <r>
      <t>颗粒度：产线「变压器-配变箱变」× 工序「器身干燥」。原表变量符号「M变-配变箱变-器身干燥」。</t>
    </r>
  </si>
  <si>
    <r>
      <t>OUT-KM12</t>
    </r>
  </si>
  <si>
    <r>
      <t>工序产品产量（变压器-配变箱变-试验）</t>
    </r>
  </si>
  <si>
    <r>
      <t>M变-配变箱变-试验</t>
    </r>
  </si>
  <si>
    <r>
      <t>变压器配变箱变产线试验工序产品产量。</t>
    </r>
  </si>
  <si>
    <r>
      <t>IND-052、IND-053（单位产量能耗（变压器-配变箱变-试验）、单位产量电耗（变压器-配变箱变-试验））</t>
    </r>
  </si>
  <si>
    <r>
      <t>颗粒度：产线「变压器-配变箱变」× 工序「试验」。原表变量符号「M变-配变箱变-试验」。</t>
    </r>
  </si>
  <si>
    <r>
      <t>OUT-KM13</t>
    </r>
  </si>
  <si>
    <r>
      <t>工序产品产量（变压器-高压-器身干燥）</t>
    </r>
  </si>
  <si>
    <r>
      <t>M变-高压-器身干燥</t>
    </r>
  </si>
  <si>
    <r>
      <t>变压器高压产线器身干燥工序产品产量。</t>
    </r>
  </si>
  <si>
    <r>
      <t>IND-045、IND-046、IND-047（单位产量能耗（变压器-高压-器身干燥）、单位产量电耗（变压器-高压-器身干燥）、单位产量蒸汽耗（变压器-高压-器身干燥））</t>
    </r>
  </si>
  <si>
    <r>
      <t>颗粒度：产线「变压器-高压」× 工序「器身干燥」。原表变量符号「M变-高压-器身干燥」。</t>
    </r>
  </si>
  <si>
    <r>
      <t>OUT-KM14</t>
    </r>
  </si>
  <si>
    <r>
      <t>工序产品产量（变压器-高压-试验）</t>
    </r>
  </si>
  <si>
    <r>
      <t>M变-高压-试验</t>
    </r>
  </si>
  <si>
    <r>
      <t>变压器高压产线试验工序产品产量。</t>
    </r>
  </si>
  <si>
    <r>
      <t>IND-048、IND-049（单位产量能耗（变压器-高压-试验）、单位产量电耗（变压器-高压-试验））</t>
    </r>
  </si>
  <si>
    <r>
      <t>颗粒度：产线「变压器-高压」× 工序「试验」。原表变量符号「M变-高压-试验」。</t>
    </r>
  </si>
  <si>
    <r>
      <t>OUT-KM15</t>
    </r>
  </si>
  <si>
    <r>
      <t>工序产品产量（电容器-喷漆）</t>
    </r>
  </si>
  <si>
    <r>
      <t>M容-喷漆</t>
    </r>
  </si>
  <si>
    <r>
      <t>电容器喷漆工序产品产量。</t>
    </r>
  </si>
  <si>
    <r>
      <t>颗粒度：产线「电容器」× 工序「喷漆」。原表变量符号「M容-喷漆」。</t>
    </r>
  </si>
  <si>
    <r>
      <t>OUT-KM16</t>
    </r>
  </si>
  <si>
    <r>
      <t>工序产品产量（电容器-真空浸渍）</t>
    </r>
  </si>
  <si>
    <r>
      <t>M容-真空</t>
    </r>
  </si>
  <si>
    <r>
      <t>电容器真空浸渍工序产品产量。</t>
    </r>
  </si>
  <si>
    <r>
      <t>颗粒度：产线「电容器」× 工序「真空浸渍」。原表变量符号「M容-真空」。</t>
    </r>
  </si>
  <si>
    <r>
      <t>OUT-KM17</t>
    </r>
  </si>
  <si>
    <r>
      <t>工序产品产量（电容器-芯子卷绕）</t>
    </r>
  </si>
  <si>
    <r>
      <t>M容-卷绕</t>
    </r>
  </si>
  <si>
    <r>
      <t>电容器芯子卷绕工序产品产量。</t>
    </r>
  </si>
  <si>
    <r>
      <t>颗粒度：产线「电容器」× 工序「芯子卷绕」。原表变量符号「M容-卷绕」。</t>
    </r>
  </si>
  <si>
    <r>
      <t>OUT-KM18</t>
    </r>
  </si>
  <si>
    <r>
      <t>工序产品产量（电容器-试验）</t>
    </r>
  </si>
  <si>
    <r>
      <t>M容-试验</t>
    </r>
  </si>
  <si>
    <r>
      <t>电容器试验工序产品产量。</t>
    </r>
  </si>
  <si>
    <r>
      <t>颗粒度：产线「电容器」× 工序「试验」。原表变量符号「M容-试验」。</t>
    </r>
  </si>
  <si>
    <r>
      <t>OUT-KM19</t>
    </r>
  </si>
  <si>
    <r>
      <t>工序产品产量（硅钢铁心-中型叠装）</t>
    </r>
  </si>
  <si>
    <r>
      <t>M硅钢-中型叠装</t>
    </r>
  </si>
  <si>
    <r>
      <t>硅钢铁心中型叠装工序产品产量。</t>
    </r>
  </si>
  <si>
    <r>
      <t>颗粒度：产线「硅钢铁心」× 工序「中型叠装」。原表变量符号「M硅钢-中型叠装」。</t>
    </r>
  </si>
  <si>
    <r>
      <t>OUT-KM20</t>
    </r>
  </si>
  <si>
    <r>
      <t>工序产品产量（硅钢铁心-大型叠装）</t>
    </r>
  </si>
  <si>
    <r>
      <t>M硅钢-大型叠装</t>
    </r>
  </si>
  <si>
    <r>
      <t>硅钢铁心大型叠装工序产品产量。</t>
    </r>
  </si>
  <si>
    <r>
      <t>颗粒度：产线「硅钢铁心」× 工序「大型叠装」。原表变量符号「M硅钢-大型叠装」。</t>
    </r>
  </si>
  <si>
    <r>
      <t>OUT-KM21</t>
    </r>
  </si>
  <si>
    <r>
      <t>工序产品产量（硅钢铁心-纵剪）</t>
    </r>
  </si>
  <si>
    <r>
      <t>M硅钢-纵剪</t>
    </r>
  </si>
  <si>
    <r>
      <t>硅钢铁心纵剪工序产品产量。</t>
    </r>
  </si>
  <si>
    <r>
      <t>颗粒度：产线「硅钢铁心」× 工序「纵剪」。原表变量符号「M硅钢-纵剪」。</t>
    </r>
  </si>
  <si>
    <r>
      <t>OUT-KM22</t>
    </r>
  </si>
  <si>
    <r>
      <t>工序产品产量（线缆-中压电缆-交联）</t>
    </r>
  </si>
  <si>
    <r>
      <t>M线缆-中压电缆-交联</t>
    </r>
  </si>
  <si>
    <r>
      <t>中压电缆产线中交联工序产品产量。</t>
    </r>
  </si>
  <si>
    <r>
      <t>km·mm²</t>
    </r>
  </si>
  <si>
    <r>
      <t>颗粒度：产线「线缆-中压电缆」× 工序「交联」。原表变量符号「M线缆-中压电缆-交联」。</t>
    </r>
  </si>
  <si>
    <r>
      <t>OUT-KM23</t>
    </r>
  </si>
  <si>
    <r>
      <t>工序产品产量（线缆-中压电缆-拉丝·铜）</t>
    </r>
  </si>
  <si>
    <r>
      <t>M线缆-中压电缆-拉丝Cu</t>
    </r>
  </si>
  <si>
    <r>
      <t>中压电缆产线中拉丝工序铜产量（计量对象：铜）。</t>
    </r>
  </si>
  <si>
    <r>
      <t>颗粒度：产线「线缆-中压电缆」× 工序「拉丝」× 物料「铜」。原表变量符号「M线缆-中压电缆-拉丝Cu」。</t>
    </r>
  </si>
  <si>
    <r>
      <t>OUT-KM24</t>
    </r>
  </si>
  <si>
    <r>
      <t>工序产品产量（线缆-中压电缆-拉丝·铝）</t>
    </r>
  </si>
  <si>
    <r>
      <t>M线缆-中压电缆-拉丝Al</t>
    </r>
  </si>
  <si>
    <r>
      <t>中压电缆产线中拉丝工序铝产量（计量对象：铝）。</t>
    </r>
  </si>
  <si>
    <r>
      <t>颗粒度：产线「线缆-中压电缆」× 工序「拉丝」× 物料「铝」。原表变量符号「M线缆-中压电缆-拉丝Al」。</t>
    </r>
  </si>
  <si>
    <r>
      <t>OUT-KM25</t>
    </r>
  </si>
  <si>
    <r>
      <t>工序产品产量（线缆-低压电缆-拉丝·铜）</t>
    </r>
  </si>
  <si>
    <r>
      <t>M线缆-低压电缆-拉丝Cu</t>
    </r>
  </si>
  <si>
    <r>
      <t>低压电缆产线中拉丝工序铜产量（计量对象：铜）。</t>
    </r>
  </si>
  <si>
    <r>
      <t>颗粒度：产线「线缆-低压电缆」× 工序「拉丝」× 物料「铜」。原表变量符号「M线缆-低压电缆-拉丝Cu」。</t>
    </r>
  </si>
  <si>
    <r>
      <t>OUT-KM26</t>
    </r>
  </si>
  <si>
    <r>
      <t>工序产品产量（线缆-低压电缆-拉丝·铝）</t>
    </r>
  </si>
  <si>
    <r>
      <t>M线缆-低压电缆-拉丝Al</t>
    </r>
  </si>
  <si>
    <r>
      <t>低压电缆产线中拉丝工序铝产量（计量对象：铝）。</t>
    </r>
  </si>
  <si>
    <r>
      <t>颗粒度：产线「线缆-低压电缆」× 工序「拉丝」× 物料「铝」。原表变量符号「M线缆-低压电缆-拉丝Al」。</t>
    </r>
  </si>
  <si>
    <r>
      <t>OUT-KM27</t>
    </r>
  </si>
  <si>
    <r>
      <t>工序产品产量（线缆-导线-拉丝·铜）</t>
    </r>
  </si>
  <si>
    <r>
      <t>M线缆-导线-拉丝Cu</t>
    </r>
  </si>
  <si>
    <r>
      <t>导线产线中拉丝工序铜产量（计量对象：铜）。</t>
    </r>
  </si>
  <si>
    <r>
      <t>颗粒度：产线「线缆-导线」× 工序「拉丝」× 物料「铜」。原表变量符号「M线缆-导线-拉丝Cu」。</t>
    </r>
  </si>
  <si>
    <r>
      <t>OUT-KM28</t>
    </r>
  </si>
  <si>
    <r>
      <t>工序产品产量（线缆-导线-拉丝·铝）</t>
    </r>
  </si>
  <si>
    <r>
      <t>M线缆-导线-拉丝Al</t>
    </r>
  </si>
  <si>
    <r>
      <t>导线产线中拉丝工序铝产量（计量对象：铝）。</t>
    </r>
  </si>
  <si>
    <r>
      <t>颗粒度：产线「线缆-导线」× 工序「拉丝」× 物料「铝」。原表变量符号「M线缆-导线-拉丝Al」。</t>
    </r>
  </si>
  <si>
    <r>
      <t>OUT-KM29</t>
    </r>
  </si>
  <si>
    <r>
      <t>工序产品产量（线缆-布电线-拉丝·铜）</t>
    </r>
  </si>
  <si>
    <r>
      <t>M线缆-布电线-拉丝Cu</t>
    </r>
  </si>
  <si>
    <r>
      <t>布电线产线中拉丝工序铜产量（计量对象：铜）。</t>
    </r>
  </si>
  <si>
    <r>
      <t>颗粒度：产线「线缆-布电线」× 工序「拉丝」× 物料「铜」。原表变量符号「M线缆-布电线-拉丝Cu」。</t>
    </r>
  </si>
  <si>
    <r>
      <t>OUT-KM30</t>
    </r>
  </si>
  <si>
    <r>
      <t>工序产品产量（线缆-布电线-拉丝·铝）</t>
    </r>
  </si>
  <si>
    <r>
      <t>M线缆-布电线-拉丝Al</t>
    </r>
  </si>
  <si>
    <r>
      <t>布电线产线中拉丝工序铝产量（计量对象：铝）。</t>
    </r>
  </si>
  <si>
    <r>
      <t>颗粒度：产线「线缆-布电线」× 工序「拉丝」× 物料「铝」。原表变量符号「M线缆-布电线-拉丝Al」。</t>
    </r>
  </si>
  <si>
    <r>
      <t>OUT-KM31</t>
    </r>
  </si>
  <si>
    <r>
      <t>工序产品产量（线缆-橡套电缆-拉丝·铜）</t>
    </r>
  </si>
  <si>
    <r>
      <t>M线缆-橡套电缆-拉丝Cu</t>
    </r>
  </si>
  <si>
    <r>
      <t>橡套电缆产线中拉丝工序铜产量（计量对象：铜）。</t>
    </r>
  </si>
  <si>
    <r>
      <t>颗粒度：产线「线缆-橡套电缆」× 工序「拉丝」× 物料「铜」。原表变量符号「M线缆-橡套电缆-拉丝Cu」。</t>
    </r>
  </si>
  <si>
    <r>
      <t>OUT-KM32</t>
    </r>
  </si>
  <si>
    <r>
      <t>工序产品产量（线缆-橡套电缆-拉丝·铝）</t>
    </r>
  </si>
  <si>
    <r>
      <t>M线缆-橡套电缆-拉丝Al</t>
    </r>
  </si>
  <si>
    <r>
      <t>橡套电缆产线中拉丝工序铝产量（计量对象：铝）。</t>
    </r>
  </si>
  <si>
    <r>
      <t>颗粒度：产线「线缆-橡套电缆」× 工序「拉丝」× 物料「铝」。原表变量符号「M线缆-橡套电缆-拉丝Al」。</t>
    </r>
  </si>
  <si>
    <r>
      <t>OUT-KM33</t>
    </r>
  </si>
  <si>
    <r>
      <t>工序产品产量（线缆-特种电缆-拉丝·铜）</t>
    </r>
  </si>
  <si>
    <r>
      <t>M线缆-特种电缆-拉丝Cu</t>
    </r>
  </si>
  <si>
    <r>
      <t>特种电缆产线中拉丝工序铜产量（计量对象：铜）。</t>
    </r>
  </si>
  <si>
    <r>
      <t>颗粒度：产线「线缆-特种电缆」× 工序「拉丝」× 物料「铜」。原表变量符号「M线缆-特种电缆-拉丝Cu」。</t>
    </r>
  </si>
  <si>
    <r>
      <t>OUT-KM34</t>
    </r>
  </si>
  <si>
    <r>
      <t>工序产品产量（线缆-特种电缆-拉丝·铝）</t>
    </r>
  </si>
  <si>
    <r>
      <t>M线缆-特种电缆-拉丝Al</t>
    </r>
  </si>
  <si>
    <r>
      <t>特种电缆产线中拉丝工序铝产量（计量对象：铝）。</t>
    </r>
  </si>
  <si>
    <r>
      <t>颗粒度：产线「线缆-特种电缆」× 工序「拉丝」× 物料「铝」。原表变量符号「M线缆-特种电缆-拉丝Al」。</t>
    </r>
  </si>
  <si>
    <r>
      <t>OUT-KM35</t>
    </r>
  </si>
  <si>
    <r>
      <t>工序产品产量（线缆-装备电缆-拉丝·铜）</t>
    </r>
  </si>
  <si>
    <r>
      <t>M线缆-装备电缆-拉丝Cu</t>
    </r>
  </si>
  <si>
    <r>
      <t>装备电缆产线中拉丝工序铜产量（计量对象：铜）。</t>
    </r>
  </si>
  <si>
    <r>
      <t>颗粒度：产线「线缆-装备电缆」× 工序「拉丝」× 物料「铜」。原表变量符号「M线缆-装备电缆-拉丝Cu」。</t>
    </r>
  </si>
  <si>
    <r>
      <t>OUT-KM36</t>
    </r>
  </si>
  <si>
    <r>
      <t>工序产品产量（线缆-装备电缆-拉丝·铝）</t>
    </r>
  </si>
  <si>
    <r>
      <t>M线缆-装备电缆-拉丝Al</t>
    </r>
  </si>
  <si>
    <r>
      <t>装备电缆产线中拉丝工序铝产量（计量对象：铝）。</t>
    </r>
  </si>
  <si>
    <r>
      <t>颗粒度：产线「线缆-装备电缆」× 工序「拉丝」× 物料「铝」。原表变量符号「M线缆-装备电缆-拉丝Al」。</t>
    </r>
  </si>
  <si>
    <r>
      <t>OUT-KM37</t>
    </r>
  </si>
  <si>
    <r>
      <t>工序产品产量（线缆-高压电缆-交联）</t>
    </r>
  </si>
  <si>
    <r>
      <t>M线缆-高压电缆-交联</t>
    </r>
  </si>
  <si>
    <r>
      <t>高压电缆产线中交联工序产品产量。</t>
    </r>
  </si>
  <si>
    <r>
      <t>颗粒度：产线「线缆-高压电缆」× 工序「交联」。原表变量符号「M线缆-高压电缆-交联」。</t>
    </r>
  </si>
  <si>
    <r>
      <t>OUT-KM38</t>
    </r>
  </si>
  <si>
    <r>
      <t>工序产品产量（线缆-高压电缆-拉丝·铜）</t>
    </r>
  </si>
  <si>
    <r>
      <t>M线缆-高压电缆-拉丝Cu</t>
    </r>
  </si>
  <si>
    <r>
      <t>高压电缆产线中拉丝工序铜产量（计量对象：铜）。</t>
    </r>
  </si>
  <si>
    <r>
      <t>颗粒度：产线「线缆-高压电缆」× 工序「拉丝」× 物料「铜」。原表变量符号「M线缆-高压电缆-拉丝Cu」。</t>
    </r>
  </si>
  <si>
    <r>
      <t>OUT-KM39</t>
    </r>
  </si>
  <si>
    <r>
      <t>工序产品产量（线缆-高压电缆-拉丝·铝）</t>
    </r>
  </si>
  <si>
    <r>
      <t>M线缆-高压电缆-拉丝Al</t>
    </r>
  </si>
  <si>
    <r>
      <t>高压电缆产线中拉丝工序铝产量（计量对象：铝）。</t>
    </r>
  </si>
  <si>
    <r>
      <t>颗粒度：产线「线缆-高压电缆」× 工序「拉丝」× 物料「铝」。原表变量符号「M线缆-高压电缆-拉丝Al」。</t>
    </r>
  </si>
  <si>
    <r>
      <t>OUT-KM40</t>
    </r>
  </si>
  <si>
    <r>
      <t>工序产品产量（非晶合金铁心-退火）</t>
    </r>
  </si>
  <si>
    <r>
      <t>M非晶-退火</t>
    </r>
  </si>
  <si>
    <r>
      <t>非晶合金铁心退火工序产品产量。</t>
    </r>
  </si>
  <si>
    <r>
      <t>颗粒度：产线「非晶合金铁心」× 工序「退火」。原表变量符号「M非晶-退火」。</t>
    </r>
  </si>
  <si>
    <r>
      <t>VAL-KG01</t>
    </r>
  </si>
  <si>
    <r>
      <t>工序产品产值（GIL-测试）</t>
    </r>
  </si>
  <si>
    <r>
      <t>GGIL-测试</t>
    </r>
  </si>
  <si>
    <r>
      <t>GIL测试工序产品产值。</t>
    </r>
  </si>
  <si>
    <r>
      <t>ERP 财务 / 生产模块</t>
    </r>
  </si>
  <si>
    <r>
      <t>ERP.产值报表.工序归集产值</t>
    </r>
  </si>
  <si>
    <r>
      <t>非负、口径与产量一致、按月归集</t>
    </r>
  </si>
  <si>
    <r>
      <t>颗粒度：产线「GIL」× 工序「测试」。原表变量符号「GGIL-测试」。</t>
    </r>
  </si>
  <si>
    <r>
      <t>VAL-KG02</t>
    </r>
  </si>
  <si>
    <r>
      <t>工序产品产值（GIL-绝缘子生产）</t>
    </r>
  </si>
  <si>
    <r>
      <t>GGIL-绝缘</t>
    </r>
  </si>
  <si>
    <r>
      <t>GIL绝缘子生产工序产品产值。</t>
    </r>
  </si>
  <si>
    <r>
      <t>颗粒度：产线「GIL」× 工序「绝缘子生产」。原表变量符号「GGIL-绝缘」。</t>
    </r>
  </si>
  <si>
    <r>
      <t>VAL-KG03</t>
    </r>
  </si>
  <si>
    <r>
      <t>工序产品产值（GIL-螺旋焊管生产）</t>
    </r>
  </si>
  <si>
    <r>
      <t>GGIL-螺旋焊管</t>
    </r>
  </si>
  <si>
    <r>
      <t>GIL螺旋焊管生产工序产品产值。</t>
    </r>
  </si>
  <si>
    <r>
      <t>颗粒度：产线「GIL」× 工序「螺旋焊管生产」。原表变量符号「GGIL-螺旋焊管」。</t>
    </r>
  </si>
  <si>
    <r>
      <t>VAL-KG04</t>
    </r>
  </si>
  <si>
    <r>
      <t>工序产品产值（GIS-工频耐压试验）</t>
    </r>
  </si>
  <si>
    <r>
      <t>GGIS-试验</t>
    </r>
  </si>
  <si>
    <r>
      <t>GIS工频耐压试验工序产品产值。</t>
    </r>
  </si>
  <si>
    <r>
      <t>颗粒度：产线「GIS」× 工序「工频耐压试验」。原表变量符号「GGIS-试验」。</t>
    </r>
  </si>
  <si>
    <r>
      <t>VAL-KG05</t>
    </r>
  </si>
  <si>
    <r>
      <t>工序产品产值（GIS-抽真空）</t>
    </r>
  </si>
  <si>
    <r>
      <t>GGIS-真空</t>
    </r>
  </si>
  <si>
    <r>
      <t>GIS抽真空工序产品产值。</t>
    </r>
  </si>
  <si>
    <r>
      <t>颗粒度：产线「GIS」× 工序「抽真空」。原表变量符号「GGIS-真空」。</t>
    </r>
  </si>
  <si>
    <r>
      <t>VAL-KG06</t>
    </r>
  </si>
  <si>
    <r>
      <t>工序产品产值（GIS-空调恒温除湿）</t>
    </r>
  </si>
  <si>
    <r>
      <t>GGIS-除湿</t>
    </r>
  </si>
  <si>
    <r>
      <t>GIS空调恒温除湿工序产品产值。</t>
    </r>
  </si>
  <si>
    <r>
      <t>颗粒度：产线「GIS」× 工序「空调恒温除湿」。原表变量符号「GGIS-除湿」。</t>
    </r>
  </si>
  <si>
    <r>
      <t>VAL-KG07</t>
    </r>
  </si>
  <si>
    <r>
      <t>工序产品产值（GIS-绝缘件干燥）</t>
    </r>
  </si>
  <si>
    <r>
      <t>GGIS-干燥</t>
    </r>
  </si>
  <si>
    <r>
      <t>GIS绝缘件干燥工序产品产值。</t>
    </r>
  </si>
  <si>
    <r>
      <t>颗粒度：产线「GIS」× 工序「绝缘件干燥」。原表变量符号「GGIS-干燥」。</t>
    </r>
  </si>
  <si>
    <r>
      <t>VAL-KG08</t>
    </r>
  </si>
  <si>
    <r>
      <t>工序产品产值（中低压开关柜-钣金加工）</t>
    </r>
  </si>
  <si>
    <r>
      <t>G柜-加工</t>
    </r>
  </si>
  <si>
    <r>
      <t>中低压开关柜钣金加工工序产品产值。</t>
    </r>
  </si>
  <si>
    <r>
      <t>颗粒度：产线「中低压开关柜」× 工序「钣金加工」。原表变量符号「G柜-加工」。</t>
    </r>
  </si>
  <si>
    <r>
      <t>VAL-KG09</t>
    </r>
  </si>
  <si>
    <r>
      <t>工序产品产值（中低压开关柜-钣金喷涂）</t>
    </r>
  </si>
  <si>
    <r>
      <t>G柜-喷涂</t>
    </r>
  </si>
  <si>
    <r>
      <t>中低压开关柜钣金喷涂工序产品产值。</t>
    </r>
  </si>
  <si>
    <r>
      <t>颗粒度：产线「中低压开关柜」× 工序「钣金喷涂」。原表变量符号「G柜-喷涂」。</t>
    </r>
  </si>
  <si>
    <r>
      <t>VAL-KG10</t>
    </r>
  </si>
  <si>
    <r>
      <t>工序产品产值（二次-SMT贴片）</t>
    </r>
  </si>
  <si>
    <r>
      <t>G二次-贴片</t>
    </r>
  </si>
  <si>
    <r>
      <t>二次-SMT贴片工序产品产值。</t>
    </r>
  </si>
  <si>
    <r>
      <t>颗粒度：产线「二次」× 工序「SMT贴片」。原表变量符号「G二次-贴片」。</t>
    </r>
  </si>
  <si>
    <r>
      <t>VAL-KG11</t>
    </r>
  </si>
  <si>
    <r>
      <t>工序产品产值（二次-波峰焊）</t>
    </r>
  </si>
  <si>
    <r>
      <t>G二次-波峰焊</t>
    </r>
  </si>
  <si>
    <r>
      <t>二次-波峰焊工序产品产值。</t>
    </r>
  </si>
  <si>
    <r>
      <t>颗粒度：产线「二次」× 工序「波峰焊」。原表变量符号「G二次-波峰焊」。</t>
    </r>
  </si>
  <si>
    <r>
      <t>VAL-KG12</t>
    </r>
  </si>
  <si>
    <r>
      <t>工序产品产值（二次-高温老化）</t>
    </r>
  </si>
  <si>
    <r>
      <t>G二次-高温</t>
    </r>
  </si>
  <si>
    <r>
      <t>二次-高温老化工序产品产值。</t>
    </r>
  </si>
  <si>
    <r>
      <t>颗粒度：产线「二次」× 工序「高温老化」。原表变量符号「G二次-高温」。</t>
    </r>
  </si>
  <si>
    <r>
      <t>VAL-KG13</t>
    </r>
  </si>
  <si>
    <r>
      <t>工序产品产值（互感器-干燥）</t>
    </r>
  </si>
  <si>
    <r>
      <t>G互-干燥</t>
    </r>
  </si>
  <si>
    <r>
      <t>互感器干燥工序产品产值。</t>
    </r>
  </si>
  <si>
    <r>
      <t>IND-071、IND-072、IND-073（单位产值综合能耗（互感器-干燥）、单位产值电耗（互感器-干燥）、单位产值蒸汽消耗（互感器-干燥））</t>
    </r>
  </si>
  <si>
    <r>
      <t>颗粒度：产线「互感器」× 工序「干燥」。原表变量符号「G互-干燥」。</t>
    </r>
  </si>
  <si>
    <r>
      <t>VAL-KG14</t>
    </r>
  </si>
  <si>
    <r>
      <t>工序产品产值（互感器-试验）</t>
    </r>
  </si>
  <si>
    <r>
      <t>G互-试验</t>
    </r>
  </si>
  <si>
    <r>
      <t>互感器试验工序产品产值。</t>
    </r>
  </si>
  <si>
    <r>
      <t>颗粒度：产线「互感器」× 工序「试验」。原表变量符号「G互-试验」。</t>
    </r>
  </si>
  <si>
    <r>
      <t>VAL-KG15</t>
    </r>
  </si>
  <si>
    <r>
      <t>工序产品产值（套管-卷制）</t>
    </r>
  </si>
  <si>
    <r>
      <t>G套-卷制</t>
    </r>
  </si>
  <si>
    <r>
      <t>套管卷制工序产品产值。</t>
    </r>
  </si>
  <si>
    <r>
      <t>颗粒度：产线「套管」× 工序「卷制」。原表变量符号「G套-卷制」。</t>
    </r>
  </si>
  <si>
    <r>
      <t>VAL-KG16</t>
    </r>
  </si>
  <si>
    <r>
      <t>工序产品产值（套管-干燥）</t>
    </r>
  </si>
  <si>
    <r>
      <t>G套-干燥</t>
    </r>
  </si>
  <si>
    <r>
      <t>套管干燥工序产品产值。</t>
    </r>
  </si>
  <si>
    <r>
      <t>颗粒度：产线「套管」× 工序「干燥」。原表变量符号「G套-干燥」。</t>
    </r>
  </si>
  <si>
    <r>
      <t>VAL-KG17</t>
    </r>
  </si>
  <si>
    <r>
      <t>工序产品产值（套管-试验）</t>
    </r>
  </si>
  <si>
    <r>
      <t>G套-试验</t>
    </r>
  </si>
  <si>
    <r>
      <t>套管试验工序产品产值。</t>
    </r>
  </si>
  <si>
    <r>
      <t>颗粒度：产线「套管」× 工序「试验」。原表变量符号「G套-试验」。</t>
    </r>
  </si>
  <si>
    <r>
      <t>VAL-KG18</t>
    </r>
  </si>
  <si>
    <r>
      <t>工序产品产值（干式电抗器-固化）</t>
    </r>
  </si>
  <si>
    <r>
      <t>G抗-固化</t>
    </r>
  </si>
  <si>
    <r>
      <t>干式电抗器固化工序产品产值。</t>
    </r>
  </si>
  <si>
    <r>
      <t>颗粒度：产线「干式电抗器」× 工序「固化」。原表变量符号「G抗-固化」。</t>
    </r>
  </si>
  <si>
    <r>
      <t>VAL-KG19</t>
    </r>
  </si>
  <si>
    <r>
      <t>工序产品产值（干式电抗器-试验）</t>
    </r>
  </si>
  <si>
    <r>
      <t>G抗-试验</t>
    </r>
  </si>
  <si>
    <r>
      <t>干式电抗器试验工序产品产值。</t>
    </r>
  </si>
  <si>
    <r>
      <t>颗粒度：产线「干式电抗器」× 工序「试验」。原表变量符号「G抗-试验」。</t>
    </r>
  </si>
  <si>
    <r>
      <t>产品碳足迹</t>
    </r>
  </si>
  <si>
    <r>
      <t>指标·整体指标</t>
    </r>
  </si>
  <si>
    <r>
      <t>指标值</t>
    </r>
  </si>
  <si>
    <r>
      <t>指标 / 整体指标</t>
    </r>
  </si>
  <si>
    <r>
      <t>引用GB/T 24067、ISO14067，主要管理摇篮到大门阶段的产品碳足迹。</t>
    </r>
  </si>
  <si>
    <r>
      <t>tCo2/台套，tCo2/km等</t>
    </r>
  </si>
  <si>
    <r>
      <t>外部要求（应对CBAM及绿色招采)</t>
    </r>
  </si>
  <si>
    <r>
      <t>由基础数据项按公式计算</t>
    </r>
  </si>
  <si>
    <r>
      <t>系统自动计算</t>
    </r>
  </si>
  <si>
    <r>
      <t>产品</t>
    </r>
  </si>
  <si>
    <r>
      <t>电装集采中心</t>
    </r>
  </si>
  <si>
    <r>
      <t>由本指标公式决定</t>
    </r>
  </si>
  <si>
    <r>
      <t>源表未给出可计算的输入参数，须按 GB/T 24067 / ISO 14067 方法另建核算模型（涉及原材料消耗、各类排放因子等），建议单独出具碳足迹核算附表。</t>
    </r>
  </si>
  <si>
    <r>
      <t>见「03-指标清单」</t>
    </r>
  </si>
  <si>
    <r>
      <t>开展产品碳足迹分析占比</t>
    </r>
  </si>
  <si>
    <r>
      <t>指统计期内开展主要产品碳足迹分析的产品类别数量占主要产品类别总数的比值</t>
    </r>
  </si>
  <si>
    <r>
      <t>国家级零碳工厂</t>
    </r>
  </si>
  <si>
    <r>
      <t>工厂</t>
    </r>
  </si>
  <si>
    <r>
      <t>分子 · CAR-010 开展碳足迹分析的产品类别数量（个）　｜　分母 · CAR-011 主要产品类别总数（个）</t>
    </r>
  </si>
  <si>
    <r>
      <t>Rcf：开展产品碳足迹分析占比；；Ncf:开展主要产品碳足迹分析的产品类别数量;；N:主要产品类别总数</t>
    </r>
  </si>
  <si>
    <r>
      <t>指统计期内组织综合能源消费的总吨标准煤</t>
    </r>
  </si>
  <si>
    <r>
      <t>维度 · EN-014 消耗的能源种类数（个）　｜　因子 · EN-015 第 i 种能源消费量（各品种原单位）　｜　系数 · EN-016 第 i 种能源折标准煤系数（kgce/单位或 tce/单位）</t>
    </r>
  </si>
  <si>
    <r>
      <t>E：综合能源消耗量，单位为tce；n：消耗的能源种类数；Ei:实际消耗的第i种能源量；ki:第i种能源的折标准煤系数</t>
    </r>
  </si>
  <si>
    <r>
      <t>总碳排放量</t>
    </r>
  </si>
  <si>
    <r>
      <t>指统计期内企业组织产生的二氧化碳总排放量</t>
    </r>
  </si>
  <si>
    <r>
      <t>加项 · CAR-002 化石燃料燃烧排放量（tCO2）　｜　加项 · CAR-003 过程排放量（tCO2）　｜　加项 · CAR-004 购入电力排放量（tCO2）　｜　扣减项 · CAR-005 输出电力排放量（tCO2）　｜　加项 · CAR-006 购入热力排放量（tCO2）　｜　扣减项 · CAR-007 输出热力排放量（tCO2）　｜　扣减项 · CAR-008 二氧化碳回收利用量（tCO2）</t>
    </r>
  </si>
  <si>
    <r>
      <t>C：二氧化碳排放量，单位为吨二氧化碳（tCO2）；；C燃烧：化石燃料燃烧产生的二氧化碳排放量总和，单位为吨二氧化碳（tCO2）；C过程：过程二氧化碳排放量总和，单位为吨二氧化碳（tCO2）；C购入电：购入的电力所产生的二氧化碳排放，单位为吨二氧化碳（tCO2）；C输出电：输出的电力所产生的二氧化碳排放，单位为吨二氧化碳（tCO2）；C购入热：购入的热力所产生的二氧化碳排放，单位为吨二氧化碳（tCO2）；C输出热：输出的热力所产生的二氧化碳排放，单位为吨二氧化碳（tCO2）；C回收利用：化石燃料燃烧、工艺过程产生的二氧化碳经回收作为生产原料自用或作为产品外供并确保未再次排放所对应的二氧化碳排放量，单位为吨二氧化碳（tCO2）</t>
    </r>
  </si>
  <si>
    <r>
      <t>单位能耗碳排放</t>
    </r>
  </si>
  <si>
    <r>
      <t>指统计期内每消费一吨标准煤产生的二氧化碳排放量</t>
    </r>
  </si>
  <si>
    <r>
      <t>tCO2/tce</t>
    </r>
  </si>
  <si>
    <r>
      <t>分子 · CAR-001 二氧化碳排放量（tCO2）　｜　分母 · EN-013 综合能源消费量（tce）</t>
    </r>
  </si>
  <si>
    <r>
      <t>I:单位能耗碳排放；C：二氧化碳排放量，单位为tCO2；E：综合能源消耗量，单位为tce</t>
    </r>
  </si>
  <si>
    <r>
      <t>非化石能源消费占比</t>
    </r>
  </si>
  <si>
    <r>
      <t>指统计期内非化石能源消费量与综合能源消费量的比值</t>
    </r>
  </si>
  <si>
    <r>
      <t>分子 · EN-019 非化石能源消费量（不含原料用能）（tce）　｜　分母 · EN-018 综合能源消费量（不含原料用能）（tce）</t>
    </r>
  </si>
  <si>
    <r>
      <t>r：非化石能源消费占比；R:各类非化石能源消费量(不含作为原料使用的能源)，单位为tce；E:综合能源消费量（不含作为原料使用的能源）,单位为tce</t>
    </r>
  </si>
  <si>
    <r>
      <t>非化石能源电力消费物理认定量占比</t>
    </r>
  </si>
  <si>
    <r>
      <t>指统计期内具备物理可溯源条件的非化石能源电力消费量占同期总用电量的比值。</t>
    </r>
  </si>
  <si>
    <r>
      <t>分子 · EN-005 非化石能源电力消费物理认定量（kWh）　｜　分母 · EN-020 总用电量（kWh）</t>
    </r>
  </si>
  <si>
    <r>
      <t>Eui:非化石能源电力消费物理认定量占比；；Ez:具备物理可溯源条件的非化石能源电力消费量，单位为kWh;；Q:总用电量，单位为千kWh</t>
    </r>
  </si>
  <si>
    <r>
      <t>单位工业增加值能耗</t>
    </r>
  </si>
  <si>
    <r>
      <t>指统计期内综合能源消费量与工业增加值的比值</t>
    </r>
  </si>
  <si>
    <r>
      <t>tce/万元</t>
    </r>
  </si>
  <si>
    <r>
      <t>分子 · EN-013 综合能源消费量（tce）　｜　分母 · VAL-001 工业增加值（万元）</t>
    </r>
  </si>
  <si>
    <r>
      <t>Enva:单位工业增加值能耗，单位为tce/万元；；E：综合能源消费量，单位tce；Gnva:工业增加值，单位为万元</t>
    </r>
  </si>
  <si>
    <r>
      <t>节能装备应用占比</t>
    </r>
  </si>
  <si>
    <r>
      <t>指统计期内达到或优于能效强制性国家标准 2 级水平和《重点用能产品设备能效先进水平、节能水平和准入水平》节能水平的装备累计额定总功率占纳入统计范围装备累计额定总功率的比例</t>
    </r>
  </si>
  <si>
    <r>
      <t>分子 · EQ-001 节能装备累计额定总功率（kW）　｜　分母 · EQ-002 纳入统计范围装备累计额定总功率（kW）</t>
    </r>
  </si>
  <si>
    <r>
      <t>S：节能装备应用占比；；Res:达到或优于能效强制性国家标准 2 级水平和《重点用能产品设备能效先进水平、节能水平和准入水平》节能水平的装备累计额定总功率，单位为kW。；Ets:纳入统计范围装备累计额定总功率，单位为kW。纳入统计范围的装备需有适用的能效强制性国家标准，包括但不限于电动机、变压器、工业锅炉、风机、容积式空气压缩机、工业制冷设备、热泵等；无适用标准的装备不纳入统计。</t>
    </r>
  </si>
  <si>
    <r>
      <t>单位产值能耗</t>
    </r>
  </si>
  <si>
    <r>
      <t>指统计期内综合能源消费量与产品产值的比值</t>
    </r>
  </si>
  <si>
    <r>
      <t>股份管理要求</t>
    </r>
  </si>
  <si>
    <r>
      <t>分子 · EN-013 综合能源消费量（tce）　｜　分母 · VAL-002 产品产值（万元）</t>
    </r>
  </si>
  <si>
    <r>
      <t>g:单位产值能耗，单位为tce/万元；；E：综合能源消费量，单位tce；G:产品产值，单位为万元</t>
    </r>
  </si>
  <si>
    <r>
      <t>水资源消耗量</t>
    </r>
  </si>
  <si>
    <r>
      <t>指企业在一定时期内，实际用于生产、生活等用途中未返回环境或未再次回用的水量</t>
    </r>
  </si>
  <si>
    <r>
      <t>ESG要求</t>
    </r>
  </si>
  <si>
    <r>
      <t>参数 · EN-026 用水量（总量）（t）</t>
    </r>
  </si>
  <si>
    <r>
      <t>单位产品能耗（型号、ERP产品种类、电装产线大类）</t>
    </r>
  </si>
  <si>
    <r>
      <t>指标·产品管控</t>
    </r>
  </si>
  <si>
    <r>
      <t>指标 / 产品管控</t>
    </r>
  </si>
  <si>
    <r>
      <t>指统计期内综合能源总消费量与产品产量的比值</t>
    </r>
  </si>
  <si>
    <r>
      <t>tce/产品单位（例如万kVA、万km·mm²）</t>
    </r>
  </si>
  <si>
    <r>
      <t>电装管理要求</t>
    </r>
  </si>
  <si>
    <r>
      <t>分子 · EN-P01 产品综合能源消费量（型号口径）（tce）　｜　分母 · OUT-P01 产品产量（型号 × 产品种类 × 产线大类）（万kVA / 万km·mm² / 台套 等）</t>
    </r>
  </si>
  <si>
    <r>
      <t>e:单位产品能耗，单位为tce/产品单位；；E：综合能源消费量，单位tce；M:产品产量，单位为产品单位，如万kVA、万km*mm2等</t>
    </r>
  </si>
  <si>
    <r>
      <t>IND-013</t>
    </r>
  </si>
  <si>
    <r>
      <t>单位产品电耗</t>
    </r>
  </si>
  <si>
    <r>
      <t>指统计期内电能源消费量（包括公辅设备）与产品产量的比值</t>
    </r>
  </si>
  <si>
    <r>
      <t>kWh/产品单位（例如万kVA、万km·mm²）</t>
    </r>
  </si>
  <si>
    <r>
      <t>公司级</t>
    </r>
  </si>
  <si>
    <r>
      <t>分子 · EN-P02 产品电力消费量（型号口径）（kWh）　｜　分母 · OUT-P01 产品产量（型号 × 产品种类 × 产线大类）（万kVA / 万km·mm² / 台套 等）</t>
    </r>
  </si>
  <si>
    <r>
      <t>q电:单位产品电耗，单位为kWh/产品单位；；Q电：电能源消费量，单位kWh；M:产品产量，单位为产品单位，如万kVA、万km*mm2等</t>
    </r>
  </si>
  <si>
    <r>
      <t>IND-014</t>
    </r>
  </si>
  <si>
    <r>
      <t>单位产品蒸汽消耗</t>
    </r>
  </si>
  <si>
    <r>
      <t>指统计期内蒸汽能源消费量与产品产量的比值</t>
    </r>
  </si>
  <si>
    <r>
      <t>GJ/产品单位（例如万kVA、万km·mm²）</t>
    </r>
  </si>
  <si>
    <r>
      <t>分子 · EN-P03 产品蒸汽消费量（型号口径）（GJ）　｜　分母 · OUT-P01 产品产量（型号 × 产品种类 × 产线大类）（万kVA / 万km·mm² / 台套 等）</t>
    </r>
  </si>
  <si>
    <r>
      <t>q蒸汽:单位产品蒸汽消耗，单位为GJ/产品单位；；Q蒸汽：蒸汽能源消费量，单位GJ；M:产品产量，单位为产品单位，如万kVA、万km*mm2等</t>
    </r>
  </si>
  <si>
    <r>
      <t>单位产品天然气消耗</t>
    </r>
  </si>
  <si>
    <r>
      <t>指统计期内天然气能源消费量与产品产量的比值</t>
    </r>
  </si>
  <si>
    <r>
      <t>m³/产品单位（例如万kVA、万km·mm²）</t>
    </r>
  </si>
  <si>
    <r>
      <t>分子 · EN-P04 产品天然气消费量（型号口径）（m³）　｜　分母 · OUT-P01 产品产量（型号 × 产品种类 × 产线大类）（万kVA / 万km·mm² / 台套 等）</t>
    </r>
  </si>
  <si>
    <r>
      <t>q天然气:单位产品天然气消耗，单位为m³/产品单位；；Q天然气：天然气能源消费量，单位m³；M:产品产量，单位为产品单位，如万kVA、万km*mm2等</t>
    </r>
  </si>
  <si>
    <r>
      <t>IND-016</t>
    </r>
  </si>
  <si>
    <r>
      <t>单位产品水耗</t>
    </r>
  </si>
  <si>
    <r>
      <t>指统计期内水能源消费量与产品产量的比值</t>
    </r>
  </si>
  <si>
    <r>
      <t>t/产品单位（例如万kVA、万km·mm²）</t>
    </r>
  </si>
  <si>
    <r>
      <t>分子 · EN-P05 产品水消费量（型号口径）（t）　｜　分母 · OUT-P01 产品产量（型号 × 产品种类 × 产线大类）（万kVA / 万km·mm² / 台套 等）</t>
    </r>
  </si>
  <si>
    <r>
      <t>q水:单位产品水耗，单位为t/产品单位；；Q水：水能源消费量，单位t；M:产品产量，单位为产品单位，如万kVA、万km*mm2等</t>
    </r>
  </si>
  <si>
    <r>
      <t>吨铜电耗（线缆-导线-拉丝）</t>
    </r>
  </si>
  <si>
    <r>
      <t>指标·关键工序</t>
    </r>
  </si>
  <si>
    <r>
      <t>指标 / 关键工序</t>
    </r>
  </si>
  <si>
    <r>
      <t>线缆导线产线，拉丝工序，拉1吨铜耗电量</t>
    </r>
  </si>
  <si>
    <r>
      <t>kWh/t</t>
    </r>
  </si>
  <si>
    <r>
      <t>关键工序</t>
    </r>
  </si>
  <si>
    <r>
      <t>分子 · EN-KE46 工序电力消费量（线缆-导线-拉丝·铜）（kWh）　｜　分母 · OUT-KM27 工序产品产量（线缆-导线-拉丝·铜）（t）</t>
    </r>
  </si>
  <si>
    <r>
      <t>q线缆-导线-拉丝Cu-电：导线产线中拉丝工序单位铜电耗，单位为kWh/t；；Q线缆-导线-拉丝Cu-电：导线产线中拉丝工序电能源消费量，单位kWh；M线缆-导线-拉丝Cu:导线产线中拉丝工序铜产量，单位为t</t>
    </r>
  </si>
  <si>
    <r>
      <t>IND-018</t>
    </r>
  </si>
  <si>
    <r>
      <t>吨铝电耗（线缆-导线-拉丝）</t>
    </r>
  </si>
  <si>
    <r>
      <t>线缆导线产线，拉丝工序，拉1吨铝耗电量</t>
    </r>
  </si>
  <si>
    <r>
      <t>分子 · EN-KE47 工序电力消费量（线缆-导线-拉丝·铝）（kWh）　｜　分母 · OUT-KM28 工序产品产量（线缆-导线-拉丝·铝）（t）</t>
    </r>
  </si>
  <si>
    <r>
      <t>q线缆-导线-拉丝Al-电：导线产线中拉丝工序单位铝电耗，单位为kWh/t；；Q线缆-导线-拉丝Al-电：导线产线中拉丝工序电能源消费量，单位kWh；M线缆-导线-拉丝Al:导线产线中拉丝工序铝产量，单位为t</t>
    </r>
  </si>
  <si>
    <r>
      <t>IND-019</t>
    </r>
  </si>
  <si>
    <r>
      <t>吨铜电耗（线缆-布电线-拉丝）</t>
    </r>
  </si>
  <si>
    <r>
      <t>线缆布电线产线，拉丝工序，拉1吨铜耗电量</t>
    </r>
  </si>
  <si>
    <r>
      <t>分子 · EN-KE48 工序电力消费量（线缆-布电线-拉丝·铜）（kWh）　｜　分母 · OUT-KM29 工序产品产量（线缆-布电线-拉丝·铜）（t）</t>
    </r>
  </si>
  <si>
    <r>
      <t>q线缆-布电线-拉丝Cu-电：布电线产线中拉丝工序单位铜电耗，单位为kWh/t；；Q线缆-布电线-拉丝Cu-电：布电线产线中拉丝工序电能源消费量，单位kWh；M线缆-布电线-拉丝Cu:布电线产线中拉丝工序铜产量，单位为t</t>
    </r>
  </si>
  <si>
    <r>
      <t>IND-020</t>
    </r>
  </si>
  <si>
    <r>
      <t>吨铝电耗（线缆-布电线-拉丝）</t>
    </r>
  </si>
  <si>
    <r>
      <t>线缆布电线产线，拉丝工序，拉1吨铝耗电量</t>
    </r>
  </si>
  <si>
    <r>
      <t>分子 · EN-KE49 工序电力消费量（线缆-布电线-拉丝·铝）（kWh）　｜　分母 · OUT-KM30 工序产品产量（线缆-布电线-拉丝·铝）（t）</t>
    </r>
  </si>
  <si>
    <r>
      <t>q线缆-布电线-拉丝Al-电：布电线产线中拉丝工序单位铝电耗，单位为kWh/t；；Q线缆-布电线-拉丝Al-电：布电线产线中拉丝工序电能源消费量，单位kWh；M线缆-布电线-拉丝Al:布电线产线中拉丝工序铝产量，单位为t</t>
    </r>
  </si>
  <si>
    <r>
      <t>IND-021</t>
    </r>
  </si>
  <si>
    <r>
      <t>吨铜电耗（线缆-高压电缆-拉丝）</t>
    </r>
  </si>
  <si>
    <r>
      <t>线缆高压电缆产线，拉丝工序，拉1吨铜耗电量</t>
    </r>
  </si>
  <si>
    <r>
      <t>分子 · EN-KE57 工序电力消费量（线缆-高压电缆-拉丝·铜）（kWh）　｜　分母 · OUT-KM38 工序产品产量（线缆-高压电缆-拉丝·铜）（t）</t>
    </r>
  </si>
  <si>
    <r>
      <t>q线缆-高压电缆-拉丝Cu-电：高压电缆产线中拉丝工序单位铜电耗，单位为kWh/t；；Q线缆-高压电缆-拉丝Cu-电：高压电缆产线中拉丝工序电能源消费量，单位kWh；M线缆-高压电缆-拉丝Cu:高压电缆产线中拉丝工序铜产量，单位为t</t>
    </r>
  </si>
  <si>
    <r>
      <t>IND-022</t>
    </r>
  </si>
  <si>
    <r>
      <t>吨铝电耗（线缆-高压电缆-拉丝）</t>
    </r>
  </si>
  <si>
    <r>
      <t>线缆高压电缆产线，拉丝工序，拉1吨铝耗电量</t>
    </r>
  </si>
  <si>
    <r>
      <t>分子 · EN-KE58 工序电力消费量（线缆-高压电缆-拉丝·铝）（kWh）　｜　分母 · OUT-KM39 工序产品产量（线缆-高压电缆-拉丝·铝）（t）</t>
    </r>
  </si>
  <si>
    <r>
      <t>q线缆-高压电缆-拉丝Al-电：高压电缆产线中拉丝工序单位铝电耗，单位为kWh/t；；Q线缆-高压电缆-拉丝Al-电：高压电缆产线中拉丝工序电能源消费量，单位kWh；M线缆-高压电缆-拉丝Al:高压电缆产线中拉丝工序铝产量，单位为t</t>
    </r>
  </si>
  <si>
    <r>
      <t>IND-023</t>
    </r>
  </si>
  <si>
    <r>
      <t>高压交联（干法）（线缆-高压电缆-交联）</t>
    </r>
  </si>
  <si>
    <r>
      <t>线缆高压电缆产线，交联工序，单位产量耗电量。</t>
    </r>
  </si>
  <si>
    <r>
      <t>kWh/km·mm²</t>
    </r>
  </si>
  <si>
    <r>
      <t>分子 · EN-KE56 工序电力消费量（线缆-高压电缆-交联）（kWh）　｜　分母 · OUT-KM37 工序产品产量（线缆-高压电缆-交联）（km·mm²）</t>
    </r>
  </si>
  <si>
    <r>
      <t>q线缆-高压电缆-交联-电：高压电缆产线中交联工序单位产品电耗，单位为kWh/km*mm2；；Q线缆-高压电缆-交联-电：高压电缆产线中交联工序电能源消费量，单位kWh；M线缆-高压电缆-交联:高压电缆产线中交联工序产品产量，单位为km*mm2</t>
    </r>
  </si>
  <si>
    <r>
      <t>IND-024</t>
    </r>
  </si>
  <si>
    <r>
      <t>吨铜电耗（线缆-中压电缆-拉丝）</t>
    </r>
  </si>
  <si>
    <r>
      <t>线缆中压电缆产线，拉丝工序，拉1吨铜耗电量</t>
    </r>
  </si>
  <si>
    <r>
      <t>分子 · EN-KE42 工序电力消费量（线缆-中压电缆-拉丝·铜）（kWh）　｜　分母 · OUT-KM23 工序产品产量（线缆-中压电缆-拉丝·铜）（t）</t>
    </r>
  </si>
  <si>
    <r>
      <t>q线缆-中压电缆-拉丝Cu-电：中压电缆产线中拉丝工序单位铜电耗，单位为kWh/t；；Q线缆-中压电缆-拉丝Cu-电：中压电缆产线中拉丝工序电能源消费量，单位kWh；M线缆-中压电缆-拉丝Cu:中压电缆产线中拉丝工序铜产量，单位为t</t>
    </r>
  </si>
  <si>
    <r>
      <t>IND-025</t>
    </r>
  </si>
  <si>
    <r>
      <t>吨铝电耗（线缆-中压电缆-拉丝）</t>
    </r>
  </si>
  <si>
    <r>
      <t>线缆中压电缆产线，拉丝工序，拉1吨铝耗电量</t>
    </r>
  </si>
  <si>
    <r>
      <t>分子 · EN-KE43 工序电力消费量（线缆-中压电缆-拉丝·铝）（kWh）　｜　分母 · OUT-KM24 工序产品产量（线缆-中压电缆-拉丝·铝）（t）</t>
    </r>
  </si>
  <si>
    <r>
      <t>q线缆-中压电缆-拉丝Al-电：中压电缆产线中拉丝工序单位铝电耗，单位为kWh/t；；Q线缆-中压电缆-拉丝Al-电：中压电缆产线中拉丝工序电能源消费量，单位kWh；M线缆-中压电缆-拉丝Al:中压电缆产线中拉丝工序铝产量，单位为t</t>
    </r>
  </si>
  <si>
    <r>
      <t>IND-026</t>
    </r>
  </si>
  <si>
    <r>
      <t>中压交联（干法）（线缆-中压电缆-交联）</t>
    </r>
  </si>
  <si>
    <r>
      <t>线缆中压电缆产线，交联工序，单位产量耗电量。</t>
    </r>
  </si>
  <si>
    <r>
      <t>分子 · EN-KE41 工序电力消费量（线缆-中压电缆-交联）（kWh）　｜　分母 · OUT-KM22 工序产品产量（线缆-中压电缆-交联）（km·mm²）</t>
    </r>
  </si>
  <si>
    <r>
      <t>q线缆-中压电缆-交联-电：中压电缆产线中交联工序单位产品电耗，单位为kWh/km*mm2；；Q线缆-中压电缆-交联-电：中压电缆产线中交联工序电能源消费量，单位kWh；M线缆-中压电缆-交联:中压电缆产线中交联工序产品产量，单位为km*mm2</t>
    </r>
  </si>
  <si>
    <r>
      <t>IND-027</t>
    </r>
  </si>
  <si>
    <r>
      <t>吨铜电耗（线缆-低压电缆-拉丝）</t>
    </r>
  </si>
  <si>
    <r>
      <t>线缆低压电缆产线，拉丝工序，拉1吨铜耗电量</t>
    </r>
  </si>
  <si>
    <r>
      <t>分子 · EN-KE44 工序电力消费量（线缆-低压电缆-拉丝·铜）（kWh）　｜　分母 · OUT-KM25 工序产品产量（线缆-低压电缆-拉丝·铜）（t）</t>
    </r>
  </si>
  <si>
    <r>
      <t>q线缆-低压电缆-拉丝Cu-电：低压电缆产线中拉丝工序单位铜电耗，单位为kWh/t；；Q线缆-低压电缆-拉丝Cu-电：低压电缆产线中拉丝工序电能源消费量，单位kWh；M线缆-低压电缆-拉丝Cu:低压电缆产线中拉丝工序铜产量，单位为t</t>
    </r>
  </si>
  <si>
    <r>
      <t>IND-028</t>
    </r>
  </si>
  <si>
    <r>
      <t>吨铝电耗（线缆-低压电缆-拉丝）</t>
    </r>
  </si>
  <si>
    <r>
      <t>线缆低压电缆产线，拉丝工序，拉1吨铝耗电量</t>
    </r>
  </si>
  <si>
    <r>
      <t>分子 · EN-KE45 工序电力消费量（线缆-低压电缆-拉丝·铝）（kWh）　｜　分母 · OUT-KM26 工序产品产量（线缆-低压电缆-拉丝·铝）（t）</t>
    </r>
  </si>
  <si>
    <r>
      <t>q线缆-低压电缆-拉丝Al-电：低压电缆产线中拉丝工序单位铝电耗，单位为kWh/t；；Q线缆-低压电缆-拉丝Al-电：低压电缆产线中拉丝工序电能源消费量，单位kWh；M线缆-低压电缆-拉丝Al:低压电缆产线中拉丝工序铝产量，单位为t</t>
    </r>
  </si>
  <si>
    <r>
      <t>IND-029</t>
    </r>
  </si>
  <si>
    <r>
      <t>吨铜电耗（线缆-特种电缆-拉丝）</t>
    </r>
  </si>
  <si>
    <r>
      <t>线缆特种电缆产线，拉丝工序，拉1吨铜耗电量</t>
    </r>
  </si>
  <si>
    <r>
      <t>分子 · EN-KE52 工序电力消费量（线缆-特种电缆-拉丝·铜）（kWh）　｜　分母 · OUT-KM33 工序产品产量（线缆-特种电缆-拉丝·铜）（t）</t>
    </r>
  </si>
  <si>
    <r>
      <t>q线缆-特种电缆-拉丝Cu-电：特种电缆产线中拉丝工序单位铜电耗，单位为kWh/t；；Q线缆-特种电缆-拉丝Cu-电：特种电缆产线中拉丝工序电能源消费量，单位kWh；M线缆-特种电缆-拉丝Cu:特种电缆产线中拉丝工序铜产量，单位为t</t>
    </r>
  </si>
  <si>
    <r>
      <t>IND-030</t>
    </r>
  </si>
  <si>
    <r>
      <t>吨铝电耗（线缆-特种电缆-拉丝）</t>
    </r>
  </si>
  <si>
    <r>
      <t>线缆特种电缆产线，拉丝工序，拉1吨铝耗电量</t>
    </r>
  </si>
  <si>
    <r>
      <t>分子 · EN-KE53 工序电力消费量（线缆-特种电缆-拉丝·铝）（kWh）　｜　分母 · OUT-KM34 工序产品产量（线缆-特种电缆-拉丝·铝）（t）</t>
    </r>
  </si>
  <si>
    <r>
      <t>q线缆-特种电缆-拉丝Al-电：特种电缆产线中拉丝工序单位铝电耗，单位为kWh/t；；Q线缆-特种电缆-拉丝Al-电：特种电缆产线中拉丝工序电能源消费量，单位kWh；M线缆-特种电缆-拉丝Al:特种电缆产线中拉丝工序铝产量，单位为t</t>
    </r>
  </si>
  <si>
    <r>
      <t>IND-031</t>
    </r>
  </si>
  <si>
    <r>
      <t>吨铜电耗（线缆-装备电缆-拉丝）</t>
    </r>
  </si>
  <si>
    <r>
      <t>线缆装备电缆产线，拉丝工序，拉1吨铜耗电量</t>
    </r>
  </si>
  <si>
    <r>
      <t>分子 · EN-KE54 工序电力消费量（线缆-装备电缆-拉丝·铜）（kWh）　｜　分母 · OUT-KM35 工序产品产量（线缆-装备电缆-拉丝·铜）（t）</t>
    </r>
  </si>
  <si>
    <r>
      <t>q线缆-装备电缆-拉丝Cu-电：装备电缆产线中拉丝工序单位铜电耗，单位为kWh/t；；Q线缆-装备电缆-拉丝Cu-电：装备电缆产线中拉丝工序电能源消费量，单位kWh；M线缆-装备电缆-拉丝Cu:装备电缆产线中拉丝工序铜产量，单位为t</t>
    </r>
  </si>
  <si>
    <r>
      <t>IND-032</t>
    </r>
  </si>
  <si>
    <r>
      <t>吨铝电耗（线缆-装备电缆-拉丝）</t>
    </r>
  </si>
  <si>
    <r>
      <t>线缆装备电缆产线，拉丝工序，拉1吨铝耗电量</t>
    </r>
  </si>
  <si>
    <r>
      <t>分子 · EN-KE55 工序电力消费量（线缆-装备电缆-拉丝·铝）（kWh）　｜　分母 · OUT-KM36 工序产品产量（线缆-装备电缆-拉丝·铝）（t）</t>
    </r>
  </si>
  <si>
    <r>
      <t>q线缆-装备电缆-拉丝Al-电：装备电缆产线中拉丝工序单位铝电耗，单位为kWh/t；；Q线缆-装备电缆-拉丝Al-电：装备电缆产线中拉丝工序电能源消费量，单位kWh；M线缆-装备电缆-拉丝Al:装备电缆产线中拉丝工序铝产量，单位为t</t>
    </r>
  </si>
  <si>
    <r>
      <t>IND-033</t>
    </r>
  </si>
  <si>
    <r>
      <t>吨铜电耗（线缆-橡套电缆-拉丝）</t>
    </r>
  </si>
  <si>
    <r>
      <t>线缆橡套电缆产线，拉丝工序，拉1吨铜耗电量</t>
    </r>
  </si>
  <si>
    <r>
      <t>分子 · EN-KE50 工序电力消费量（线缆-橡套电缆-拉丝·铜）（kWh）　｜　分母 · OUT-KM31 工序产品产量（线缆-橡套电缆-拉丝·铜）（t）</t>
    </r>
  </si>
  <si>
    <r>
      <t>q线缆-橡套电缆-拉丝Cu-电：橡套电缆产线中拉丝工序单位铜电耗，单位为kWh/t；；Q线缆-橡套电缆-拉丝Cu-电：橡套电缆产线中拉丝工序电能源消费量，单位kWh；M线缆-橡套电缆-拉丝Cu:橡套电缆产线中拉丝工序铜产量，单位为t</t>
    </r>
  </si>
  <si>
    <r>
      <t>IND-034</t>
    </r>
  </si>
  <si>
    <r>
      <t>吨铝电耗（线缆-橡套电缆-拉丝）</t>
    </r>
  </si>
  <si>
    <r>
      <t>线缆橡套电缆产线，拉丝工序，拉1吨铝耗电量</t>
    </r>
  </si>
  <si>
    <r>
      <t>分子 · EN-KE51 工序电力消费量（线缆-橡套电缆-拉丝·铝）（kWh）　｜　分母 · OUT-KM32 工序产品产量（线缆-橡套电缆-拉丝·铝）（t）</t>
    </r>
  </si>
  <si>
    <r>
      <t>q线缆-橡套电缆-拉丝Al-电：橡套电缆产线中拉丝工序单位铝电耗，单位为kWh/t；；Q线缆-橡套电缆-拉丝Al-电：橡套电缆产线中拉丝工序电能源消费量，单位kWh；M线缆-橡套电缆-拉丝Al:橡套电缆产线中拉丝工序铝产量，单位为t</t>
    </r>
  </si>
  <si>
    <r>
      <t>IND-035</t>
    </r>
  </si>
  <si>
    <r>
      <t>单位产量能耗（变压器-特高压-器身干燥）</t>
    </r>
  </si>
  <si>
    <r>
      <t>变压器特高压产线器身干燥工序每万kVA综合能耗</t>
    </r>
  </si>
  <si>
    <r>
      <t>tce/万kVA</t>
    </r>
  </si>
  <si>
    <r>
      <t>分子 · EN-KT02 工序综合能源消费量（变压器-特高压-器身干燥）（tce）　｜　分母 · OUT-KM01 工序产品产量（变压器-特高压-器身干燥）（万kVA）</t>
    </r>
  </si>
  <si>
    <r>
      <t>e变-特高压-器身干燥:变压器特高压产线器身干燥工序单位产品能耗，单位为tce/万kVA；；E变-特高压-器身干燥：变压器特高压产线器身干燥工序综合能源消费量，单位tce；M变-特高压-器身干燥:变压器特高压产线器身干燥工序产品产量，单位为万kVA</t>
    </r>
  </si>
  <si>
    <r>
      <t>IND-036</t>
    </r>
  </si>
  <si>
    <r>
      <t>单位产量电耗（变压器-特高压-器身干燥）</t>
    </r>
  </si>
  <si>
    <r>
      <t>变压器特高压产线器身干燥工序每万kVA电耗</t>
    </r>
  </si>
  <si>
    <r>
      <t>kWh/万kVA</t>
    </r>
  </si>
  <si>
    <r>
      <t>分子 · EN-KE15 工序电力消费量（变压器-特高压-器身干燥）（kWh）　｜　分母 · OUT-KM01 工序产品产量（变压器-特高压-器身干燥）（万kVA）</t>
    </r>
  </si>
  <si>
    <r>
      <t>q变-特高压-器身干燥-电：变压器特高压产线器身干燥工序中单位产品电耗，单位为kWh/万kVA；；Q变-特高压-器身干燥-电：变压器特高压产线器身干燥工序中电能源消费量，单位kWh；M变-特高压-器身干燥:变压器特高压产线器身干燥工序产品产量，单位为万kVA</t>
    </r>
  </si>
  <si>
    <r>
      <t>IND-037</t>
    </r>
  </si>
  <si>
    <r>
      <t>单位产量蒸汽耗（变压器-特高压-器身干燥）</t>
    </r>
  </si>
  <si>
    <r>
      <t>变压器特高压产线器身干燥工序每万kVA蒸汽耗</t>
    </r>
  </si>
  <si>
    <r>
      <t>t/万kVA</t>
    </r>
  </si>
  <si>
    <r>
      <t>分子 · EN-KS02 工序蒸汽消费量（变压器-特高压-器身干燥）（t）　｜　分母 · OUT-KM01 工序产品产量（变压器-特高压-器身干燥）（万kVA）</t>
    </r>
  </si>
  <si>
    <r>
      <t>q变-特高压-器身干燥-蒸汽：变压器特高压产线器身干燥工序中单位产品蒸汽耗，单位为t/万kVA；；Q变-特高压-器身干燥-蒸汽：变压器特高压产线器身干燥工序中蒸汽能源消费量，单位t；M变-特高压-器身干燥:变压器特高压产线器身干燥工序产品产量，单位为万kVA</t>
    </r>
  </si>
  <si>
    <r>
      <t>IND-038</t>
    </r>
  </si>
  <si>
    <r>
      <t>单位产量能耗（变压器-特高压-试验）</t>
    </r>
  </si>
  <si>
    <r>
      <t>变压器特高压产线试验工序每万kVA综合能耗</t>
    </r>
  </si>
  <si>
    <r>
      <t>分子 · EN-KT03 工序综合能源消费量（变压器-特高压-试验）（tce）　｜　分母 · OUT-KM02 工序产品产量（变压器-特高压-试验）（万kVA）</t>
    </r>
  </si>
  <si>
    <r>
      <t>e变-特高压-试验:变压器特高压产线试验工序单位产品能耗，单位为tce/万kVA；；E变-特高压-试验：变压器特高压产线试验工序综合能源消费量，单位tce；M变-特高压-试验:变压器特高压产线试验工序产品产量，单位为万kVA</t>
    </r>
  </si>
  <si>
    <r>
      <t>IND-039</t>
    </r>
  </si>
  <si>
    <r>
      <t>单位产量电耗（变压器-特高压-试验）</t>
    </r>
  </si>
  <si>
    <r>
      <t>变压器特高压产线试验工序每万kVA电耗</t>
    </r>
  </si>
  <si>
    <r>
      <t>分子 · EN-KE16 工序电力消费量（变压器-特高压-试验）（kWh）　｜　分母 · OUT-KM02 工序产品产量（变压器-特高压-试验）（万kVA）</t>
    </r>
  </si>
  <si>
    <r>
      <t>q变-特高压-试验-电：变压器特高压产线试验工序中单位产品电耗，单位为kWh/万kVA；；Q变-特高压-试验-电：变压器特高压产线试验工序中电能源消费量，单位kWh；M变-特高压-试验:变压器特高压产线试验工序产品产量，单位为万kVA</t>
    </r>
  </si>
  <si>
    <r>
      <t>IND-040</t>
    </r>
  </si>
  <si>
    <r>
      <t>单位产量能耗（变压器-超高压-器身干燥）</t>
    </r>
  </si>
  <si>
    <r>
      <t>变压器超高压产线器身干燥工序每万kVA综合能耗</t>
    </r>
  </si>
  <si>
    <r>
      <t>分子 · EN-KT04 工序综合能源消费量（变压器-超高压-器身干燥）（tce）　｜　分母 · OUT-KM03 工序产品产量（变压器-超高压-器身干燥）（万kVA）</t>
    </r>
  </si>
  <si>
    <r>
      <t>e变-超高压-器身干燥:变压器超高压产线器身干燥工序单位产品能耗，单位为tce/万kVA；；E变-超高压-器身干燥：变压器超高压产线器身干燥工序综合能源消费量，单位tce；M变-超高压-器身干燥:变压器超高压产线器身干燥工序产品产量，单位为万kVA</t>
    </r>
  </si>
  <si>
    <r>
      <t>IND-041</t>
    </r>
  </si>
  <si>
    <r>
      <t>单位产量电耗（变压器-超高压-器身干燥）</t>
    </r>
  </si>
  <si>
    <r>
      <t>变压器超高压产线器身干燥工序每万kVA电耗</t>
    </r>
  </si>
  <si>
    <r>
      <t>分子 · EN-KE17 工序电力消费量（变压器-超高压-器身干燥）（kWh）　｜　分母 · OUT-KM03 工序产品产量（变压器-超高压-器身干燥）（万kVA）</t>
    </r>
  </si>
  <si>
    <r>
      <t>q变-超高压-器身干燥-电：变压器超高压产线器身干燥工序中单位产品电耗，单位为kWh/万kVA；；Q变-超高压-器身干燥-电：变压器超高压产线器身干燥工序中电能源消费量，单位kWh；M变-超高压-器身干燥:变压器超高压产线器身干燥工序产品产量，单位为万kVA</t>
    </r>
  </si>
  <si>
    <r>
      <t>IND-042</t>
    </r>
  </si>
  <si>
    <r>
      <t>单位产量蒸汽耗（变压器-超高压-器身干燥）</t>
    </r>
  </si>
  <si>
    <r>
      <t>变压器超高压产线器身干燥工序每万kVA蒸汽耗</t>
    </r>
  </si>
  <si>
    <r>
      <t>分子 · EN-KS03 工序蒸汽消费量（变压器-超高压-器身干燥）（t）　｜　分母 · OUT-KM03 工序产品产量（变压器-超高压-器身干燥）（万kVA）</t>
    </r>
  </si>
  <si>
    <r>
      <t>q变-超高压-器身干燥-蒸汽：变压器超高压产线器身干燥工序中单位产品蒸汽耗，单位为t/万kVA；；Q变-超高压-器身干燥-蒸汽：变压器超高压产线器身干燥工序中蒸汽能源消费量，单位t；M变-超高压-器身干燥:变压器超高压产线器身干燥工序产品产量，单位为万kVA</t>
    </r>
  </si>
  <si>
    <r>
      <t>IND-043</t>
    </r>
  </si>
  <si>
    <r>
      <t>单位产量能耗（变压器-超高压-试验）</t>
    </r>
  </si>
  <si>
    <r>
      <t>变压器超高压产线试验工序每万kVA综合能耗</t>
    </r>
  </si>
  <si>
    <r>
      <t>分子 · EN-KT05 工序综合能源消费量（变压器-超高压-试验）（tce）　｜　分母 · OUT-KM04 工序产品产量（变压器-超高压-试验）（万kVA）</t>
    </r>
  </si>
  <si>
    <r>
      <t>e变-超高压-试验:变压器超高压产线试验工序单位产品能耗，单位为tce/万kVA；；E变-超高压-试验：变压器超高压产线试验工序综合能源消费量，单位tce；M变-超高压-试验:变压器超高压产线试验工序产品产量，单位为万kVA</t>
    </r>
  </si>
  <si>
    <r>
      <t>IND-044</t>
    </r>
  </si>
  <si>
    <r>
      <t>单位产量电耗（变压器-超高压-试验）</t>
    </r>
  </si>
  <si>
    <r>
      <t>变压器超高压产线试验工序每万kVA电耗</t>
    </r>
  </si>
  <si>
    <r>
      <t>分子 · EN-KE18 工序电力消费量（变压器-超高压-试验）（kWh）　｜　分母 · OUT-KM04 工序产品产量（变压器-超高压-试验）（万kVA）</t>
    </r>
  </si>
  <si>
    <r>
      <t>q变-超高压-试验-电：变压器超高压产线试验工序中单位产品电耗，单位为kWh/万kVA；；Q变-超高压-试验-电：变压器超高压产线试验工序中电能源消费量，单位kWh；M变-超高压-试验:变压器超高压产线试验工序产品产量，单位为万kVA</t>
    </r>
  </si>
  <si>
    <r>
      <t>IND-045</t>
    </r>
  </si>
  <si>
    <r>
      <t>单位产量能耗（变压器-高压-器身干燥）</t>
    </r>
  </si>
  <si>
    <r>
      <t>变压器高压产线器身干燥工序每万kVA综合能耗</t>
    </r>
  </si>
  <si>
    <r>
      <t>分子 · EN-KT14 工序综合能源消费量（变压器-高压-器身干燥）（tce）　｜　分母 · OUT-KM13 工序产品产量（变压器-高压-器身干燥）（万kVA）</t>
    </r>
  </si>
  <si>
    <r>
      <t>e变-高压-器身干燥:变压器高压产线器身干燥工序单位产品能耗，单位为tce/万kVA；；E变-高压-器身干燥：变压器高压产线器身干燥工序综合能源消费量，单位tce；M变-高压-器身干燥:变压器高压产线器身干燥工序产品产量，单位为万kVA</t>
    </r>
  </si>
  <si>
    <r>
      <t>IND-046</t>
    </r>
  </si>
  <si>
    <r>
      <t>单位产量电耗（变压器-高压-器身干燥）</t>
    </r>
  </si>
  <si>
    <r>
      <t>变压器高压产线器身干燥工序每万kVA电耗</t>
    </r>
  </si>
  <si>
    <r>
      <t>分子 · EN-KE27 工序电力消费量（变压器-高压-器身干燥）（kWh）　｜　分母 · OUT-KM13 工序产品产量（变压器-高压-器身干燥）（万kVA）</t>
    </r>
  </si>
  <si>
    <r>
      <t>q变-高压-器身干燥-电：变压器高压产线器身干燥工序中单位产品电耗，单位为kWh/万kVA；；Q变-高压-器身干燥-电：变压器高压产线器身干燥工序中电能源消费量，单位kWh；M变-高压-器身干燥:变压器高压产线器身干燥工序产品产量，单位为万kVA</t>
    </r>
  </si>
  <si>
    <r>
      <t>IND-047</t>
    </r>
  </si>
  <si>
    <r>
      <t>单位产量蒸汽耗（变压器-高压-器身干燥）</t>
    </r>
  </si>
  <si>
    <r>
      <t>变压器高压产线器身干燥工序每万kVA蒸汽耗</t>
    </r>
  </si>
  <si>
    <r>
      <t>分子 · EN-KS04 工序蒸汽消费量（变压器-高压-器身干燥）（t）　｜　分母 · OUT-KM13 工序产品产量（变压器-高压-器身干燥）（万kVA）</t>
    </r>
  </si>
  <si>
    <r>
      <t>q变-高压-器身干燥-蒸汽：变压器高压产线器身干燥工序中单位产品蒸汽耗，单位为t/万kVA；；Q变-高压-器身干燥-蒸汽：变压器高压产线器身干燥工序中蒸汽能源消费量，单位t；M变-高压-器身干燥:变压器高压产线器身干燥工序产品产量，单位为万kVA</t>
    </r>
  </si>
  <si>
    <r>
      <t>IND-048</t>
    </r>
  </si>
  <si>
    <r>
      <t>单位产量能耗（变压器-高压-试验）</t>
    </r>
  </si>
  <si>
    <r>
      <t>变压器高压产线试验工序每万kVA综合能耗</t>
    </r>
  </si>
  <si>
    <r>
      <t>分子 · EN-KT15 工序综合能源消费量（变压器-高压-试验）（tce）　｜　分母 · OUT-KM14 工序产品产量（变压器-高压-试验）（万kVA）</t>
    </r>
  </si>
  <si>
    <r>
      <t>e变-高压-试验:变压器高压产线试验工序单位产品能耗，单位为tce/万kVA；；E变-高压-试验：变压器高压产线试验工序综合能源消费量，单位tce；M变-高压-试验:变压器高压产线试验工序产品产量，单位为万kVA</t>
    </r>
  </si>
  <si>
    <r>
      <t>IND-049</t>
    </r>
  </si>
  <si>
    <r>
      <t>单位产量电耗（变压器-高压-试验）</t>
    </r>
  </si>
  <si>
    <r>
      <t>变压器高压产线试验工序每万kVA电耗</t>
    </r>
  </si>
  <si>
    <r>
      <t>分子 · EN-KE28 工序电力消费量（变压器-高压-试验）（kWh）　｜　分母 · OUT-KM14 工序产品产量（变压器-高压-试验）（万kVA）</t>
    </r>
  </si>
  <si>
    <r>
      <t>q变-高压-试验-电：变压器高压产线试验工序中单位产品电耗，单位为kWh/万kVA；；Q变-高压-试验-电：变压器高压产线试验工序中电能源消费量，单位kWh；M变-高压-试验:变压器高压产线试验工序产品产量，单位为万kVA</t>
    </r>
  </si>
  <si>
    <r>
      <t>IND-050</t>
    </r>
  </si>
  <si>
    <r>
      <t>单位产量能耗（变压器-配变箱变-器身干燥）</t>
    </r>
  </si>
  <si>
    <r>
      <t>变压器配变箱变产线器身干燥工序每万kVA综合能耗</t>
    </r>
  </si>
  <si>
    <r>
      <t>分子 · EN-KT12 工序综合能源消费量（变压器-配变箱变-器身干燥）（tce）　｜　分母 · OUT-KM11 工序产品产量（变压器-配变箱变-器身干燥）（万kVA）</t>
    </r>
  </si>
  <si>
    <r>
      <t>e变-配变箱变-器身干燥:变压器配变箱变产线器身干燥工序单位产品能耗，单位为tce/万kVA；；E变-配变箱变-器身干燥：变压器配变箱变产线器身干燥工序综合能源消费量，单位tce；M变-配变箱变-器身干燥:变压器配变箱变产线器身干燥工序产品产量，单位为万kVA</t>
    </r>
  </si>
  <si>
    <r>
      <t>IND-051</t>
    </r>
  </si>
  <si>
    <r>
      <t>单位产量电耗（变压器-配变箱变-器身干燥）</t>
    </r>
  </si>
  <si>
    <r>
      <t>变压器配变箱变产线器身干燥工序每万kVA电耗</t>
    </r>
  </si>
  <si>
    <r>
      <t>分子 · EN-KE25 工序电力消费量（变压器-配变箱变-器身干燥）（kWh）　｜　分母 · OUT-KM11 工序产品产量（变压器-配变箱变-器身干燥）（万kVA）</t>
    </r>
  </si>
  <si>
    <r>
      <t>q变-配变箱变-器身干燥-电：变压器配变箱变产线器身干燥工序中单位产品电耗，单位为kWh/万kVA；；Q变-配变箱变-器身干燥-电：变压器配变箱变产线器身干燥工序中电能源消费量，单位kWh；M变-配变箱变-器身干燥:变压器配变箱变产线器身干燥工序产品产量，单位为万kVA</t>
    </r>
  </si>
  <si>
    <r>
      <t>IND-052</t>
    </r>
  </si>
  <si>
    <r>
      <t>单位产量能耗（变压器-配变箱变-试验）</t>
    </r>
  </si>
  <si>
    <r>
      <t>变压器配变箱变产线试验工序每万kVA综合能耗</t>
    </r>
  </si>
  <si>
    <r>
      <t>分子 · EN-KT13 工序综合能源消费量（变压器-配变箱变-试验）（tce）　｜　分母 · OUT-KM12 工序产品产量（变压器-配变箱变-试验）（万kVA）</t>
    </r>
  </si>
  <si>
    <r>
      <t>e变-配变箱变-试验:变压器配变箱变产线试验工序单位产品能耗，单位为tce/万kVA；；E变-配变箱变-试验：变压器配变箱变产线试验工序综合能源消费量，单位tce；M变-配变箱变-试验:变压器配变箱变产线试验工序产品产量，单位为万kVA</t>
    </r>
  </si>
  <si>
    <r>
      <t>IND-053</t>
    </r>
  </si>
  <si>
    <r>
      <t>单位产量电耗（变压器-配变箱变-试验）</t>
    </r>
  </si>
  <si>
    <r>
      <t>变压器配变箱变产线试验工序每万kVA电耗</t>
    </r>
  </si>
  <si>
    <r>
      <t>分子 · EN-KE26 工序电力消费量（变压器-配变箱变-试验）（kWh）　｜　分母 · OUT-KM12 工序产品产量（变压器-配变箱变-试验）（万kVA）</t>
    </r>
  </si>
  <si>
    <r>
      <t>q变-配变箱变-试验-电：变压器配变箱变产线试验工序中单位产品电耗，单位为kWh/万kVA；；Q变-配变箱变-试验-电：变压器配变箱变产线试验工序中电能源消费量，单位kWh；M变-配变箱变-试验:变压器配变箱变产线试验工序产品产量，单位为万kVA</t>
    </r>
  </si>
  <si>
    <r>
      <t>IND-054</t>
    </r>
  </si>
  <si>
    <r>
      <t>单位产量能耗（变压器-配变中特-器身干燥）</t>
    </r>
  </si>
  <si>
    <r>
      <t>变压器配变中特产线器身干燥工序每万kVA综合能耗</t>
    </r>
  </si>
  <si>
    <r>
      <t>分子 · EN-KT06 工序综合能源消费量（变压器-配变中特-器身干燥）（tce）　｜　分母 · OUT-KM05 工序产品产量（变压器-配变中特-器身干燥）（万kVA）</t>
    </r>
  </si>
  <si>
    <r>
      <t>e变-配变中特-器身干燥:变压器配变中特产线器身干燥工序单位产品能耗，单位为tce/万kVA；；E变-配变中特-器身干燥：变压器配变中特产线器身干燥工序综合能源消费量，单位tce；M变-配变中特-器身干燥:变压器配变中特产线器身干燥工序产品产量，单位为万kVA</t>
    </r>
  </si>
  <si>
    <r>
      <t>IND-055</t>
    </r>
  </si>
  <si>
    <r>
      <t>单位产量电耗（变压器-配变中特-器身干燥）</t>
    </r>
  </si>
  <si>
    <r>
      <t>变压器配变中特产线器身干燥工序每万kVA电耗</t>
    </r>
  </si>
  <si>
    <r>
      <t>分子 · EN-KE19 工序电力消费量（变压器-配变中特-器身干燥）（kWh）　｜　分母 · OUT-KM05 工序产品产量（变压器-配变中特-器身干燥）（万kVA）</t>
    </r>
  </si>
  <si>
    <r>
      <t>q变-配变中特-器身干燥-电：变压器配变中特产线器身干燥工序中单位产品电耗，单位为kWh/万kVA；；Q变-配变中特-器身干燥-电：变压器配变中特产线器身干燥工序中电能源消费量，单位kWh；M变-配变中特-器身干燥:变压器配变中特产线器身干燥工序产品产量，单位为万kVA</t>
    </r>
  </si>
  <si>
    <r>
      <t>IND-056</t>
    </r>
  </si>
  <si>
    <r>
      <t>单位产量能耗（变压器-配变中特-试验）</t>
    </r>
  </si>
  <si>
    <r>
      <t>变压器配变中特产线试验工序每万kVA综合能耗</t>
    </r>
  </si>
  <si>
    <r>
      <t>分子 · EN-KT07 工序综合能源消费量（变压器-配变中特-试验）（tce）　｜　分母 · OUT-KM06 工序产品产量（变压器-配变中特-试验）（万kVA）</t>
    </r>
  </si>
  <si>
    <r>
      <t>e变-配变中特-试验:变压器配变中特产线试验工序单位产品能耗，单位为tce/万kVA；；E变-配变中特-试验：变压器配变中特产线试验工序综合能源消费量，单位tce；M变-配变中特-试验:变压器配变中特产线试验工序产品产量，单位为万kVA</t>
    </r>
  </si>
  <si>
    <r>
      <t>IND-057</t>
    </r>
  </si>
  <si>
    <r>
      <t>单位产量电耗（变压器-配变中特-试验）</t>
    </r>
  </si>
  <si>
    <r>
      <t>变压器配变中特产线试验工序每万kVA电耗</t>
    </r>
  </si>
  <si>
    <r>
      <t>分子 · EN-KE20 工序电力消费量（变压器-配变中特-试验）（kWh）　｜　分母 · OUT-KM06 工序产品产量（变压器-配变中特-试验）（万kVA）</t>
    </r>
  </si>
  <si>
    <r>
      <t>q变-配变中特-试验-电：变压器配变中特产线试验工序中单位产品电耗，单位为kWh/万kVA；；Q变-配变中特-试验-电：变压器配变中特产线试验工序中电能源消费量，单位kWh；M变-配变中特-试验:变压器配变中特产线试验工序产品产量，单位为万kVA</t>
    </r>
  </si>
  <si>
    <r>
      <t>IND-058</t>
    </r>
  </si>
  <si>
    <r>
      <t>单位产量能耗（变压器-配变油变-器身干燥）</t>
    </r>
  </si>
  <si>
    <r>
      <t>变压器配变油变产线器身干燥工序每万kVA综合能耗</t>
    </r>
  </si>
  <si>
    <r>
      <t>分子 · EN-KT10 工序综合能源消费量（变压器-配变油变-器身干燥）（tce）　｜　分母 · OUT-KM09 工序产品产量（变压器-配变油变-器身干燥）（万kVA）</t>
    </r>
  </si>
  <si>
    <r>
      <t>e变-配变油变-器身干燥:变压器配变油变产线器身干燥工序单位产品能耗，单位为tce/万kVA；；E变-配变油变-器身干燥：变压器配变油变产线器身干燥工序综合能源消费量，单位tce；M变-配变油变-器身干燥:变压器配变油变产线器身干燥工序产品产量，单位为万kVA</t>
    </r>
  </si>
  <si>
    <r>
      <t>IND-059</t>
    </r>
  </si>
  <si>
    <r>
      <t>单位产量电耗（变压器-配变油变-器身干燥）</t>
    </r>
  </si>
  <si>
    <r>
      <t>变压器配变油变产线器身干燥工序每万kVA电耗</t>
    </r>
  </si>
  <si>
    <r>
      <t>分子 · EN-KE23 工序电力消费量（变压器-配变油变-器身干燥）（kWh）　｜　分母 · OUT-KM09 工序产品产量（变压器-配变油变-器身干燥）（万kVA）</t>
    </r>
  </si>
  <si>
    <r>
      <t>q变-配变油变-器身干燥-电：变压器配变油变产线器身干燥工序中单位产品电耗，单位为kWh/万kVA；；Q变-配变油变-器身干燥-电：变压器配变油变产线器身干燥工序中电能源消费量，单位kWh；M变-配变油变-器身干燥:变压器配变油变产线器身干燥工序产品产量，单位为万kVA</t>
    </r>
  </si>
  <si>
    <r>
      <t>IND-060</t>
    </r>
  </si>
  <si>
    <r>
      <t>单位产量能耗（变压器-配变油变-试验）</t>
    </r>
  </si>
  <si>
    <r>
      <t>变压器配变油变产线试验工序每万kVA综合能耗</t>
    </r>
  </si>
  <si>
    <r>
      <t>分子 · EN-KT11 工序综合能源消费量（变压器-配变油变-试验）（tce）　｜　分母 · OUT-KM10 工序产品产量（变压器-配变油变-试验）（万kVA）</t>
    </r>
  </si>
  <si>
    <r>
      <t>e变-配变油变-试验:变压器配变油变产线试验工序单位产品能耗，单位为tce/万kVA；；E变-配变油变-试验：变压器配变油变产线试验工序综合能源消费量，单位tce；M变-配变油变-试验:变压器配变油变产线试验工序产品产量，单位为万kVA</t>
    </r>
  </si>
  <si>
    <r>
      <t>IND-061</t>
    </r>
  </si>
  <si>
    <r>
      <t>单位产量电耗（变压器-配变油变-试验）</t>
    </r>
  </si>
  <si>
    <r>
      <t>变压器配变油变产线试验工序每万kVA电耗</t>
    </r>
  </si>
  <si>
    <r>
      <t>分子 · EN-KE24 工序电力消费量（变压器-配变油变-试验）（kWh）　｜　分母 · OUT-KM10 工序产品产量（变压器-配变油变-试验）（万kVA）</t>
    </r>
  </si>
  <si>
    <r>
      <t>q变-配变油变-试验-电：变压器配变油变产线试验工序中单位产品电耗，单位为kWh/万kVA；；Q变-配变油变-试验-电：变压器配变油变产线试验工序中电能源消费量，单位kWh；M变-配变油变-试验:变压器配变油变产线试验工序产品产量，单位为万kVA</t>
    </r>
  </si>
  <si>
    <r>
      <t>IND-062</t>
    </r>
  </si>
  <si>
    <r>
      <t>单位产量能耗（变压器-配变干变-浇注固化）</t>
    </r>
  </si>
  <si>
    <r>
      <t>变压器配变干变产线浇注固化工序每万kVA综合能耗</t>
    </r>
  </si>
  <si>
    <r>
      <t>分子 · EN-KT08 工序综合能源消费量（变压器-配变干变-浇注固化）（tce）　｜　分母 · OUT-KM07 工序产品产量（变压器-配变干变-浇注固化）（万kVA）</t>
    </r>
  </si>
  <si>
    <r>
      <t>e变-配变干变-浇注固化:变压器配变干变产线浇注固化工序单位产品能耗，单位为tce/万kVA；；E变-配变干变-浇注固化：变压器配变干变产线浇注固化工序综合能源消费量，单位tce；M变-配变干变-浇注固化:变压器配变干变产线浇注固化工序产品产量，单位为万kVA</t>
    </r>
  </si>
  <si>
    <r>
      <t>IND-063</t>
    </r>
  </si>
  <si>
    <r>
      <t>单位产量电耗（变压器-配变干变-浇注固化）</t>
    </r>
  </si>
  <si>
    <r>
      <t>变压器配变干变产线浇注固化工序每万kVA电耗</t>
    </r>
  </si>
  <si>
    <r>
      <t>分子 · EN-KE21 工序电力消费量（变压器-配变干变-浇注固化）（kWh）　｜　分母 · OUT-KM07 工序产品产量（变压器-配变干变-浇注固化）（万kVA）</t>
    </r>
  </si>
  <si>
    <r>
      <t>q变-配变干变-浇注固化-电：变压器配变干变产线浇注固化工序中单位产品电耗，单位为kWh/万kVA；；Q变-配变干变-浇注固化-电：变压器配变干变产线浇注固化工序中电能源消费量，单位kWh；M变-配变干变-浇注固化:变压器配变干变产线浇注固化工序产品产量，单位为万kVA</t>
    </r>
  </si>
  <si>
    <r>
      <t>IND-064</t>
    </r>
  </si>
  <si>
    <r>
      <t>单位产量能耗（变压器-配变干变-试验）</t>
    </r>
  </si>
  <si>
    <r>
      <t>变压器配变干变产线试验工序每万kVA综合能耗</t>
    </r>
  </si>
  <si>
    <r>
      <t>分子 · EN-KT09 工序综合能源消费量（变压器-配变干变-试验）（tce）　｜　分母 · OUT-KM08 工序产品产量（变压器-配变干变-试验）（万kVA）</t>
    </r>
  </si>
  <si>
    <r>
      <t>e变-配变干变-试验:变压器配变干变产线试验工序单位产品能耗，单位为tce/万kVA；；E变-配变干变-试验：变压器配变干变产线试验工序综合能源消费量，单位tce；M变-配变干变-试验:变压器配变干变产线试验工序产品产量，单位为万kVA</t>
    </r>
  </si>
  <si>
    <r>
      <t>IND-065</t>
    </r>
  </si>
  <si>
    <r>
      <t>单位产量电耗（变压器-配变干变-试验）</t>
    </r>
  </si>
  <si>
    <r>
      <t>变压器配变干变产线试验工序每万kVA电耗</t>
    </r>
  </si>
  <si>
    <r>
      <t>分子 · EN-KE22 工序电力消费量（变压器-配变干变-试验）（kWh）　｜　分母 · OUT-KM08 工序产品产量（变压器-配变干变-试验）（万kVA）</t>
    </r>
  </si>
  <si>
    <r>
      <t>q变-配变干变-试验-电：变压器配变干变产线试验工序中单位产品电耗，单位为kWh/万kVA；；Q变-配变干变-试验-电：变压器配变干变产线试验工序中电能源消费量，单位kWh；M变-配变干变-试验:变压器配变干变产线试验工序产品产量，单位为万kVA</t>
    </r>
  </si>
  <si>
    <r>
      <t>IND-066</t>
    </r>
  </si>
  <si>
    <r>
      <t>单位产值电耗（中低压开关柜-钣金加工）</t>
    </r>
  </si>
  <si>
    <r>
      <t>中低压开关柜钣金加工工序万元产值电耗，产值取产品产值</t>
    </r>
  </si>
  <si>
    <r>
      <t>kWh/万元</t>
    </r>
  </si>
  <si>
    <r>
      <t>分子 · EN-KE08 工序电力消费量（中低压开关柜-钣金加工）（kWh）　｜　分母 · VAL-KG08 工序产品产值（中低压开关柜-钣金加工）（万元）</t>
    </r>
  </si>
  <si>
    <r>
      <t>u柜-加工-电：中低压开关柜钣金加工工序中单位产值电耗，单位为kWh/万元；；Q柜-加工-电：中低压开关柜钣金加工工序中电能源消费量，单位kWh；G柜-加工:中低压开关柜钣金加工工序产品产值，单位为万元</t>
    </r>
  </si>
  <si>
    <r>
      <t>IND-067</t>
    </r>
  </si>
  <si>
    <r>
      <t>单位产值电耗（中低压开关柜-钣金喷涂）</t>
    </r>
  </si>
  <si>
    <r>
      <t>中低压开关柜钣金喷涂工序万元产值电耗</t>
    </r>
  </si>
  <si>
    <r>
      <t>分子 · EN-KE09 工序电力消费量（中低压开关柜-钣金喷涂）（kWh）　｜　分母 · VAL-KG09 工序产品产值（中低压开关柜-钣金喷涂）（万元）</t>
    </r>
  </si>
  <si>
    <r>
      <t>u柜-喷涂-电：中低压开关柜钣金喷涂工序中单位产品产值电耗，单位为kWh/万元；；Q柜-喷涂-电：中低压开关柜钣金喷涂工序中电能源消费量，单位kWh；G柜-喷涂:中低压开关柜钣金喷涂工序产品产值，单位为万元</t>
    </r>
  </si>
  <si>
    <r>
      <t>IND-068</t>
    </r>
  </si>
  <si>
    <r>
      <t>单位产值电耗（套管-干燥）</t>
    </r>
  </si>
  <si>
    <r>
      <t>套管干燥工序每万元产值电耗。</t>
    </r>
  </si>
  <si>
    <r>
      <t>分子 · EN-KE30 工序电力消费量（套管-干燥）（kWh）　｜　分母 · VAL-KG16 工序产品产值（套管-干燥）（万元）</t>
    </r>
  </si>
  <si>
    <r>
      <t>u套-干燥-电:套管干燥工序单位产值电耗，单位为kWh/万元；；Q套-干燥=电：套管干燥工序电能源消费量，单位kWh；G套-干燥:套管干燥工序产品产值，单位为万元</t>
    </r>
  </si>
  <si>
    <r>
      <t>IND-069</t>
    </r>
  </si>
  <si>
    <r>
      <t>单位产值电耗（套管-卷制），能耗占比较小，沈变建议去掉</t>
    </r>
  </si>
  <si>
    <r>
      <t>套管卷制工序每万元产值电耗。</t>
    </r>
  </si>
  <si>
    <r>
      <t>分子 · EN-KE29 工序电力消费量（套管-卷制）（kWh）　｜　分母 · VAL-KG15 工序产品产值（套管-卷制）（万元）</t>
    </r>
  </si>
  <si>
    <r>
      <t>u套-卷制-电:套管卷制工序单位产值电耗，单位为kWh/万元；；Q套-卷制=电：套管卷制工序电能源消费量，单位kWh；G套-卷制:套管卷制工序产品产值，单位为万元</t>
    </r>
  </si>
  <si>
    <r>
      <t>IND-070</t>
    </r>
  </si>
  <si>
    <r>
      <t>单位产值电耗（套管-试验），能耗占比较小，沈变建议去掉</t>
    </r>
  </si>
  <si>
    <r>
      <t>套管试验工序每万元产值电耗。</t>
    </r>
  </si>
  <si>
    <r>
      <t>分子 · EN-KE31 工序电力消费量（套管-试验）（kWh）　｜　分母 · VAL-KG17 工序产品产值（套管-试验）（万元）</t>
    </r>
  </si>
  <si>
    <r>
      <t>u套-试验-电:套管试验工序单位产值电耗，单位为kWh/万元；；Q套-试验=电：套管试验工序电能源消费量，单位kWh；G套-试验:套管试验工序产品产值，单位为万元</t>
    </r>
  </si>
  <si>
    <r>
      <t>IND-071</t>
    </r>
  </si>
  <si>
    <r>
      <t>单位产值综合能耗（互感器-干燥）</t>
    </r>
  </si>
  <si>
    <r>
      <t>互感器干燥工序每万元产值综合能耗。
电和蒸汽都有，蒸汽用的多，80%蒸汽</t>
    </r>
  </si>
  <si>
    <r>
      <t>分子 · EN-KT01 工序综合能源消费量（互感器-干燥）（tce）　｜　分母 · VAL-KG13 工序产品产值（互感器-干燥）（万元）</t>
    </r>
  </si>
  <si>
    <r>
      <t>g互-干燥:互感器干燥工序单位产值能耗，单位为tce/万元；；E互-干燥：互感器干燥工序综合能源消费量，单位tce；G互-干燥:互感器干燥工序产品产值，单位为万元</t>
    </r>
  </si>
  <si>
    <r>
      <t>IND-072</t>
    </r>
  </si>
  <si>
    <r>
      <t>单位产值电耗（互感器-干燥）</t>
    </r>
  </si>
  <si>
    <r>
      <t>互感器干燥工序每万元产值电耗</t>
    </r>
  </si>
  <si>
    <r>
      <t>分子 · EN-KE13 工序电力消费量（互感器-干燥）（kWh）　｜　分母 · VAL-KG13 工序产品产值（互感器-干燥）（万元）</t>
    </r>
  </si>
  <si>
    <r>
      <t>u互-干燥-电:互感器干燥工序单位产值电耗，单位为kWh/万元；；Q互-干燥=电：互感器干燥工序电能源消费量，单位kWh；G互-干燥:互感器干燥工序产品产值，单位为万元</t>
    </r>
  </si>
  <si>
    <r>
      <t>IND-073</t>
    </r>
  </si>
  <si>
    <r>
      <t>单位产值蒸汽消耗（互感器-干燥）</t>
    </r>
  </si>
  <si>
    <r>
      <t>互感器干燥工序每万元产值蒸汽消耗</t>
    </r>
  </si>
  <si>
    <r>
      <t>t/万元</t>
    </r>
  </si>
  <si>
    <r>
      <t>分子 · EN-KS01 工序蒸汽消费量（互感器-干燥）（t）　｜　分母 · VAL-KG13 工序产品产值（互感器-干燥）（万元）</t>
    </r>
  </si>
  <si>
    <r>
      <t>u互-干燥-蒸汽:互感器干燥工序单位产值蒸汽消耗，单位为t/万元；；Q互-干燥-蒸汽：互感器干燥工序蒸汽能源消费量，单位t；G互-干燥:互感器干燥工序产品产值，单位为万元</t>
    </r>
  </si>
  <si>
    <r>
      <t>IND-074</t>
    </r>
  </si>
  <si>
    <r>
      <t>单位产值电耗（互感器-试验）</t>
    </r>
  </si>
  <si>
    <r>
      <t>互感器试验工序每万元产值电耗。</t>
    </r>
  </si>
  <si>
    <r>
      <t>分子 · EN-KE14 工序电力消费量（互感器-试验）（kWh）　｜　分母 · VAL-KG14 工序产品产值（互感器-试验）（万元）</t>
    </r>
  </si>
  <si>
    <r>
      <t>u互-试验-电:互感器试验工序单位产值电耗，单位为kWh/万元；；Q互-试验=电：互感器试验工序电能源消费量，单位kWh；G互-试验:互感器试验工序产品产值，单位为万元</t>
    </r>
  </si>
  <si>
    <r>
      <t>IND-075</t>
    </r>
  </si>
  <si>
    <r>
      <t>单位产值电耗（二次-SMT贴片）</t>
    </r>
  </si>
  <si>
    <r>
      <t>二次-SMT贴片工序每万元产值电耗。</t>
    </r>
  </si>
  <si>
    <r>
      <t>分子 · EN-KE10 工序电力消费量（二次-SMT贴片）（kWh）　｜　分母 · VAL-KG10 工序产品产值（二次-SMT贴片）（万元）</t>
    </r>
  </si>
  <si>
    <r>
      <t>u二次-贴片-电:二次-SMT贴片工序单位产值电耗，单位为kWh/万元；；Q二次-贴片=电：二次-SMT贴片工序电能源消费量，单位kWh；G二次-贴片:二次-SMT贴片工序产品产值，单位为万元</t>
    </r>
  </si>
  <si>
    <r>
      <t>IND-076</t>
    </r>
  </si>
  <si>
    <r>
      <t>单位产值电耗（二次-高温老化）</t>
    </r>
  </si>
  <si>
    <r>
      <t>二次-高温老化工序每万元产值电耗。</t>
    </r>
  </si>
  <si>
    <r>
      <t>分子 · EN-KE12 工序电力消费量（二次-高温老化）（kWh）　｜　分母 · VAL-KG12 工序产品产值（二次-高温老化）（万元）</t>
    </r>
  </si>
  <si>
    <r>
      <t>u二次-高温-电:二次-高温老化工序单位产值电耗，单位为kWh/万元；；Q二次-高温=电：二次-高温老化工序电能源消费量，单位kWh；G二次-高温:二次-高温老化工序产品产值，单位为万元</t>
    </r>
  </si>
  <si>
    <r>
      <t>IND-077</t>
    </r>
  </si>
  <si>
    <r>
      <t>单位产值电耗（二次-波峰焊）</t>
    </r>
  </si>
  <si>
    <r>
      <t>二次-波峰焊工序每万元产值电耗。</t>
    </r>
  </si>
  <si>
    <r>
      <t>分子 · EN-KE11 工序电力消费量（二次-波峰焊）（kWh）　｜　分母 · VAL-KG11 工序产品产值（二次-波峰焊）（万元）</t>
    </r>
  </si>
  <si>
    <r>
      <t>u二次-波峰焊-电:二次-波峰焊工序单位产值电耗，单位为kWh/万元；；Q二次-波峰焊=电：二次-波峰焊工序电能源消费量，单位kWh；G二次-波峰焊:二次-波峰焊工序产品产值，单位为万元</t>
    </r>
  </si>
  <si>
    <r>
      <t>IND-078</t>
    </r>
  </si>
  <si>
    <r>
      <t>单位产量电耗（电容器-芯子卷绕）</t>
    </r>
  </si>
  <si>
    <r>
      <t>电容器芯子卷绕工序每万元产值电耗。</t>
    </r>
  </si>
  <si>
    <r>
      <t>kWh/kvar</t>
    </r>
  </si>
  <si>
    <r>
      <t>分子 · EN-KE36 工序电力消费量（电容器-芯子卷绕）（kWh）　｜　分母 · OUT-KM17 工序产品产量（电容器-芯子卷绕）（kvar）</t>
    </r>
  </si>
  <si>
    <r>
      <t>q容-卷绕-电：电容器芯子卷绕工序中单位产品电耗，单位为kWh/kvar；；Q容-卷绕-电：电容器芯子卷绕工序中电能源消费量，单位kWh；M容-卷绕:电容器芯子卷绕工序产品产量，单位为kvar</t>
    </r>
  </si>
  <si>
    <r>
      <t>IND-079</t>
    </r>
  </si>
  <si>
    <r>
      <t>单位产量电耗（电容器-真空浸渍）</t>
    </r>
  </si>
  <si>
    <r>
      <t>电容器真空浸渍工序每万元产值电耗。</t>
    </r>
  </si>
  <si>
    <r>
      <t>分子 · EN-KE35 工序电力消费量（电容器-真空浸渍）（kWh）　｜　分母 · OUT-KM16 工序产品产量（电容器-真空浸渍）（kvar）</t>
    </r>
  </si>
  <si>
    <r>
      <t>q容-真空-电：电容器真空浸渍工序中单位产品电耗，单位为kWh/kvar；；Q容-真空-电：电容器真空浸渍工序中电能源消费量，单位kWh；M容-真空:电容器真空浸渍工序产品产量，单位为kvar</t>
    </r>
  </si>
  <si>
    <r>
      <t>IND-080</t>
    </r>
  </si>
  <si>
    <r>
      <t>单位产量电耗（电容器-喷漆）</t>
    </r>
  </si>
  <si>
    <r>
      <t>电容器喷漆工序每万元产值电耗。</t>
    </r>
  </si>
  <si>
    <r>
      <t>分子 · EN-KE34 工序电力消费量（电容器-喷漆）（kWh）　｜　分母 · OUT-KM15 工序产品产量（电容器-喷漆）（kvar）</t>
    </r>
  </si>
  <si>
    <r>
      <t>q容-喷漆-电：电容器喷漆工序中单位产品电耗，单位为kWh/kvar；；Q容-喷漆-电：电容器喷漆工序中电能源消费量，单位kWh；M容-喷漆:电容器喷漆工序产品产量，单位为kvar</t>
    </r>
  </si>
  <si>
    <r>
      <t>IND-081</t>
    </r>
  </si>
  <si>
    <r>
      <t>单位产量电耗（电容器-试验）</t>
    </r>
  </si>
  <si>
    <r>
      <t>电容器试验工序每万元产值电耗。</t>
    </r>
  </si>
  <si>
    <r>
      <t>分子 · EN-KE37 工序电力消费量（电容器-试验）（kWh）　｜　分母 · OUT-KM18 工序产品产量（电容器-试验）（kvar）</t>
    </r>
  </si>
  <si>
    <r>
      <t>q容-试验-电：电容器试验工序中单位产品电耗，单位为kWh/kvar；；Q容-试验-电：电容器试验工序中电能源消费量，单位kWh；M容-试验:电容器试验工序产品产量，单位为kvar</t>
    </r>
  </si>
  <si>
    <r>
      <t>IND-082</t>
    </r>
  </si>
  <si>
    <r>
      <t>单位产值电耗（干式电抗器-固化）</t>
    </r>
  </si>
  <si>
    <r>
      <t>干式电抗器-固化工序每万元产值电耗。</t>
    </r>
  </si>
  <si>
    <r>
      <t>分子 · EN-KE32 工序电力消费量（干式电抗器-固化）（kWh）　｜　分母 · VAL-KG18 工序产品产值（干式电抗器-固化）（万元）</t>
    </r>
  </si>
  <si>
    <r>
      <t>u抗-固化-电:干式电抗器固化工序单位产值电耗，单位为kWh/万元；；Q抗-固化=电：干式电抗器固化工序电能源消费量，单位kWh；G抗-固化:干式电抗器固化工序产品产值，单位为万元</t>
    </r>
  </si>
  <si>
    <r>
      <t>IND-083</t>
    </r>
  </si>
  <si>
    <r>
      <t>单位产值电耗（干式电抗器-试验）</t>
    </r>
  </si>
  <si>
    <r>
      <t>干式电抗器-试验工序每万元产值电耗。</t>
    </r>
  </si>
  <si>
    <r>
      <t>分子 · EN-KE33 工序电力消费量（干式电抗器-试验）（kWh）　｜　分母 · VAL-KG19 工序产品产值（干式电抗器-试验）（万元）</t>
    </r>
  </si>
  <si>
    <r>
      <t>u抗-试验-电:干式电抗器试验工序单位产值电耗，单位为kWh/万元；；Q抗-试验=电：干式电抗器试验工序电能源消费量，单位kWh；G抗-试验:干式电抗器试验工序产品产值，单位为万元</t>
    </r>
  </si>
  <si>
    <r>
      <t>IND-084</t>
    </r>
  </si>
  <si>
    <r>
      <t>单位产值电耗（GIL-螺旋焊管生产)</t>
    </r>
  </si>
  <si>
    <r>
      <t>GIL螺旋焊管生产工序每万元产值电耗。</t>
    </r>
  </si>
  <si>
    <r>
      <t>分子 · EN-KE03 工序电力消费量（GIL-螺旋焊管生产）（kWh）　｜　分母 · VAL-KG03 工序产品产值（GIL-螺旋焊管生产）（万元）</t>
    </r>
  </si>
  <si>
    <r>
      <t>uGIL-螺旋焊管-电:GIL螺旋焊管生产工序单位产值电耗，单位为kWh/万元；；QGIL-螺旋焊管=电：GIL螺旋焊管生产工序电能源消费量，单位kWh；GGIL-螺旋焊管:GIL螺旋焊管生产工序产品产值，单位为万元</t>
    </r>
  </si>
  <si>
    <r>
      <t>IND-085</t>
    </r>
  </si>
  <si>
    <r>
      <t>单位产值电耗（GIL-测试)</t>
    </r>
  </si>
  <si>
    <r>
      <t>GIL-测试工序每万元产值电耗。</t>
    </r>
  </si>
  <si>
    <r>
      <t>分子 · EN-KE01 工序电力消费量（GIL-测试）（kWh）　｜　分母 · VAL-KG01 工序产品产值（GIL-测试）（万元）</t>
    </r>
  </si>
  <si>
    <r>
      <t>uGIL-测试-电:GIL测试工序单位产值电耗，单位为kWh/万元；；QGIL-测试=电：GIL测试工序电能源消费量，单位kWh；GGIL-测试:GIL测试工序产品产值，单位为万元</t>
    </r>
  </si>
  <si>
    <r>
      <t>IND-086</t>
    </r>
  </si>
  <si>
    <r>
      <t>单位产值电耗（GIL-绝缘子生产)</t>
    </r>
  </si>
  <si>
    <r>
      <t>GIL-绝缘子生产工序每万元产值电耗。</t>
    </r>
  </si>
  <si>
    <r>
      <t>分子 · EN-KE02 工序电力消费量（GIL-绝缘子生产）（kWh）　｜　分母 · VAL-KG02 工序产品产值（GIL-绝缘子生产）（万元）</t>
    </r>
  </si>
  <si>
    <r>
      <t>uGIL-绝缘-电:GIL绝缘子生产工序单位产值电耗，单位为kWh/万元；；QGIL-绝缘=电：GIL绝缘子生产工序电能源消费量，单位kWh；GGIL-绝缘:GIL绝缘子生产工序产品产值，单位为万元</t>
    </r>
  </si>
  <si>
    <r>
      <t>IND-087</t>
    </r>
  </si>
  <si>
    <r>
      <t>单位产值电耗（GIS-抽真空)</t>
    </r>
  </si>
  <si>
    <r>
      <t>GIS-抽真空工序每万元产值电耗。</t>
    </r>
  </si>
  <si>
    <r>
      <t>分子 · EN-KE05 工序电力消费量（GIS-抽真空）（kWh）　｜　分母 · VAL-KG05 工序产品产值（GIS-抽真空）（万元）</t>
    </r>
  </si>
  <si>
    <r>
      <t>uGIS-真空-电:GIS抽真空工序单位产值电耗，单位为kWh/万元；；QGIS-真空=电：GIS抽真空工序电能源消费量，单位kWh；GGIS-真空:GIS抽真空工序产品产值，单位为万元</t>
    </r>
  </si>
  <si>
    <r>
      <t>IND-088</t>
    </r>
  </si>
  <si>
    <r>
      <t>单位产值电耗（GIS-绝缘件干燥)</t>
    </r>
  </si>
  <si>
    <r>
      <t>GIS-绝缘件干燥工序每万元产值电耗。</t>
    </r>
  </si>
  <si>
    <r>
      <t>分子 · EN-KE07 工序电力消费量（GIS-绝缘件干燥）（kWh）　｜　分母 · VAL-KG07 工序产品产值（GIS-绝缘件干燥）（万元）</t>
    </r>
  </si>
  <si>
    <r>
      <t>uGIS-干燥-电:GIS绝缘件干燥工序单位产值电耗，单位为kWh/万元；；QGIS-干燥=电：GIS绝缘件干燥工序电能源消费量，单位kWh；GGIS-干燥:GIS绝缘件干燥工序产品产值，单位为万元</t>
    </r>
  </si>
  <si>
    <r>
      <t>IND-089</t>
    </r>
  </si>
  <si>
    <r>
      <t>单位产值电耗（GIS-工频耐压试验)</t>
    </r>
  </si>
  <si>
    <r>
      <t>GIS-工频耐压试验工序每万元产值电耗。</t>
    </r>
  </si>
  <si>
    <r>
      <t>分子 · EN-KE04 工序电力消费量（GIS-工频耐压试验）（kWh）　｜　分母 · VAL-KG04 工序产品产值（GIS-工频耐压试验）（万元）</t>
    </r>
  </si>
  <si>
    <r>
      <t>uGIS-试验-电:GIS工频耐压试验工序单位产值电耗，单位为kWh/万元；；QGIS-试验=电：GIS工频耐压试验工序电能源消费量，单位kWh；GGIS-试验:GIS工频耐压试验工序产品产值，单位为万元</t>
    </r>
  </si>
  <si>
    <r>
      <t>IND-090</t>
    </r>
  </si>
  <si>
    <r>
      <t>单位产值电耗（GIS-空调恒温除湿)</t>
    </r>
  </si>
  <si>
    <r>
      <t>GIS-空调恒温除湿工序每万元产值电耗。</t>
    </r>
  </si>
  <si>
    <r>
      <t>分子 · EN-KE06 工序电力消费量（GIS-空调恒温除湿）（kWh）　｜　分母 · VAL-KG06 工序产品产值（GIS-空调恒温除湿）（万元）</t>
    </r>
  </si>
  <si>
    <r>
      <t>uGIS-除湿-电:GIS空调恒温除湿工序单位产值电耗，单位为kWh/万元；；QGIS-除湿=电：GIS空调恒温除湿工序电能源消费量，单位kWh；GGIS-除湿:GIS空调恒温除湿工序产品产值，单位为万元</t>
    </r>
  </si>
  <si>
    <r>
      <t>单位产量电耗（非晶合金铁心-退火）</t>
    </r>
  </si>
  <si>
    <r>
      <t>生产每t非晶合金铁心，退火工序耗电量</t>
    </r>
  </si>
  <si>
    <r>
      <t>分子 · EN-KE59 工序电力消费量（非晶合金铁心-退火）（kWh）　｜　分母 · OUT-KM40 工序产品产量（非晶合金铁心-退火）（t）</t>
    </r>
  </si>
  <si>
    <r>
      <t>q非晶-退火-电：非晶合金铁心退火工序中单位产品电耗，单位为kWh/t；；Q非晶-退火-电：非晶合金铁心退火工序中电能源消费量，单位kWh；M非晶-退火:非晶合金铁心退火工序产品产量，单位为t</t>
    </r>
  </si>
  <si>
    <r>
      <t>IND-092</t>
    </r>
  </si>
  <si>
    <r>
      <t>单位产量电耗（硅钢铁心-纵剪）</t>
    </r>
  </si>
  <si>
    <r>
      <t>生产每t硅钢铁心，纵剪工序耗电量</t>
    </r>
  </si>
  <si>
    <r>
      <t>分子 · EN-KE40 工序电力消费量（硅钢铁心-纵剪）（kWh）　｜　分母 · OUT-KM21 工序产品产量（硅钢铁心-纵剪）（t）</t>
    </r>
  </si>
  <si>
    <r>
      <t>q硅钢-纵剪-电：硅钢铁心纵剪工序中单位产品电耗，单位为kWh/t；；Q硅钢-纵剪-电：硅钢铁心纵剪工序中电能源消费量，单位kWh；M硅钢-纵剪:硅钢铁心纵剪工序产品产量，单位为t</t>
    </r>
  </si>
  <si>
    <r>
      <t>IND-093</t>
    </r>
  </si>
  <si>
    <r>
      <t>单位产量电耗（硅钢铁心-中型叠装）</t>
    </r>
  </si>
  <si>
    <r>
      <t>生产每t硅钢铁心，中型叠装工序耗电量</t>
    </r>
  </si>
  <si>
    <r>
      <t>分子 · EN-KE38 工序电力消费量（硅钢铁心-中型叠装）（kWh）　｜　分母 · OUT-KM19 工序产品产量（硅钢铁心-中型叠装）（t）</t>
    </r>
  </si>
  <si>
    <r>
      <t>q硅钢-中型叠装-电：硅钢铁心中型叠装工序中单位产品电耗，单位为kWh/t；；Q硅钢-中型叠装-电：硅钢铁心中型叠装工序中电能源消费量，单位kWh；M硅钢-中型叠装:硅钢铁心中型叠装工序产品产量，单位为t</t>
    </r>
  </si>
  <si>
    <r>
      <t>IND-094</t>
    </r>
  </si>
  <si>
    <r>
      <t>单位产量电耗（硅钢铁心-大型叠装）</t>
    </r>
  </si>
  <si>
    <r>
      <t>生产每t硅钢铁心，大型叠装工序耗电量</t>
    </r>
  </si>
  <si>
    <r>
      <t>分子 · EN-KE39 工序电力消费量（硅钢铁心-大型叠装）（kWh）　｜　分母 · OUT-KM20 工序产品产量（硅钢铁心-大型叠装）（t）</t>
    </r>
  </si>
  <si>
    <r>
      <t>q硅钢-大型叠装-电：硅钢铁心大型叠装工序中单位产品电耗，单位为kWh/t；；Q硅钢-大型叠装-电：硅钢铁心大型叠装工序中电能源消费量，单位kWh；M硅钢-大型叠装:硅钢铁心大型叠装工序产品产量，单位为t</t>
    </r>
  </si>
  <si>
    <r>
      <t>指标定义</t>
    </r>
  </si>
  <si>
    <r>
      <t>指标说明（原表）</t>
    </r>
  </si>
  <si>
    <r>
      <t>指标类别</t>
    </r>
  </si>
  <si>
    <r>
      <t>指标用途</t>
    </r>
  </si>
  <si>
    <r>
      <t>覆盖范围</t>
    </r>
  </si>
  <si>
    <r>
      <t>所需各单位数据</t>
    </r>
  </si>
  <si>
    <r>
      <t>各单位所需开展工作</t>
    </r>
  </si>
  <si>
    <r>
      <t>参数构成（细分项）</t>
    </r>
  </si>
  <si>
    <r>
      <t>整体指标</t>
    </r>
  </si>
  <si>
    <r>
      <t>集采中心</t>
    </r>
  </si>
  <si>
    <r>
      <t>按 GB/T 24067、ISO 14067 方法核算（摇篮到大门）</t>
    </r>
  </si>
  <si>
    <r>
      <t>实时数据，产品碳足迹值</t>
    </r>
  </si>
  <si>
    <r>
      <t>自动计算，减少收资，快速应对客户招采对碳足迹的要求</t>
    </r>
  </si>
  <si>
    <r>
      <t>沈变：沈变本部、和新套管、康嘉互感器
衡变：本部、南京电研、云集电气、湖南电气、云集高压开关、新疆自控、特能建、合容电气、赛杰爱迪
新变：超高压公司、天变公司、智能电气、京津冀智能科技、珠峰硅钢
鲁缆：鲁缆本部、曙光公司
德缆：德缆
新缆：新疆电缆公司、新疆线缆厂</t>
    </r>
  </si>
  <si>
    <r>
      <t>生产工单、物料、能耗数据。</t>
    </r>
  </si>
  <si>
    <r>
      <t>各项目公司部署电装下发的碳足迹数据采集模块，开展实施工作，包括：（1）进行相关配置；（2）打通BOM、工单、能源类数据，进行联调。所需开展实施工作明细后续下发指导手册。</t>
    </r>
  </si>
  <si>
    <r>
      <t>组织级口径，按项目公司分别计算后再汇总。</t>
    </r>
  </si>
  <si>
    <r>
      <t>CAR-010 ÷ CAR-011 × 100</t>
    </r>
  </si>
  <si>
    <r>
      <t>CAR-010
CAR-011</t>
    </r>
  </si>
  <si>
    <r>
      <t>月度指标。
Rcf：开展产品碳足迹分析占比；
Ncf:开展主要产品碳足迹分析的产品类别数量;
N:主要产品类别总数</t>
    </r>
  </si>
  <si>
    <r>
      <t>支撑绿色低碳管理体系、绿色低碳发展规划、温室气体盘查、能源管理体系、清洁生产、零碳工厂、绿色工厂等工作的开展</t>
    </r>
  </si>
  <si>
    <r>
      <t>产品碳足迹系统提供开展产品碳足迹计算的产品种类明细。从ERP系统获取各单位全部产品种类明细。</t>
    </r>
  </si>
  <si>
    <r>
      <t>完成碳足迹数据采集模块的部署、配置，在电装统一部署的碳足迹在线核算及报告系统中完成能源-生产绑定工作。</t>
    </r>
  </si>
  <si>
    <r>
      <t>CAR-010、CAR-011</t>
    </r>
  </si>
  <si>
    <r>
      <t>Σ( EN-015 × EN-016 ) ÷ 1000</t>
    </r>
  </si>
  <si>
    <r>
      <t>EN-014
EN-015
EN-016</t>
    </r>
  </si>
  <si>
    <r>
      <t>月度指标
E：综合能源消耗量，单位为tce
n：消耗的能源种类数
Ei:实际消耗的第i种能源量
ki:第i种能源的折标准煤系数</t>
    </r>
  </si>
  <si>
    <r>
      <t>电（包括市电和绿电）、天然气、蒸汽、热力、柴油、煤油汽油等所有消耗能源种类的消耗量。其中核算综合能源消费量时，电力折标煤系数用当量值。</t>
    </r>
  </si>
  <si>
    <r>
      <t>1、各经营单位及项目公司完成电力、蒸汽、热力能源数据采集，并通过系统自动上送电装；
2、各经营单位及项目公司在集控中心开放的录入界面中按月录入购买绿电、绿证量，及按月录入难以自动采集的天然气、柴油、煤油、汽油（若能自动采集，则优先取自动采集数据，并通过系统自动上送电装）。
3、相关折标煤系数、碳排放因子由电装统一维护，各类指标电装统一计算。</t>
    </r>
  </si>
  <si>
    <r>
      <t>EN-014、EN-015、EN-016</t>
    </r>
  </si>
  <si>
    <r>
      <t>( CAR-002 + CAR-003 + CAR-004 + CAR-006 ) − ( CAR-005 + CAR-007 + CAR-008 )</t>
    </r>
  </si>
  <si>
    <r>
      <t>CAR-002
CAR-003
CAR-004
CAR-005
CAR-006
CAR-007
CAR-008</t>
    </r>
  </si>
  <si>
    <r>
      <t>月度指标。由于电装产业在生产过程碳排放、回收利用中固碳非常少，且数据难统计，本次考虑能源碳排放。
C：二氧化碳排放量，单位为吨二氧化碳（tCO2）；
C燃烧：化石燃料燃烧产生的二氧化碳排放量总和，单位为吨二氧化碳（tCO2）
C过程：过程二氧化碳排放量总和，单位为吨二氧化碳（tCO2）
C购入电：购入的电力所产生的二氧化碳排放，单位为吨二氧化碳（tCO2）
C输出电：输出的电力所产生的二氧化碳排放，单位为吨二氧化碳（tCO2）
C购入热：购入的热力所产生的二氧化碳排放，单位为吨二氧化碳（tCO2）
C输出热：输出的热力所产生的二氧化碳排放，单位为吨二氧化碳（tCO2）
C回收利用：化石燃料燃烧、工艺过程产生的二氧化碳经回收作为生产原料自用或作为产品外供并确保未再次排放所对应的二氧化碳排放量，单位为吨二氧化碳（tCO2）</t>
    </r>
  </si>
  <si>
    <r>
      <t>电（包括市电和绿电）、天然气、蒸汽、热力、柴油、煤油汽油等所有消耗能源种类的月度消耗量。电力消费量计算碳排放取省级电力平均二氧化碳排放因子。</t>
    </r>
  </si>
  <si>
    <r>
      <t>CAR-002、CAR-003、CAR-004、CAR-005、CAR-006、CAR-007、CAR-008</t>
    </r>
  </si>
  <si>
    <r>
      <t>CAR-001 ÷ EN-013</t>
    </r>
  </si>
  <si>
    <r>
      <t>CAR-001
EN-013</t>
    </r>
  </si>
  <si>
    <r>
      <t>月度指标。
I:单位能耗碳排放
C：二氧化碳排放量，单位为tCO2
E：综合能源消耗量，单位为tce</t>
    </r>
  </si>
  <si>
    <r>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r>
  </si>
  <si>
    <r>
      <t>CAR-001、EN-013</t>
    </r>
  </si>
  <si>
    <r>
      <t>EN-019 ÷ EN-018 × 100</t>
    </r>
  </si>
  <si>
    <r>
      <t>EN-019
EN-018</t>
    </r>
  </si>
  <si>
    <r>
      <t>月度指标，交易绿电、绿证可纳入分子。
r：非化石能源消费占比
R:各类非化石能源消费量(不含作为原料使用的能源)，单位为tce
E:综合能源消费量（不含作为原料使用的能源）,单位为tce</t>
    </r>
  </si>
  <si>
    <r>
      <t>①绿电等非化石能源的月度消耗量；
②电（包括市电和绿电）、天然气、蒸汽、热力、柴油、煤油汽油等所有消耗能源种类的消耗量。</t>
    </r>
  </si>
  <si>
    <r>
      <t>EN-018、EN-019</t>
    </r>
  </si>
  <si>
    <r>
      <t>EN-005 ÷ EN-020 × 100</t>
    </r>
  </si>
  <si>
    <r>
      <t>EN-005
EN-020</t>
    </r>
  </si>
  <si>
    <r>
      <t>月底指标，交易绿电、绿证不纳入分子。
Eui:非化石能源电力消费物理认定量占比；
Ez:具备物理可溯源条件的非化石能源电力消费量，单位为kWh;
Q:总用电量，单位为千kWh</t>
    </r>
  </si>
  <si>
    <r>
      <t>月度总用电量和具备物理可溯源条件的非化石能源电力消耗量（如自建消纳绿电及非自建绿电直连量）</t>
    </r>
  </si>
  <si>
    <r>
      <t>EN-005、EN-020</t>
    </r>
  </si>
  <si>
    <r>
      <t>EN-013 ÷ VAL-001</t>
    </r>
  </si>
  <si>
    <r>
      <t>EN-013
VAL-001</t>
    </r>
  </si>
  <si>
    <r>
      <t>月度指标，年度重新汇算。
Enva:单位工业增加值能耗，单位为tce/万元；
E：综合能源消费量，单位tce
Gnva:工业增加值，单位为万元</t>
    </r>
  </si>
  <si>
    <r>
      <t>①企业月度工业增加值；
②电（包括市电和绿电）、天然气、蒸汽、热力、柴油、煤油汽油等所有消耗能源种类的消耗量。</t>
    </r>
  </si>
  <si>
    <r>
      <t>各经营单位及项目公司在集控中心开放的界面中录入企业工业增加值，月度估算，年度汇算。</t>
    </r>
  </si>
  <si>
    <r>
      <t>EN-013、VAL-001</t>
    </r>
  </si>
  <si>
    <r>
      <t>EQ-001 ÷ EQ-002 × 100</t>
    </r>
  </si>
  <si>
    <r>
      <t>EQ-001
EQ-002</t>
    </r>
  </si>
  <si>
    <r>
      <t>月度指标。
S：节能装备应用占比；
Res:达到或优于能效强制性国家标准 2 级水平和《重点用能产品设备能效先进水平、节能水平和准入水平》节能水平的装备累计额定总功率，单位为kW。
Ets:纳入统计范围装备累计额定总功率，单位为kW。纳入统计范围的装备需有适用的能效强制性国家标准，包括但不限于电动机、变压器、工业锅炉、风机、容积式空气压缩机、工业制冷设备、热泵等；无适用标准的装备不纳入统计。</t>
    </r>
  </si>
  <si>
    <r>
      <t>①达到要求节能水平的装备累计额定总功率。
②企业所有装备累计额定总功率。</t>
    </r>
  </si>
  <si>
    <r>
      <t>各经营单位及项目公司在集控中心开放的界面中录入节能装备明细、所有装备明细，增量更新。</t>
    </r>
  </si>
  <si>
    <r>
      <t>EQ-001、EQ-002</t>
    </r>
  </si>
  <si>
    <r>
      <t>EN-013 ÷ VAL-002</t>
    </r>
  </si>
  <si>
    <r>
      <t>EN-013
VAL-002</t>
    </r>
  </si>
  <si>
    <r>
      <t>月度指标。
g:单位产值能耗，单位为tce/万元；
E：综合能源消费量，单位tce
G:产品产值，单位为万元</t>
    </r>
  </si>
  <si>
    <r>
      <t>①各单位产值，其中线缆产值到产线，从大数据平台获取，日更新。变压器产值到项目公司，从经营日报管理系统获取，日更新。
②电（包括市电和绿电）、天然气、蒸汽、热力、柴油、煤油汽油等所有消耗能源种类的消耗量。</t>
    </r>
  </si>
  <si>
    <r>
      <t>线缆产值在电装大数据平台，变压器产值在经营日报管理系统，以各经营单位及项目公司为对象进行计算。</t>
    </r>
  </si>
  <si>
    <r>
      <t>EN-013、VAL-002</t>
    </r>
  </si>
  <si>
    <r>
      <t>月度指标。</t>
    </r>
  </si>
  <si>
    <r>
      <t>①各单位按照月度上报实际生活生产用水量；
②有中水或其他再生水使用的单位应该考虑循环使用量经计算处理后上报集团。</t>
    </r>
  </si>
  <si>
    <r>
      <t>无法通过系统上送数据的单位可以手动定期录入数据</t>
    </r>
  </si>
  <si>
    <r>
      <t>产品管控</t>
    </r>
  </si>
  <si>
    <r>
      <t>EN-P01 ÷ OUT-P01</t>
    </r>
  </si>
  <si>
    <r>
      <t>EN-P01
OUT-P01</t>
    </r>
  </si>
  <si>
    <r>
      <t>月度指标。
e:单位产品能耗，单位为tce/产品单位；
E：综合能源消费量，单位tce
M:产品产量，单位为产品单位，如万kVA、万km*mm2等</t>
    </r>
  </si>
  <si>
    <r>
      <t>电装内部管理，实现同类型产品横向（不同单位间）、纵向（不同时间段间）对比分析，实现与行业基准、行业标杆的对比</t>
    </r>
  </si>
  <si>
    <r>
      <t>沈变：沈变本部
衡变：本部、湖南电气、特能建
新变：超高压公司、天变公司、智能电气、京津冀智能科技
鲁缆：鲁缆本部、曙光公司
德缆：德缆
新缆：新疆电缆公司、新疆线缆厂</t>
    </r>
  </si>
  <si>
    <r>
      <t>①订单产量、订单型号；
②订单所消耗能源量：电（包括市电和绿电）、天然气、蒸汽、热力等。
③型号-产品种类-产线的对应关系。</t>
    </r>
  </si>
  <si>
    <r>
      <t>1、各项目公司完成关键工序、车间用能的采集，并对接至本地数据采集模块；
2、各项目公司在碳足迹在线核算及报告系统，生产-能源绑定模块完成生产管理单元与能耗计量的绑定；
3、各项目公司按标准接口将生产工单传送至本地数据采集模块。</t>
    </r>
  </si>
  <si>
    <r>
      <t>EN-P01、OUT-P01</t>
    </r>
  </si>
  <si>
    <r>
      <t>须先建立「产品型号 × ERP 产品种类 × 电装产线大类」映射并完成能源分摊。</t>
    </r>
  </si>
  <si>
    <r>
      <t>EN-P02 ÷ OUT-P01</t>
    </r>
  </si>
  <si>
    <r>
      <t>EN-P02
OUT-P01</t>
    </r>
  </si>
  <si>
    <r>
      <t>月度指标。
q电:单位产品电耗，单位为kWh/产品单位；
Q电：电能源消费量，单位kWh
M:产品产量，单位为产品单位，如万kVA、万km*mm2等</t>
    </r>
  </si>
  <si>
    <r>
      <t>①订单产量、订单型号；
②订单所消耗电（包括市电和绿电）。
③型号-产品种类-产线的对应关系。</t>
    </r>
  </si>
  <si>
    <r>
      <t>EN-P02、OUT-P01</t>
    </r>
  </si>
  <si>
    <r>
      <t>EN-P03 ÷ OUT-P01</t>
    </r>
  </si>
  <si>
    <r>
      <t>EN-P03
OUT-P01</t>
    </r>
  </si>
  <si>
    <r>
      <t>月度指标。
q蒸汽:单位产品蒸汽消耗，单位为GJ/产品单位；
Q蒸汽：蒸汽能源消费量，单位GJ
M:产品产量，单位为产品单位，如万kVA、万km*mm2等</t>
    </r>
  </si>
  <si>
    <r>
      <t>①订单产量、订单型号；
②订单所消耗蒸汽。
③型号-产品种类-产线的对应关系。</t>
    </r>
  </si>
  <si>
    <r>
      <t>EN-P03、OUT-P01</t>
    </r>
  </si>
  <si>
    <r>
      <t>EN-P04 ÷ OUT-P01</t>
    </r>
  </si>
  <si>
    <r>
      <t>EN-P04
OUT-P01</t>
    </r>
  </si>
  <si>
    <r>
      <t>月度指标。
q天然气:单位产品天然气消耗，单位为m³/产品单位；
Q天然气：天然气能源消费量，单位m³
M:产品产量，单位为产品单位，如万kVA、万km*mm2等</t>
    </r>
  </si>
  <si>
    <r>
      <t>①订单产量、订单型号；
②订单所消耗天然气。
③型号-产品种类-产线的对应关系。</t>
    </r>
  </si>
  <si>
    <r>
      <t>EN-P04、OUT-P01</t>
    </r>
  </si>
  <si>
    <r>
      <t>EN-P05 ÷ OUT-P01</t>
    </r>
  </si>
  <si>
    <r>
      <t>EN-P05
OUT-P01</t>
    </r>
  </si>
  <si>
    <r>
      <t>月度指标。
q水:单位产品水耗，单位为t/产品单位；
Q水：水能源消费量，单位t
M:产品产量，单位为产品单位，如万kVA、万km*mm2等</t>
    </r>
  </si>
  <si>
    <r>
      <t>①订单产量、订单型号；
②订单所消耗水。
③型号-产品种类-产线的对应关系。</t>
    </r>
  </si>
  <si>
    <r>
      <t>EN-P05、OUT-P01</t>
    </r>
  </si>
  <si>
    <r>
      <t>EN-KE46 ÷ OUT-KM27</t>
    </r>
  </si>
  <si>
    <r>
      <t>EN-KE46
OUT-KM27</t>
    </r>
  </si>
  <si>
    <r>
      <t>月度指标
q线缆-导线-拉丝Cu-电：导线产线中拉丝工序单位铜电耗，单位为kWh/t；
Q线缆-导线-拉丝Cu-电：导线产线中拉丝工序电能源消费量，单位kWh
M线缆-导线-拉丝Cu:导线产线中拉丝工序铜产量，单位为t</t>
    </r>
  </si>
  <si>
    <r>
      <t>电装内部管理，管控高能耗工序，用指标牵引项目公司主动节能，通过数据分析挖掘节能空间</t>
    </r>
  </si>
  <si>
    <r>
      <t>鲁缆本部、新疆线缆厂、德缆公司</t>
    </r>
  </si>
  <si>
    <r>
      <t>①导线产线拉丝工序耗电量
②对应耗铜量</t>
    </r>
  </si>
  <si>
    <r>
      <t>采集拉丝（铜）设备的电耗，统计耗铜量，上送电装集控中心。</t>
    </r>
  </si>
  <si>
    <r>
      <t>EN-KE46、OUT-KM27</t>
    </r>
  </si>
  <si>
    <r>
      <t>分子取「本产线-本工序」能源计量点读数，分母取同产线同工序产量/产值，两者期间必须一致。</t>
    </r>
  </si>
  <si>
    <r>
      <t>EN-KE47 ÷ OUT-KM28</t>
    </r>
  </si>
  <si>
    <r>
      <t>EN-KE47
OUT-KM28</t>
    </r>
  </si>
  <si>
    <r>
      <t>月度指标
q线缆-导线-拉丝Al-电：导线产线中拉丝工序单位铝电耗，单位为kWh/t；
Q线缆-导线-拉丝Al-电：导线产线中拉丝工序电能源消费量，单位kWh
M线缆-导线-拉丝Al:导线产线中拉丝工序铝产量，单位为t</t>
    </r>
  </si>
  <si>
    <r>
      <t>①导线产线拉丝工序耗电量
②对应耗铝量</t>
    </r>
  </si>
  <si>
    <r>
      <t>采集拉丝（铝）设备的电耗，统计耗铝量，上送电装集控中心。</t>
    </r>
  </si>
  <si>
    <r>
      <t>EN-KE47、OUT-KM28</t>
    </r>
  </si>
  <si>
    <r>
      <t>EN-KE48 ÷ OUT-KM29</t>
    </r>
  </si>
  <si>
    <r>
      <t>EN-KE48
OUT-KM29</t>
    </r>
  </si>
  <si>
    <r>
      <t>月度指标
q线缆-布电线-拉丝Cu-电：布电线产线中拉丝工序单位铜电耗，单位为kWh/t；
Q线缆-布电线-拉丝Cu-电：布电线产线中拉丝工序电能源消费量，单位kWh
M线缆-布电线-拉丝Cu:布电线产线中拉丝工序铜产量，单位为t</t>
    </r>
  </si>
  <si>
    <r>
      <t>鲁缆本部、新疆线缆厂、新疆电缆、德缆公司</t>
    </r>
  </si>
  <si>
    <r>
      <t>①布电线产线拉丝工序耗电量
②对应耗铜量</t>
    </r>
  </si>
  <si>
    <r>
      <t>EN-KE48、OUT-KM29</t>
    </r>
  </si>
  <si>
    <r>
      <t>EN-KE49 ÷ OUT-KM30</t>
    </r>
  </si>
  <si>
    <r>
      <t>EN-KE49
OUT-KM30</t>
    </r>
  </si>
  <si>
    <r>
      <t>月度指标
q线缆-布电线-拉丝Al-电：布电线产线中拉丝工序单位铝电耗，单位为kWh/t；
Q线缆-布电线-拉丝Al-电：布电线产线中拉丝工序电能源消费量，单位kWh
M线缆-布电线-拉丝Al:布电线产线中拉丝工序铝产量，单位为t</t>
    </r>
  </si>
  <si>
    <r>
      <t>①布电线产线拉丝工序耗电量
②对应耗铝量</t>
    </r>
  </si>
  <si>
    <r>
      <t>EN-KE49、OUT-KM30</t>
    </r>
  </si>
  <si>
    <r>
      <t>EN-KE57 ÷ OUT-KM38</t>
    </r>
  </si>
  <si>
    <r>
      <t>EN-KE57
OUT-KM38</t>
    </r>
  </si>
  <si>
    <r>
      <t>月度指标
q线缆-高压电缆-拉丝Cu-电：高压电缆产线中拉丝工序单位铜电耗，单位为kWh/t；
Q线缆-高压电缆-拉丝Cu-电：高压电缆产线中拉丝工序电能源消费量，单位kWh
M线缆-高压电缆-拉丝Cu:高压电缆产线中拉丝工序铜产量，单位为t</t>
    </r>
  </si>
  <si>
    <r>
      <t>鲁缆本部</t>
    </r>
  </si>
  <si>
    <r>
      <t>①高压电缆产线拉丝工序耗电量
②对应耗铜量</t>
    </r>
  </si>
  <si>
    <r>
      <t>EN-KE57、OUT-KM38</t>
    </r>
  </si>
  <si>
    <r>
      <t>EN-KE58 ÷ OUT-KM39</t>
    </r>
  </si>
  <si>
    <r>
      <t>EN-KE58
OUT-KM39</t>
    </r>
  </si>
  <si>
    <r>
      <t>月度指标
q线缆-高压电缆-拉丝Al-电：高压电缆产线中拉丝工序单位铝电耗，单位为kWh/t；
Q线缆-高压电缆-拉丝Al-电：高压电缆产线中拉丝工序电能源消费量，单位kWh
M线缆-高压电缆-拉丝Al:高压电缆产线中拉丝工序铝产量，单位为t</t>
    </r>
  </si>
  <si>
    <r>
      <t>①高压电缆产线拉丝工序耗电量
②对应耗铝量</t>
    </r>
  </si>
  <si>
    <r>
      <t>EN-KE58、OUT-KM39</t>
    </r>
  </si>
  <si>
    <r>
      <t>EN-KE56 ÷ OUT-KM37</t>
    </r>
  </si>
  <si>
    <r>
      <t>EN-KE56
OUT-KM37</t>
    </r>
  </si>
  <si>
    <r>
      <t>月度指标
q线缆-高压电缆-交联-电：高压电缆产线中交联工序单位产品电耗，单位为kWh/km*mm2；
Q线缆-高压电缆-交联-电：高压电缆产线中交联工序电能源消费量，单位kWh
M线缆-高压电缆-交联:高压电缆产线中交联工序产品产量，单位为km*mm2</t>
    </r>
  </si>
  <si>
    <r>
      <t>①高压电缆产线交联工序耗电量
②对应线缆产量。ERP里有，入库的公里数*截面，km*mm2</t>
    </r>
  </si>
  <si>
    <r>
      <t>采集高压产线交联设备的电耗，统计对应线缆产量，上送电装集控中心。</t>
    </r>
  </si>
  <si>
    <r>
      <t>EN-KE56、OUT-KM37</t>
    </r>
  </si>
  <si>
    <r>
      <t>EN-KE42 ÷ OUT-KM23</t>
    </r>
  </si>
  <si>
    <r>
      <t>EN-KE42
OUT-KM23</t>
    </r>
  </si>
  <si>
    <r>
      <t>月度指标
q线缆-中压电缆-拉丝Cu-电：中压电缆产线中拉丝工序单位铜电耗，单位为kWh/t；
Q线缆-中压电缆-拉丝Cu-电：中压电缆产线中拉丝工序电能源消费量，单位kWh
M线缆-中压电缆-拉丝Cu:中压电缆产线中拉丝工序铜产量，单位为t</t>
    </r>
  </si>
  <si>
    <r>
      <t>①中压电缆产线拉丝工序耗电量
②对应耗铜量</t>
    </r>
  </si>
  <si>
    <r>
      <t>EN-KE42、OUT-KM23</t>
    </r>
  </si>
  <si>
    <r>
      <t>EN-KE43 ÷ OUT-KM24</t>
    </r>
  </si>
  <si>
    <r>
      <t>EN-KE43
OUT-KM24</t>
    </r>
  </si>
  <si>
    <r>
      <t>月度指标
q线缆-中压电缆-拉丝Al-电：中压电缆产线中拉丝工序单位铝电耗，单位为kWh/t；
Q线缆-中压电缆-拉丝Al-电：中压电缆产线中拉丝工序电能源消费量，单位kWh
M线缆-中压电缆-拉丝Al:中压电缆产线中拉丝工序铝产量，单位为t</t>
    </r>
  </si>
  <si>
    <r>
      <t>①中压电缆产线拉丝工序耗电量
②对应耗铝量</t>
    </r>
  </si>
  <si>
    <r>
      <t>EN-KE43、OUT-KM24</t>
    </r>
  </si>
  <si>
    <r>
      <t>EN-KE41 ÷ OUT-KM22</t>
    </r>
  </si>
  <si>
    <r>
      <t>EN-KE41
OUT-KM22</t>
    </r>
  </si>
  <si>
    <r>
      <t>月度指标
q线缆-中压电缆-交联-电：中压电缆产线中交联工序单位产品电耗，单位为kWh/km*mm2；
Q线缆-中压电缆-交联-电：中压电缆产线中交联工序电能源消费量，单位kWh
M线缆-中压电缆-交联:中压电缆产线中交联工序产品产量，单位为km*mm2</t>
    </r>
  </si>
  <si>
    <r>
      <t>①中压电缆产线交联工序耗电量
②对应线缆产量。ERP里有，入库的公里数*截面，km*mm2</t>
    </r>
  </si>
  <si>
    <r>
      <t>采集中压产线交联设备的电耗，统计对应线缆产量，上送电装集控中心。</t>
    </r>
  </si>
  <si>
    <r>
      <t>EN-KE41、OUT-KM22</t>
    </r>
  </si>
  <si>
    <r>
      <t>EN-KE44 ÷ OUT-KM25</t>
    </r>
  </si>
  <si>
    <r>
      <t>EN-KE44
OUT-KM25</t>
    </r>
  </si>
  <si>
    <r>
      <t>月度指标
q线缆-低压电缆-拉丝Cu-电：低压电缆产线中拉丝工序单位铜电耗，单位为kWh/t；
Q线缆-低压电缆-拉丝Cu-电：低压电缆产线中拉丝工序电能源消费量，单位kWh
M线缆-低压电缆-拉丝Cu:低压电缆产线中拉丝工序铜产量，单位为t</t>
    </r>
  </si>
  <si>
    <r>
      <t>①低压电缆产线拉丝工序耗电量
②对应耗铜量</t>
    </r>
  </si>
  <si>
    <r>
      <t>EN-KE44、OUT-KM25</t>
    </r>
  </si>
  <si>
    <r>
      <t>EN-KE45 ÷ OUT-KM26</t>
    </r>
  </si>
  <si>
    <r>
      <t>EN-KE45
OUT-KM26</t>
    </r>
  </si>
  <si>
    <r>
      <t>月度指标
q线缆-低压电缆-拉丝Al-电：低压电缆产线中拉丝工序单位铝电耗，单位为kWh/t；
Q线缆-低压电缆-拉丝Al-电：低压电缆产线中拉丝工序电能源消费量，单位kWh
M线缆-低压电缆-拉丝Al:低压电缆产线中拉丝工序铝产量，单位为t</t>
    </r>
  </si>
  <si>
    <r>
      <t>①低压电缆产线拉丝工序耗电量
②对应耗铝量</t>
    </r>
  </si>
  <si>
    <r>
      <t>EN-KE45、OUT-KM26</t>
    </r>
  </si>
  <si>
    <r>
      <t>EN-KE52 ÷ OUT-KM33</t>
    </r>
  </si>
  <si>
    <r>
      <t>EN-KE52
OUT-KM33</t>
    </r>
  </si>
  <si>
    <r>
      <t>月度指标
q线缆-特种电缆-拉丝Cu-电：特种电缆产线中拉丝工序单位铜电耗，单位为kWh/t；
Q线缆-特种电缆-拉丝Cu-电：特种电缆产线中拉丝工序电能源消费量，单位kWh
M线缆-特种电缆-拉丝Cu:特种电缆产线中拉丝工序铜产量，单位为t</t>
    </r>
  </si>
  <si>
    <r>
      <t>①特种电缆产线拉丝工序耗电量
②对应耗铜量</t>
    </r>
  </si>
  <si>
    <r>
      <t>EN-KE52、OUT-KM33</t>
    </r>
  </si>
  <si>
    <r>
      <t>EN-KE53 ÷ OUT-KM34</t>
    </r>
  </si>
  <si>
    <r>
      <t>EN-KE53
OUT-KM34</t>
    </r>
  </si>
  <si>
    <r>
      <t>月度指标
q线缆-特种电缆-拉丝Al-电：特种电缆产线中拉丝工序单位铝电耗，单位为kWh/t；
Q线缆-特种电缆-拉丝Al-电：特种电缆产线中拉丝工序电能源消费量，单位kWh
M线缆-特种电缆-拉丝Al:特种电缆产线中拉丝工序铝产量，单位为t</t>
    </r>
  </si>
  <si>
    <r>
      <t>①特种电缆产线拉丝工序耗电量
②对应耗铝量</t>
    </r>
  </si>
  <si>
    <r>
      <t>EN-KE53、OUT-KM34</t>
    </r>
  </si>
  <si>
    <r>
      <t>EN-KE54 ÷ OUT-KM35</t>
    </r>
  </si>
  <si>
    <r>
      <t>EN-KE54
OUT-KM35</t>
    </r>
  </si>
  <si>
    <r>
      <t>月度指标
q线缆-装备电缆-拉丝Cu-电：装备电缆产线中拉丝工序单位铜电耗，单位为kWh/t；
Q线缆-装备电缆-拉丝Cu-电：装备电缆产线中拉丝工序电能源消费量，单位kWh
M线缆-装备电缆-拉丝Cu:装备电缆产线中拉丝工序铜产量，单位为t</t>
    </r>
  </si>
  <si>
    <r>
      <t>①装备电缆产线拉丝工序耗电量
②对应耗铜量</t>
    </r>
  </si>
  <si>
    <r>
      <t>EN-KE54、OUT-KM35</t>
    </r>
  </si>
  <si>
    <r>
      <t>EN-KE55 ÷ OUT-KM36</t>
    </r>
  </si>
  <si>
    <r>
      <t>EN-KE55
OUT-KM36</t>
    </r>
  </si>
  <si>
    <r>
      <t>月度指标
q线缆-装备电缆-拉丝Al-电：装备电缆产线中拉丝工序单位铝电耗，单位为kWh/t；
Q线缆-装备电缆-拉丝Al-电：装备电缆产线中拉丝工序电能源消费量，单位kWh
M线缆-装备电缆-拉丝Al:装备电缆产线中拉丝工序铝产量，单位为t</t>
    </r>
  </si>
  <si>
    <r>
      <t>①装备电缆产线拉丝工序耗电量
②对应耗铝量</t>
    </r>
  </si>
  <si>
    <r>
      <t>EN-KE55、OUT-KM36</t>
    </r>
  </si>
  <si>
    <r>
      <t>EN-KE50 ÷ OUT-KM31</t>
    </r>
  </si>
  <si>
    <r>
      <t>EN-KE50
OUT-KM31</t>
    </r>
  </si>
  <si>
    <r>
      <t>月度指标
q线缆-橡套电缆-拉丝Cu-电：橡套电缆产线中拉丝工序单位铜电耗，单位为kWh/t；
Q线缆-橡套电缆-拉丝Cu-电：橡套电缆产线中拉丝工序电能源消费量，单位kWh
M线缆-橡套电缆-拉丝Cu:橡套电缆产线中拉丝工序铜产量，单位为t</t>
    </r>
  </si>
  <si>
    <r>
      <t>①橡套电缆产线拉丝工序耗电量
②对应耗铜量</t>
    </r>
  </si>
  <si>
    <r>
      <t>EN-KE50、OUT-KM31</t>
    </r>
  </si>
  <si>
    <r>
      <t>EN-KE51 ÷ OUT-KM32</t>
    </r>
  </si>
  <si>
    <r>
      <t>EN-KE51
OUT-KM32</t>
    </r>
  </si>
  <si>
    <r>
      <t>月度指标
q线缆-橡套电缆-拉丝Al-电：橡套电缆产线中拉丝工序单位铝电耗，单位为kWh/t；
Q线缆-橡套电缆-拉丝Al-电：橡套电缆产线中拉丝工序电能源消费量，单位kWh
M线缆-橡套电缆-拉丝Al:橡套电缆产线中拉丝工序铝产量，单位为t</t>
    </r>
  </si>
  <si>
    <r>
      <t>①橡套电缆产线拉丝工序耗电量
②对应耗铝量</t>
    </r>
  </si>
  <si>
    <r>
      <t>EN-KE51、OUT-KM32</t>
    </r>
  </si>
  <si>
    <r>
      <t>EN-KT02 ÷ OUT-KM01</t>
    </r>
  </si>
  <si>
    <r>
      <t>EN-KT02
OUT-KM01</t>
    </r>
  </si>
  <si>
    <r>
      <t>月度指标。
e变-特高压-器身干燥:变压器特高压产线器身干燥工序单位产品能耗，单位为tce/万kVA；
E变-特高压-器身干燥：变压器特高压产线器身干燥工序综合能源消费量，单位tce
M变-特高压-器身干燥:变压器特高压产线器身干燥工序产品产量，单位为万kVA</t>
    </r>
  </si>
  <si>
    <r>
      <t>沈变本部、衡变本部、新变超高压公司</t>
    </r>
  </si>
  <si>
    <r>
      <t>①变压器特高压产线器身干燥工序耗电量、蒸汽消耗量
②对应变压器产量。</t>
    </r>
  </si>
  <si>
    <r>
      <t>采集器身干燥设备的电耗、蒸汽消耗。统计对应变压器产量，上送电装集控中心。</t>
    </r>
  </si>
  <si>
    <r>
      <t>EN-KT02、OUT-KM01</t>
    </r>
  </si>
  <si>
    <r>
      <t>EN-KE15 ÷ OUT-KM01</t>
    </r>
  </si>
  <si>
    <r>
      <t>EN-KE15
OUT-KM01</t>
    </r>
  </si>
  <si>
    <r>
      <t>月度指标
q变-特高压-器身干燥-电：变压器特高压产线器身干燥工序中单位产品电耗，单位为kWh/万kVA；
Q变-特高压-器身干燥-电：变压器特高压产线器身干燥工序中电能源消费量，单位kWh
M变-特高压-器身干燥:变压器特高压产线器身干燥工序产品产量，单位为万kVA</t>
    </r>
  </si>
  <si>
    <r>
      <t>①变压器特高压产线器身干燥工序耗电量
②对应变压器产量。</t>
    </r>
  </si>
  <si>
    <r>
      <t>EN-KE15、OUT-KM01</t>
    </r>
  </si>
  <si>
    <r>
      <t>EN-KS02 ÷ OUT-KM01</t>
    </r>
  </si>
  <si>
    <r>
      <t>EN-KS02
OUT-KM01</t>
    </r>
  </si>
  <si>
    <r>
      <t>月度指标
q变-特高压-器身干燥-蒸汽：变压器特高压产线器身干燥工序中单位产品蒸汽耗，单位为t/万kVA；
Q变-特高压-器身干燥-蒸汽：变压器特高压产线器身干燥工序中蒸汽能源消费量，单位t
M变-特高压-器身干燥:变压器特高压产线器身干燥工序产品产量，单位为万kVA</t>
    </r>
  </si>
  <si>
    <r>
      <t>①变压器特高压产线器身干燥工序蒸汽消耗量
②对应变压器产量。</t>
    </r>
  </si>
  <si>
    <r>
      <t>EN-KS02、OUT-KM01</t>
    </r>
  </si>
  <si>
    <r>
      <t>EN-KT03 ÷ OUT-KM02</t>
    </r>
  </si>
  <si>
    <r>
      <t>EN-KT03
OUT-KM02</t>
    </r>
  </si>
  <si>
    <r>
      <t>月度指标。
e变-特高压-试验:变压器特高压产线试验工序单位产品能耗，单位为tce/万kVA；
E变-特高压-试验：变压器特高压产线试验工序综合能源消费量，单位tce
M变-特高压-试验:变压器特高压产线试验工序产品产量，单位为万kVA</t>
    </r>
  </si>
  <si>
    <r>
      <t>①变压器特高压产线试验工序耗电量
②对应变压器产量。</t>
    </r>
  </si>
  <si>
    <r>
      <t>采集试验设备的电耗。统计对应变压器产量，上送电装集控中心。</t>
    </r>
  </si>
  <si>
    <r>
      <t>EN-KT03、OUT-KM02</t>
    </r>
  </si>
  <si>
    <r>
      <t>EN-KE16 ÷ OUT-KM02</t>
    </r>
  </si>
  <si>
    <r>
      <t>EN-KE16
OUT-KM02</t>
    </r>
  </si>
  <si>
    <r>
      <t>月度指标
q变-特高压-试验-电：变压器特高压产线试验工序中单位产品电耗，单位为kWh/万kVA；
Q变-特高压-试验-电：变压器特高压产线试验工序中电能源消费量，单位kWh
M变-特高压-试验:变压器特高压产线试验工序产品产量，单位为万kVA</t>
    </r>
  </si>
  <si>
    <r>
      <t>EN-KE16、OUT-KM02</t>
    </r>
  </si>
  <si>
    <r>
      <t>EN-KT04 ÷ OUT-KM03</t>
    </r>
  </si>
  <si>
    <r>
      <t>EN-KT04
OUT-KM03</t>
    </r>
  </si>
  <si>
    <r>
      <t>月度指标。
e变-超高压-器身干燥:变压器超高压产线器身干燥工序单位产品能耗，单位为tce/万kVA；
E变-超高压-器身干燥：变压器超高压产线器身干燥工序综合能源消费量，单位tce
M变-超高压-器身干燥:变压器超高压产线器身干燥工序产品产量，单位为万kVA</t>
    </r>
  </si>
  <si>
    <r>
      <t>沈变本部、衡变本部、衡变特能建、新变超高压公司</t>
    </r>
  </si>
  <si>
    <r>
      <t>①变压器超高压产线器身干燥工序耗电量、蒸汽消耗量
②对应变压器产量。</t>
    </r>
  </si>
  <si>
    <r>
      <t>EN-KT04、OUT-KM03</t>
    </r>
  </si>
  <si>
    <r>
      <t>EN-KE17 ÷ OUT-KM03</t>
    </r>
  </si>
  <si>
    <r>
      <t>EN-KE17
OUT-KM03</t>
    </r>
  </si>
  <si>
    <r>
      <t>月度指标
q变-超高压-器身干燥-电：变压器超高压产线器身干燥工序中单位产品电耗，单位为kWh/万kVA；
Q变-超高压-器身干燥-电：变压器超高压产线器身干燥工序中电能源消费量，单位kWh
M变-超高压-器身干燥:变压器超高压产线器身干燥工序产品产量，单位为万kVA</t>
    </r>
  </si>
  <si>
    <r>
      <t>①变压器超高压产线器身干燥工序耗电量
②对应变压器产量。</t>
    </r>
  </si>
  <si>
    <r>
      <t>EN-KE17、OUT-KM03</t>
    </r>
  </si>
  <si>
    <r>
      <t>EN-KS03 ÷ OUT-KM03</t>
    </r>
  </si>
  <si>
    <r>
      <t>EN-KS03
OUT-KM03</t>
    </r>
  </si>
  <si>
    <r>
      <t>月度指标
q变-超高压-器身干燥-蒸汽：变压器超高压产线器身干燥工序中单位产品蒸汽耗，单位为t/万kVA；
Q变-超高压-器身干燥-蒸汽：变压器超高压产线器身干燥工序中蒸汽能源消费量，单位t
M变-超高压-器身干燥:变压器超高压产线器身干燥工序产品产量，单位为万kVA</t>
    </r>
  </si>
  <si>
    <r>
      <t>①变压器超高压产线器身干燥工序蒸汽消耗量
②对应变压器产量。</t>
    </r>
  </si>
  <si>
    <r>
      <t>EN-KS03、OUT-KM03</t>
    </r>
  </si>
  <si>
    <r>
      <t>EN-KT05 ÷ OUT-KM04</t>
    </r>
  </si>
  <si>
    <r>
      <t>EN-KT05
OUT-KM04</t>
    </r>
  </si>
  <si>
    <r>
      <t>月度指标。
e变-超高压-试验:变压器超高压产线试验工序单位产品能耗，单位为tce/万kVA；
E变-超高压-试验：变压器超高压产线试验工序综合能源消费量，单位tce
M变-超高压-试验:变压器超高压产线试验工序产品产量，单位为万kVA</t>
    </r>
  </si>
  <si>
    <r>
      <t>①变压器超高压产线试验工序耗电量
②对应变压器产量。</t>
    </r>
  </si>
  <si>
    <r>
      <t>EN-KT05、OUT-KM04</t>
    </r>
  </si>
  <si>
    <r>
      <t>EN-KE18 ÷ OUT-KM04</t>
    </r>
  </si>
  <si>
    <r>
      <t>EN-KE18
OUT-KM04</t>
    </r>
  </si>
  <si>
    <r>
      <t>月度指标
q变-超高压-试验-电：变压器超高压产线试验工序中单位产品电耗，单位为kWh/万kVA；
Q变-超高压-试验-电：变压器超高压产线试验工序中电能源消费量，单位kWh
M变-超高压-试验:变压器超高压产线试验工序产品产量，单位为万kVA</t>
    </r>
  </si>
  <si>
    <r>
      <t>EN-KE18、OUT-KM04</t>
    </r>
  </si>
  <si>
    <r>
      <t>EN-KT14 ÷ OUT-KM13</t>
    </r>
  </si>
  <si>
    <r>
      <t>EN-KT14
OUT-KM13</t>
    </r>
  </si>
  <si>
    <r>
      <t>月度指标。
e变-高压-器身干燥:变压器高压产线器身干燥工序单位产品能耗，单位为tce/万kVA；
E变-高压-器身干燥：变压器高压产线器身干燥工序综合能源消费量，单位tce
M变-高压-器身干燥:变压器高压产线器身干燥工序产品产量，单位为万kVA</t>
    </r>
  </si>
  <si>
    <r>
      <t>沈变本部、衡变本部、衡变特能建、新变超高压公司、新变智能电气、新变京津冀科技</t>
    </r>
  </si>
  <si>
    <r>
      <t>①变压器高压产线器身干燥工序耗电量、蒸汽消耗量
②对应变压器产量。</t>
    </r>
  </si>
  <si>
    <r>
      <t>EN-KT14、OUT-KM13</t>
    </r>
  </si>
  <si>
    <r>
      <t>EN-KE27 ÷ OUT-KM13</t>
    </r>
  </si>
  <si>
    <r>
      <t>EN-KE27
OUT-KM13</t>
    </r>
  </si>
  <si>
    <r>
      <t>月度指标
q变-高压-器身干燥-电：变压器高压产线器身干燥工序中单位产品电耗，单位为kWh/万kVA；
Q变-高压-器身干燥-电：变压器高压产线器身干燥工序中电能源消费量，单位kWh
M变-高压-器身干燥:变压器高压产线器身干燥工序产品产量，单位为万kVA</t>
    </r>
  </si>
  <si>
    <r>
      <t>①变压器高压产线器身干燥工序耗电量
②对应变压器产量。</t>
    </r>
  </si>
  <si>
    <r>
      <t>EN-KE27、OUT-KM13</t>
    </r>
  </si>
  <si>
    <r>
      <t>EN-KS04 ÷ OUT-KM13</t>
    </r>
  </si>
  <si>
    <r>
      <t>EN-KS04
OUT-KM13</t>
    </r>
  </si>
  <si>
    <r>
      <t>月度指标
q变-高压-器身干燥-蒸汽：变压器高压产线器身干燥工序中单位产品蒸汽耗，单位为t/万kVA；
Q变-高压-器身干燥-蒸汽：变压器高压产线器身干燥工序中蒸汽能源消费量，单位t
M变-高压-器身干燥:变压器高压产线器身干燥工序产品产量，单位为万kVA</t>
    </r>
  </si>
  <si>
    <r>
      <t>①变压器高压产线器身干燥工序蒸汽消耗量
②对应变压器产量。</t>
    </r>
  </si>
  <si>
    <r>
      <t>EN-KS04、OUT-KM13</t>
    </r>
  </si>
  <si>
    <r>
      <t>EN-KT15 ÷ OUT-KM14</t>
    </r>
  </si>
  <si>
    <r>
      <t>EN-KT15
OUT-KM14</t>
    </r>
  </si>
  <si>
    <r>
      <t>月度指标。
e变-高压-试验:变压器高压产线试验工序单位产品能耗，单位为tce/万kVA；
E变-高压-试验：变压器高压产线试验工序综合能源消费量，单位tce
M变-高压-试验:变压器高压产线试验工序产品产量，单位为万kVA</t>
    </r>
  </si>
  <si>
    <r>
      <t>①变压器高压产线试验工序耗电量
②对应变压器产量。</t>
    </r>
  </si>
  <si>
    <r>
      <t>EN-KT15、OUT-KM14</t>
    </r>
  </si>
  <si>
    <r>
      <t>EN-KE28 ÷ OUT-KM14</t>
    </r>
  </si>
  <si>
    <r>
      <t>EN-KE28
OUT-KM14</t>
    </r>
  </si>
  <si>
    <r>
      <t>月度指标
q变-高压-试验-电：变压器高压产线试验工序中单位产品电耗，单位为kWh/万kVA；
Q变-高压-试验-电：变压器高压产线试验工序中电能源消费量，单位kWh
M变-高压-试验:变压器高压产线试验工序产品产量，单位为万kVA</t>
    </r>
  </si>
  <si>
    <r>
      <t>EN-KE28、OUT-KM14</t>
    </r>
  </si>
  <si>
    <r>
      <t>EN-KT12 ÷ OUT-KM11</t>
    </r>
  </si>
  <si>
    <r>
      <t>EN-KT12
OUT-KM11</t>
    </r>
  </si>
  <si>
    <r>
      <t>月度指标。
e变-配变箱变-器身干燥:变压器配变箱变产线器身干燥工序单位产品能耗，单位为tce/万kVA；
E变-配变箱变-器身干燥：变压器配变箱变产线器身干燥工序综合能源消费量，单位tce
M变-配变箱变-器身干燥:变压器配变箱变产线器身干燥工序产品产量，单位为万kVA</t>
    </r>
  </si>
  <si>
    <r>
      <t>衡变湖南电气、新变天变公司、新变智能电气、新变京津冀科技</t>
    </r>
  </si>
  <si>
    <r>
      <t>①变压器配变箱变产线器身干燥工序耗电量
②对应变压器产量。</t>
    </r>
  </si>
  <si>
    <r>
      <t>采集器身干燥设备的电耗。统计对应变压器产量，上送电装集控中心。</t>
    </r>
  </si>
  <si>
    <r>
      <t>EN-KT12、OUT-KM11</t>
    </r>
  </si>
  <si>
    <r>
      <t>EN-KE25 ÷ OUT-KM11</t>
    </r>
  </si>
  <si>
    <r>
      <t>EN-KE25
OUT-KM11</t>
    </r>
  </si>
  <si>
    <r>
      <t>月度指标
q变-配变箱变-器身干燥-电：变压器配变箱变产线器身干燥工序中单位产品电耗，单位为kWh/万kVA；
Q变-配变箱变-器身干燥-电：变压器配变箱变产线器身干燥工序中电能源消费量，单位kWh
M变-配变箱变-器身干燥:变压器配变箱变产线器身干燥工序产品产量，单位为万kVA</t>
    </r>
  </si>
  <si>
    <r>
      <t>EN-KE25、OUT-KM11</t>
    </r>
  </si>
  <si>
    <r>
      <t>EN-KT13 ÷ OUT-KM12</t>
    </r>
  </si>
  <si>
    <r>
      <t>EN-KT13
OUT-KM12</t>
    </r>
  </si>
  <si>
    <r>
      <t>月度指标。
e变-配变箱变-试验:变压器配变箱变产线试验工序单位产品能耗，单位为tce/万kVA；
E变-配变箱变-试验：变压器配变箱变产线试验工序综合能源消费量，单位tce
M变-配变箱变-试验:变压器配变箱变产线试验工序产品产量，单位为万kVA</t>
    </r>
  </si>
  <si>
    <r>
      <t>①变压器配变箱变产线试验工序耗电量
②对应变压器产量。</t>
    </r>
  </si>
  <si>
    <r>
      <t>EN-KT13、OUT-KM12</t>
    </r>
  </si>
  <si>
    <r>
      <t>EN-KE26 ÷ OUT-KM12</t>
    </r>
  </si>
  <si>
    <r>
      <t>EN-KE26
OUT-KM12</t>
    </r>
  </si>
  <si>
    <r>
      <t>月度指标
q变-配变箱变-试验-电：变压器配变箱变产线试验工序中单位产品电耗，单位为kWh/万kVA；
Q变-配变箱变-试验-电：变压器配变箱变产线试验工序中电能源消费量，单位kWh
M变-配变箱变-试验:变压器配变箱变产线试验工序产品产量，单位为万kVA</t>
    </r>
  </si>
  <si>
    <r>
      <t>EN-KE26、OUT-KM12</t>
    </r>
  </si>
  <si>
    <r>
      <t>EN-KT06 ÷ OUT-KM05</t>
    </r>
  </si>
  <si>
    <r>
      <t>EN-KT06
OUT-KM05</t>
    </r>
  </si>
  <si>
    <r>
      <t>月度指标。
e变-配变中特-器身干燥:变压器配变中特产线器身干燥工序单位产品能耗，单位为tce/万kVA；
E变-配变中特-器身干燥：变压器配变中特产线器身干燥工序综合能源消费量，单位tce
M变-配变中特-器身干燥:变压器配变中特产线器身干燥工序产品产量，单位为万kVA</t>
    </r>
  </si>
  <si>
    <r>
      <t>衡变湖南电气、衡变特能建、新变智能电气、新变京津冀科技</t>
    </r>
  </si>
  <si>
    <r>
      <t>①变压器配变中特产线器身干燥工序耗电量
②对应变压器产量。</t>
    </r>
  </si>
  <si>
    <r>
      <t>EN-KT06、OUT-KM05</t>
    </r>
  </si>
  <si>
    <r>
      <t>EN-KE19 ÷ OUT-KM05</t>
    </r>
  </si>
  <si>
    <r>
      <t>EN-KE19
OUT-KM05</t>
    </r>
  </si>
  <si>
    <r>
      <t>月度指标
q变-配变中特-器身干燥-电：变压器配变中特产线器身干燥工序中单位产品电耗，单位为kWh/万kVA；
Q变-配变中特-器身干燥-电：变压器配变中特产线器身干燥工序中电能源消费量，单位kWh
M变-配变中特-器身干燥:变压器配变中特产线器身干燥工序产品产量，单位为万kVA</t>
    </r>
  </si>
  <si>
    <r>
      <t>EN-KE19、OUT-KM05</t>
    </r>
  </si>
  <si>
    <r>
      <t>EN-KT07 ÷ OUT-KM06</t>
    </r>
  </si>
  <si>
    <r>
      <t>EN-KT07
OUT-KM06</t>
    </r>
  </si>
  <si>
    <r>
      <t>月度指标。
e变-配变中特-试验:变压器配变中特产线试验工序单位产品能耗，单位为tce/万kVA；
E变-配变中特-试验：变压器配变中特产线试验工序综合能源消费量，单位tce
M变-配变中特-试验:变压器配变中特产线试验工序产品产量，单位为万kVA</t>
    </r>
  </si>
  <si>
    <r>
      <t>①变压器配变中特产线试验工序耗电量
②对应变压器产量。</t>
    </r>
  </si>
  <si>
    <r>
      <t>EN-KT07、OUT-KM06</t>
    </r>
  </si>
  <si>
    <r>
      <t>EN-KE20 ÷ OUT-KM06</t>
    </r>
  </si>
  <si>
    <r>
      <t>EN-KE20
OUT-KM06</t>
    </r>
  </si>
  <si>
    <r>
      <t>月度指标
q变-配变中特-试验-电：变压器配变中特产线试验工序中单位产品电耗，单位为kWh/万kVA；
Q变-配变中特-试验-电：变压器配变中特产线试验工序中电能源消费量，单位kWh
M变-配变中特-试验:变压器配变中特产线试验工序产品产量，单位为万kVA</t>
    </r>
  </si>
  <si>
    <r>
      <t>EN-KE20、OUT-KM06</t>
    </r>
  </si>
  <si>
    <r>
      <t>EN-KT10 ÷ OUT-KM09</t>
    </r>
  </si>
  <si>
    <r>
      <t>EN-KT10
OUT-KM09</t>
    </r>
  </si>
  <si>
    <r>
      <t>月度指标。
e变-配变油变-器身干燥:变压器配变油变产线器身干燥工序单位产品能耗，单位为tce/万kVA；
E变-配变油变-器身干燥：变压器配变油变产线器身干燥工序综合能源消费量，单位tce
M变-配变油变-器身干燥:变压器配变油变产线器身干燥工序产品产量，单位为万kVA</t>
    </r>
  </si>
  <si>
    <r>
      <t>衡变湖南电气、新变智能电气、新变京津冀科技</t>
    </r>
  </si>
  <si>
    <r>
      <t>①变压器配变油变产线器身干燥工序耗电量
②对应变压器产量。</t>
    </r>
  </si>
  <si>
    <r>
      <t>EN-KT10、OUT-KM09</t>
    </r>
  </si>
  <si>
    <r>
      <t>EN-KE23 ÷ OUT-KM09</t>
    </r>
  </si>
  <si>
    <r>
      <t>EN-KE23
OUT-KM09</t>
    </r>
  </si>
  <si>
    <r>
      <t>月度指标
q变-配变油变-器身干燥-电：变压器配变油变产线器身干燥工序中单位产品电耗，单位为kWh/万kVA；
Q变-配变油变-器身干燥-电：变压器配变油变产线器身干燥工序中电能源消费量，单位kWh
M变-配变油变-器身干燥:变压器配变油变产线器身干燥工序产品产量，单位为万kVA</t>
    </r>
  </si>
  <si>
    <r>
      <t>EN-KE23、OUT-KM09</t>
    </r>
  </si>
  <si>
    <r>
      <t>EN-KT11 ÷ OUT-KM10</t>
    </r>
  </si>
  <si>
    <r>
      <t>EN-KT11
OUT-KM10</t>
    </r>
  </si>
  <si>
    <r>
      <t>月度指标。
e变-配变油变-试验:变压器配变油变产线试验工序单位产品能耗，单位为tce/万kVA；
E变-配变油变-试验：变压器配变油变产线试验工序综合能源消费量，单位tce
M变-配变油变-试验:变压器配变油变产线试验工序产品产量，单位为万kVA</t>
    </r>
  </si>
  <si>
    <r>
      <t>①变压器配变油变产线试验工序耗电量
②对应变压器产量。</t>
    </r>
  </si>
  <si>
    <r>
      <t>EN-KT11、OUT-KM10</t>
    </r>
  </si>
  <si>
    <r>
      <t>EN-KE24 ÷ OUT-KM10</t>
    </r>
  </si>
  <si>
    <r>
      <t>EN-KE24
OUT-KM10</t>
    </r>
  </si>
  <si>
    <r>
      <t>月度指标
q变-配变油变-试验-电：变压器配变油变产线试验工序中单位产品电耗，单位为kWh/万kVA；
Q变-配变油变-试验-电：变压器配变油变产线试验工序中电能源消费量，单位kWh
M变-配变油变-试验:变压器配变油变产线试验工序产品产量，单位为万kVA</t>
    </r>
  </si>
  <si>
    <r>
      <t>EN-KE24、OUT-KM10</t>
    </r>
  </si>
  <si>
    <r>
      <t>EN-KT08 ÷ OUT-KM07</t>
    </r>
  </si>
  <si>
    <r>
      <t>EN-KT08
OUT-KM07</t>
    </r>
  </si>
  <si>
    <r>
      <t>月度指标。
e变-配变干变-浇注固化:变压器配变干变产线浇注固化工序单位产品能耗，单位为tce/万kVA；
E变-配变干变-浇注固化：变压器配变干变产线浇注固化工序综合能源消费量，单位tce
M变-配变干变-浇注固化:变压器配变干变产线浇注固化工序产品产量，单位为万kVA</t>
    </r>
  </si>
  <si>
    <r>
      <t>新变智能电气、新变天变公司</t>
    </r>
  </si>
  <si>
    <r>
      <t>①变压器配变干变产线浇注固化工序耗电量
②对应变压器产量。</t>
    </r>
  </si>
  <si>
    <r>
      <t>采集浇注固化设备的电耗。统计对应变压器产量，上送电装集控中心。</t>
    </r>
  </si>
  <si>
    <r>
      <t>EN-KT08、OUT-KM07</t>
    </r>
  </si>
  <si>
    <r>
      <t>EN-KE21 ÷ OUT-KM07</t>
    </r>
  </si>
  <si>
    <r>
      <t>EN-KE21
OUT-KM07</t>
    </r>
  </si>
  <si>
    <r>
      <t>月度指标
q变-配变干变-浇注固化-电：变压器配变干变产线浇注固化工序中单位产品电耗，单位为kWh/万kVA；
Q变-配变干变-浇注固化-电：变压器配变干变产线浇注固化工序中电能源消费量，单位kWh
M变-配变干变-浇注固化:变压器配变干变产线浇注固化工序产品产量，单位为万kVA</t>
    </r>
  </si>
  <si>
    <r>
      <t>EN-KE21、OUT-KM07</t>
    </r>
  </si>
  <si>
    <r>
      <t>EN-KT09 ÷ OUT-KM08</t>
    </r>
  </si>
  <si>
    <r>
      <t>EN-KT09
OUT-KM08</t>
    </r>
  </si>
  <si>
    <r>
      <t>月度指标。
e变-配变干变-试验:变压器配变干变产线试验工序单位产品能耗，单位为tce/万kVA；
E变-配变干变-试验：变压器配变干变产线试验工序综合能源消费量，单位tce
M变-配变干变-试验:变压器配变干变产线试验工序产品产量，单位为万kVA</t>
    </r>
  </si>
  <si>
    <r>
      <t>①变压器配变干变产线试验工序耗电量
②对应变压器产量。</t>
    </r>
  </si>
  <si>
    <r>
      <t>EN-KT09、OUT-KM08</t>
    </r>
  </si>
  <si>
    <r>
      <t>EN-KE22 ÷ OUT-KM08</t>
    </r>
  </si>
  <si>
    <r>
      <t>EN-KE22
OUT-KM08</t>
    </r>
  </si>
  <si>
    <r>
      <t>月度指标
q变-配变干变-试验-电：变压器配变干变产线试验工序中单位产品电耗，单位为kWh/万kVA；
Q变-配变干变-试验-电：变压器配变干变产线试验工序中电能源消费量，单位kWh
M变-配变干变-试验:变压器配变干变产线试验工序产品产量，单位为万kVA</t>
    </r>
  </si>
  <si>
    <r>
      <t>EN-KE22、OUT-KM08</t>
    </r>
  </si>
  <si>
    <r>
      <t>EN-KE08 ÷ VAL-KG08</t>
    </r>
  </si>
  <si>
    <r>
      <t>EN-KE08
VAL-KG08</t>
    </r>
  </si>
  <si>
    <r>
      <t>月度指标
u柜-加工-电：中低压开关柜钣金加工工序中单位产值电耗，单位为kWh/万元；
Q柜-加工-电：中低压开关柜钣金加工工序中电能源消费量，单位kWh
G柜-加工:中低压开关柜钣金加工工序产品产值，单位为万元</t>
    </r>
  </si>
  <si>
    <r>
      <t>开关-中低压开关柜（新疆自控、云集电气）</t>
    </r>
  </si>
  <si>
    <r>
      <t>①中低压开关柜钣金加工工序耗电量
②对应对中低压开关柜产值。</t>
    </r>
  </si>
  <si>
    <r>
      <t>采集钣金加工设备的电耗。统计对应中低压开关柜产值，上送电装集控中心。</t>
    </r>
  </si>
  <si>
    <r>
      <t>EN-KE08、VAL-KG08</t>
    </r>
  </si>
  <si>
    <r>
      <t>EN-KE09 ÷ VAL-KG09</t>
    </r>
  </si>
  <si>
    <r>
      <t>EN-KE09
VAL-KG09</t>
    </r>
  </si>
  <si>
    <r>
      <t>月度指标
u柜-喷涂-电：中低压开关柜钣金喷涂工序中单位产品产值电耗，单位为kWh/万元；
Q柜-喷涂-电：中低压开关柜钣金喷涂工序中电能源消费量，单位kWh
G柜-喷涂:中低压开关柜钣金喷涂工序产品产值，单位为万元</t>
    </r>
  </si>
  <si>
    <r>
      <t>①中低压开关柜钣金喷涂工序耗电量
②对应中低压开关柜产值。</t>
    </r>
  </si>
  <si>
    <r>
      <t>采集钣金喷涂设备的电耗。统计对应中低压开关柜产值，上送电装集控中心。</t>
    </r>
  </si>
  <si>
    <r>
      <t>EN-KE09、VAL-KG09</t>
    </r>
  </si>
  <si>
    <r>
      <t>EN-KE30 ÷ VAL-KG16</t>
    </r>
  </si>
  <si>
    <r>
      <t>EN-KE30
VAL-KG16</t>
    </r>
  </si>
  <si>
    <r>
      <t>月度指标。
u套-干燥-电:套管干燥工序单位产值电耗，单位为kWh/万元；
Q套-干燥=电：套管干燥工序电能源消费量，单位kWh
G套-干燥:套管干燥工序产品产值，单位为万元</t>
    </r>
  </si>
  <si>
    <r>
      <t>变压器-套管（沈变和新套管）</t>
    </r>
  </si>
  <si>
    <r>
      <t>①套管干燥工序耗电量
②对应套管产值。</t>
    </r>
  </si>
  <si>
    <r>
      <t>采集干燥设备的电耗。统计对应套管产值，上送电装集控中心。</t>
    </r>
  </si>
  <si>
    <r>
      <t>EN-KE30、VAL-KG16</t>
    </r>
  </si>
  <si>
    <r>
      <t>EN-KE29 ÷ VAL-KG15</t>
    </r>
  </si>
  <si>
    <r>
      <t>EN-KE29
VAL-KG15</t>
    </r>
  </si>
  <si>
    <r>
      <t>月度指标。
u套-卷制-电:套管卷制工序单位产值电耗，单位为kWh/万元；
Q套-卷制=电：套管卷制工序电能源消费量，单位kWh
G套-卷制:套管卷制工序产品产值，单位为万元</t>
    </r>
  </si>
  <si>
    <r>
      <t>①套管卷制工序耗电量
②对应套管产值</t>
    </r>
  </si>
  <si>
    <r>
      <t>采集卷制设备的电耗。统计对应套管产值，上送电装集控中心。</t>
    </r>
  </si>
  <si>
    <r>
      <t>EN-KE29、VAL-KG15</t>
    </r>
  </si>
  <si>
    <r>
      <t>EN-KE31 ÷ VAL-KG17</t>
    </r>
  </si>
  <si>
    <r>
      <t>EN-KE31
VAL-KG17</t>
    </r>
  </si>
  <si>
    <r>
      <t>月度指标。
u套-试验-电:套管试验工序单位产值电耗，单位为kWh/万元；
Q套-试验=电：套管试验工序电能源消费量，单位kWh
G套-试验:套管试验工序产品产值，单位为万元</t>
    </r>
  </si>
  <si>
    <r>
      <t>①套管试验工序耗电量
②对应套管产值</t>
    </r>
  </si>
  <si>
    <r>
      <t>采集试验设备的电耗。统计对应套管产值，上送电装集控中心。</t>
    </r>
  </si>
  <si>
    <r>
      <t>EN-KE31、VAL-KG17</t>
    </r>
  </si>
  <si>
    <r>
      <t>EN-KT01 ÷ VAL-KG13</t>
    </r>
  </si>
  <si>
    <r>
      <t>EN-KT01
VAL-KG13</t>
    </r>
  </si>
  <si>
    <r>
      <t>月度指标。
g互-干燥:互感器干燥工序单位产值能耗，单位为tce/万元；
E互-干燥：互感器干燥工序综合能源消费量，单位tce
G互-干燥:互感器干燥工序产品产值，单位为万元</t>
    </r>
  </si>
  <si>
    <r>
      <t>变压器-互感器（沈变康嘉）</t>
    </r>
  </si>
  <si>
    <r>
      <t>①互感器干燥工序综合能耗
②对应互感器产值。</t>
    </r>
  </si>
  <si>
    <r>
      <t>采集干燥设备的电耗。统计对应互感器产值，上送电装集控中心。</t>
    </r>
  </si>
  <si>
    <r>
      <t>EN-KT01、VAL-KG13</t>
    </r>
  </si>
  <si>
    <r>
      <t>EN-KE13 ÷ VAL-KG13</t>
    </r>
  </si>
  <si>
    <r>
      <t>EN-KE13
VAL-KG13</t>
    </r>
  </si>
  <si>
    <r>
      <t>月度指标。
u互-干燥-电:互感器干燥工序单位产值电耗，单位为kWh/万元；
Q互-干燥=电：互感器干燥工序电能源消费量，单位kWh
G互-干燥:互感器干燥工序产品产值，单位为万元</t>
    </r>
  </si>
  <si>
    <r>
      <t>①互感器干燥工序耗电量
②对应互感器产值。</t>
    </r>
  </si>
  <si>
    <r>
      <t>EN-KE13、VAL-KG13</t>
    </r>
  </si>
  <si>
    <r>
      <t>EN-KS01 ÷ VAL-KG13</t>
    </r>
  </si>
  <si>
    <r>
      <t>EN-KS01
VAL-KG13</t>
    </r>
  </si>
  <si>
    <r>
      <t>月度指标。
u互-干燥-蒸汽:互感器干燥工序单位产值蒸汽消耗，单位为t/万元；
Q互-干燥-蒸汽：互感器干燥工序蒸汽能源消费量，单位t
G互-干燥:互感器干燥工序产品产值，单位为万元</t>
    </r>
  </si>
  <si>
    <r>
      <t>①互感器干燥工序耗汽量
②对应互感器产值。</t>
    </r>
  </si>
  <si>
    <r>
      <t>EN-KS01、VAL-KG13</t>
    </r>
  </si>
  <si>
    <r>
      <t>EN-KE14 ÷ VAL-KG14</t>
    </r>
  </si>
  <si>
    <r>
      <t>EN-KE14
VAL-KG14</t>
    </r>
  </si>
  <si>
    <r>
      <t>月度指标。
u互-试验-电:互感器试验工序单位产值电耗，单位为kWh/万元；
Q互-试验=电：互感器试验工序电能源消费量，单位kWh
G互-试验:互感器试验工序产品产值，单位为万元</t>
    </r>
  </si>
  <si>
    <r>
      <t>①互感器试验工序耗电量
②对应互感器产值</t>
    </r>
  </si>
  <si>
    <r>
      <t>采集试验设备的电耗。统计对应互感器产值，上送电装集控中心。</t>
    </r>
  </si>
  <si>
    <r>
      <t>EN-KE14、VAL-KG14</t>
    </r>
  </si>
  <si>
    <r>
      <t>EN-KE10 ÷ VAL-KG10</t>
    </r>
  </si>
  <si>
    <r>
      <t>EN-KE10
VAL-KG10</t>
    </r>
  </si>
  <si>
    <r>
      <t>月度指标。
u二次-贴片-电:二次-SMT贴片工序单位产值电耗，单位为kWh/万元；
Q二次-贴片=电：二次-SMT贴片工序电能源消费量，单位kWh
G二次-贴片:二次-SMT贴片工序产品产值，单位为万元</t>
    </r>
  </si>
  <si>
    <r>
      <t>二次（衡变南京公司）</t>
    </r>
  </si>
  <si>
    <r>
      <t>①二次-SMT贴片工序耗电量
②对应二次设备产值。</t>
    </r>
  </si>
  <si>
    <r>
      <t>采集SMT贴片设备的电耗。统计对应二次设备产值，上送电装集控中心。</t>
    </r>
  </si>
  <si>
    <r>
      <t>EN-KE10、VAL-KG10</t>
    </r>
  </si>
  <si>
    <r>
      <t>EN-KE12 ÷ VAL-KG12</t>
    </r>
  </si>
  <si>
    <r>
      <t>EN-KE12
VAL-KG12</t>
    </r>
  </si>
  <si>
    <r>
      <t>月度指标。
u二次-高温-电:二次-高温老化工序单位产值电耗，单位为kWh/万元；
Q二次-高温=电：二次-高温老化工序电能源消费量，单位kWh
G二次-高温:二次-高温老化工序产品产值，单位为万元</t>
    </r>
  </si>
  <si>
    <r>
      <t>①二次-高温老化工序耗电量
②对应二次设备产值。</t>
    </r>
  </si>
  <si>
    <r>
      <t>采集高温老化设备的电耗。统计对应二次设备产值，上送电装集控中心。</t>
    </r>
  </si>
  <si>
    <r>
      <t>EN-KE12、VAL-KG12</t>
    </r>
  </si>
  <si>
    <r>
      <t>EN-KE11 ÷ VAL-KG11</t>
    </r>
  </si>
  <si>
    <r>
      <t>EN-KE11
VAL-KG11</t>
    </r>
  </si>
  <si>
    <r>
      <t>月度指标。
u二次-波峰焊-电:二次-波峰焊工序单位产值电耗，单位为kWh/万元；
Q二次-波峰焊=电：二次-波峰焊工序电能源消费量，单位kWh
G二次-波峰焊:二次-波峰焊工序产品产值，单位为万元</t>
    </r>
  </si>
  <si>
    <r>
      <t>①二次-波峰焊工序耗电量
②对应二次设备产值。</t>
    </r>
  </si>
  <si>
    <r>
      <t>采集波峰焊设备的电耗。统计对应二次设备产值，上送电装集控中心。</t>
    </r>
  </si>
  <si>
    <r>
      <t>EN-KE11、VAL-KG11</t>
    </r>
  </si>
  <si>
    <r>
      <t>EN-KE36 ÷ OUT-KM17</t>
    </r>
  </si>
  <si>
    <r>
      <t>EN-KE36
OUT-KM17</t>
    </r>
  </si>
  <si>
    <r>
      <t>月度指标
q容-卷绕-电：电容器芯子卷绕工序中单位产品电耗，单位为kWh/kvar；
Q容-卷绕-电：电容器芯子卷绕工序中电能源消费量，单位kWh
M容-卷绕:电容器芯子卷绕工序产品产量，单位为kvar</t>
    </r>
  </si>
  <si>
    <r>
      <t>电容电抗-电容（衡变合容）</t>
    </r>
  </si>
  <si>
    <r>
      <t>①电容器-芯子卷绕工序耗电量
②对应电容器产量。</t>
    </r>
  </si>
  <si>
    <r>
      <t>采集芯子卷绕设备的电耗。统计对应电容器产量，上送电装集控中心。</t>
    </r>
  </si>
  <si>
    <r>
      <t>EN-KE36、OUT-KM17</t>
    </r>
  </si>
  <si>
    <r>
      <t>EN-KE35 ÷ OUT-KM16</t>
    </r>
  </si>
  <si>
    <r>
      <t>EN-KE35
OUT-KM16</t>
    </r>
  </si>
  <si>
    <r>
      <t>月度指标
q容-真空-电：电容器真空浸渍工序中单位产品电耗，单位为kWh/kvar；
Q容-真空-电：电容器真空浸渍工序中电能源消费量，单位kWh
M容-真空:电容器真空浸渍工序产品产量，单位为kvar</t>
    </r>
  </si>
  <si>
    <r>
      <t>①电容器-真空浸渍工序耗电量
②对应电容器产量。</t>
    </r>
  </si>
  <si>
    <r>
      <t>采集真空浸渍设备的电耗。统计对应电容器产量，上送电装集控中心。</t>
    </r>
  </si>
  <si>
    <r>
      <t>EN-KE35、OUT-KM16</t>
    </r>
  </si>
  <si>
    <r>
      <t>EN-KE34 ÷ OUT-KM15</t>
    </r>
  </si>
  <si>
    <r>
      <t>EN-KE34
OUT-KM15</t>
    </r>
  </si>
  <si>
    <r>
      <t>月度指标
q容-喷漆-电：电容器喷漆工序中单位产品电耗，单位为kWh/kvar；
Q容-喷漆-电：电容器喷漆工序中电能源消费量，单位kWh
M容-喷漆:电容器喷漆工序产品产量，单位为kvar</t>
    </r>
  </si>
  <si>
    <r>
      <t>①电容器-喷漆工序耗电量
②对应电容器产量。</t>
    </r>
  </si>
  <si>
    <r>
      <t>采集喷漆设备的电耗。统计对应电容器产量，上送电装集控中心。</t>
    </r>
  </si>
  <si>
    <r>
      <t>EN-KE34、OUT-KM15</t>
    </r>
  </si>
  <si>
    <r>
      <t>EN-KE37 ÷ OUT-KM18</t>
    </r>
  </si>
  <si>
    <r>
      <t>EN-KE37
OUT-KM18</t>
    </r>
  </si>
  <si>
    <r>
      <t>月度指标
q容-试验-电：电容器试验工序中单位产品电耗，单位为kWh/kvar；
Q容-试验-电：电容器试验工序中电能源消费量，单位kWh
M容-试验:电容器试验工序产品产量，单位为kvar</t>
    </r>
  </si>
  <si>
    <r>
      <t>①电容器-试验工序耗电量
②对应电容器产量。</t>
    </r>
  </si>
  <si>
    <r>
      <t>采集试验设备的电耗。统计对应电容器产量，上送电装集控中心。</t>
    </r>
  </si>
  <si>
    <r>
      <t>EN-KE37、OUT-KM18</t>
    </r>
  </si>
  <si>
    <r>
      <t>EN-KE32 ÷ VAL-KG18</t>
    </r>
  </si>
  <si>
    <r>
      <t>EN-KE32
VAL-KG18</t>
    </r>
  </si>
  <si>
    <r>
      <t>月度指标。
u抗-固化-电:干式电抗器固化工序单位产值电耗，单位为kWh/万元；
Q抗-固化=电：干式电抗器固化工序电能源消费量，单位kWh
G抗-固化:干式电抗器固化工序产品产值，单位为万元</t>
    </r>
  </si>
  <si>
    <r>
      <t>电容电抗-干式电抗器（衡变合容）</t>
    </r>
  </si>
  <si>
    <r>
      <t>①干式电抗器-固化工序耗电量
②对应干式电抗器产值。</t>
    </r>
  </si>
  <si>
    <r>
      <t>采集固化设备的电耗。统计对应干式电抗器产值，上送电装集控中心。</t>
    </r>
  </si>
  <si>
    <r>
      <t>EN-KE32、VAL-KG18</t>
    </r>
  </si>
  <si>
    <r>
      <t>EN-KE33 ÷ VAL-KG19</t>
    </r>
  </si>
  <si>
    <r>
      <t>EN-KE33
VAL-KG19</t>
    </r>
  </si>
  <si>
    <r>
      <t>月度指标。
u抗-试验-电:干式电抗器试验工序单位产值电耗，单位为kWh/万元；
Q抗-试验=电：干式电抗器试验工序电能源消费量，单位kWh
G抗-试验:干式电抗器试验工序产品产值，单位为万元</t>
    </r>
  </si>
  <si>
    <r>
      <t>①干式电抗器-试验工序耗电量
②对应干式电抗器产值。</t>
    </r>
  </si>
  <si>
    <r>
      <t>采集试验设备的电耗。统计对应干式电抗器产值，上送电装集控中心。</t>
    </r>
  </si>
  <si>
    <r>
      <t>EN-KE33、VAL-KG19</t>
    </r>
  </si>
  <si>
    <r>
      <t>EN-KE03 ÷ VAL-KG03</t>
    </r>
  </si>
  <si>
    <r>
      <t>EN-KE03
VAL-KG03</t>
    </r>
  </si>
  <si>
    <r>
      <t>月度指标。
uGIL-螺旋焊管-电:GIL螺旋焊管生产工序单位产值电耗，单位为kWh/万元；
QGIL-螺旋焊管=电：GIL螺旋焊管生产工序电能源消费量，单位kWh
GGIL-螺旋焊管:GIL螺旋焊管生产工序产品产值，单位为万元</t>
    </r>
  </si>
  <si>
    <r>
      <t>GIL（衡变-赛杰爱迪）</t>
    </r>
  </si>
  <si>
    <r>
      <t>①GIL-螺旋焊管工序耗电量
②对应GIL设备产值。</t>
    </r>
  </si>
  <si>
    <r>
      <t>采集测试设备的电耗。统计对应GIL产值，上送电装集控中心。</t>
    </r>
  </si>
  <si>
    <r>
      <t>EN-KE03、VAL-KG03</t>
    </r>
  </si>
  <si>
    <r>
      <t>EN-KE01 ÷ VAL-KG01</t>
    </r>
  </si>
  <si>
    <r>
      <t>EN-KE01
VAL-KG01</t>
    </r>
  </si>
  <si>
    <r>
      <t>月度指标。
uGIL-测试-电:GIL测试工序单位产值电耗，单位为kWh/万元；
QGIL-测试=电：GIL测试工序电能源消费量，单位kWh
GGIL-测试:GIL测试工序产品产值，单位为万元</t>
    </r>
  </si>
  <si>
    <r>
      <t>①GIL-测试工序耗电量
②对应GIL设备产值。</t>
    </r>
  </si>
  <si>
    <r>
      <t>EN-KE01、VAL-KG01</t>
    </r>
  </si>
  <si>
    <r>
      <t>EN-KE02 ÷ VAL-KG02</t>
    </r>
  </si>
  <si>
    <r>
      <t>EN-KE02
VAL-KG02</t>
    </r>
  </si>
  <si>
    <r>
      <t>月度指标。
uGIL-绝缘-电:GIL绝缘子生产工序单位产值电耗，单位为kWh/万元；
QGIL-绝缘=电：GIL绝缘子生产工序电能源消费量，单位kWh
GGIL-绝缘:GIL绝缘子生产工序产品产值，单位为万元</t>
    </r>
  </si>
  <si>
    <r>
      <t>①GIL-绝缘子生产工序耗电量
②对应GIL设备产值。</t>
    </r>
  </si>
  <si>
    <r>
      <t>采集绝缘子生产设备的电耗。统计对应GIL产值，上送电装集控中心。</t>
    </r>
  </si>
  <si>
    <r>
      <t>EN-KE02、VAL-KG02</t>
    </r>
  </si>
  <si>
    <r>
      <t>EN-KE05 ÷ VAL-KG05</t>
    </r>
  </si>
  <si>
    <r>
      <t>EN-KE05
VAL-KG05</t>
    </r>
  </si>
  <si>
    <r>
      <t>月度指标。
uGIS-真空-电:GIS抽真空工序单位产值电耗，单位为kWh/万元；
QGIS-真空=电：GIS抽真空工序电能源消费量，单位kWh
GGIS-真空:GIS抽真空工序产品产值，单位为万元</t>
    </r>
  </si>
  <si>
    <r>
      <t>开关-GIS（衡变云高）</t>
    </r>
  </si>
  <si>
    <r>
      <t>①GIS-抽真空工序耗电量
②对应GIS设备产值。</t>
    </r>
  </si>
  <si>
    <r>
      <t>采集抽真空站的电耗。统计对应GIS产值，上送电装集控中心。</t>
    </r>
  </si>
  <si>
    <r>
      <t>EN-KE05、VAL-KG05</t>
    </r>
  </si>
  <si>
    <r>
      <t>EN-KE07 ÷ VAL-KG07</t>
    </r>
  </si>
  <si>
    <r>
      <t>EN-KE07
VAL-KG07</t>
    </r>
  </si>
  <si>
    <r>
      <t>月度指标。
uGIS-干燥-电:GIS绝缘件干燥工序单位产值电耗，单位为kWh/万元；
QGIS-干燥=电：GIS绝缘件干燥工序电能源消费量，单位kWh
GGIS-干燥:GIS绝缘件干燥工序产品产值，单位为万元</t>
    </r>
  </si>
  <si>
    <r>
      <t>①GIS-绝缘件干燥工序耗电量
②对应GIS设备产值。</t>
    </r>
  </si>
  <si>
    <r>
      <t>采集绝缘件干燥设备的电耗。统计对应GIS产值，上送电装集控中心。</t>
    </r>
  </si>
  <si>
    <r>
      <t>EN-KE07、VAL-KG07</t>
    </r>
  </si>
  <si>
    <r>
      <t>EN-KE04 ÷ VAL-KG04</t>
    </r>
  </si>
  <si>
    <r>
      <t>EN-KE04
VAL-KG04</t>
    </r>
  </si>
  <si>
    <r>
      <t>月度指标。
uGIS-试验-电:GIS工频耐压试验工序单位产值电耗，单位为kWh/万元；
QGIS-试验=电：GIS工频耐压试验工序电能源消费量，单位kWh
GGIS-试验:GIS工频耐压试验工序产品产值，单位为万元</t>
    </r>
  </si>
  <si>
    <r>
      <t>①GIS-工频耐压试验工序耗电量
②对应GIS设备产值。</t>
    </r>
  </si>
  <si>
    <r>
      <t>采集工频耐压试验设备的电耗。统计对应GIS产值，上送电装集控中心。</t>
    </r>
  </si>
  <si>
    <r>
      <t>EN-KE04、VAL-KG04</t>
    </r>
  </si>
  <si>
    <r>
      <t>EN-KE06 ÷ VAL-KG06</t>
    </r>
  </si>
  <si>
    <r>
      <t>EN-KE06
VAL-KG06</t>
    </r>
  </si>
  <si>
    <r>
      <t>月度指标。
uGIS-除湿-电:GIS空调恒温除湿工序单位产值电耗，单位为kWh/万元；
QGIS-除湿=电：GIS空调恒温除湿工序电能源消费量，单位kWh
GGIS-除湿:GIS空调恒温除湿工序产品产值，单位为万元</t>
    </r>
  </si>
  <si>
    <r>
      <t>①GIS-空调恒温除湿工序耗电量
②对应GIS设备产值。</t>
    </r>
  </si>
  <si>
    <r>
      <t>采集空调恒温除湿设备的电耗。统计对应GIS产值，上送电装集控中心。</t>
    </r>
  </si>
  <si>
    <r>
      <t>EN-KE06、VAL-KG06</t>
    </r>
  </si>
  <si>
    <r>
      <t>EN-KE59 ÷ OUT-KM40</t>
    </r>
  </si>
  <si>
    <r>
      <t>EN-KE59
OUT-KM40</t>
    </r>
  </si>
  <si>
    <r>
      <t>月度指标
q非晶-退火-电：非晶合金铁心退火工序中单位产品电耗，单位为kWh/t；
Q非晶-退火-电：非晶合金铁心退火工序中电能源消费量，单位kWh
M非晶-退火:非晶合金铁心退火工序产品产量，单位为t</t>
    </r>
  </si>
  <si>
    <r>
      <t>变压器-铁心（新变珠峰硅钢）</t>
    </r>
  </si>
  <si>
    <r>
      <t>①非晶合金铁心-退火工序耗电量
②对应非晶合金铁心产品产量。</t>
    </r>
  </si>
  <si>
    <r>
      <t>采集退火设备的电耗。统计对应非晶合金铁心产量，上送电装集控中心。</t>
    </r>
  </si>
  <si>
    <r>
      <t>EN-KE59、OUT-KM40</t>
    </r>
  </si>
  <si>
    <r>
      <t>EN-KE40 ÷ OUT-KM21</t>
    </r>
  </si>
  <si>
    <r>
      <t>EN-KE40
OUT-KM21</t>
    </r>
  </si>
  <si>
    <r>
      <t>月度指标
q硅钢-纵剪-电：硅钢铁心纵剪工序中单位产品电耗，单位为kWh/t；
Q硅钢-纵剪-电：硅钢铁心纵剪工序中电能源消费量，单位kWh
M硅钢-纵剪:硅钢铁心纵剪工序产品产量，单位为t</t>
    </r>
  </si>
  <si>
    <r>
      <t>①硅钢铁心-纵剪工序耗电量
②对应硅钢铁心产品产量。</t>
    </r>
  </si>
  <si>
    <r>
      <t>采集纵剪设备的电耗。统计对应硅钢铁心产量，上送电装集控中心。</t>
    </r>
  </si>
  <si>
    <r>
      <t>EN-KE40、OUT-KM21</t>
    </r>
  </si>
  <si>
    <r>
      <t>EN-KE38 ÷ OUT-KM19</t>
    </r>
  </si>
  <si>
    <r>
      <t>EN-KE38
OUT-KM19</t>
    </r>
  </si>
  <si>
    <r>
      <t>月度指标
q硅钢-中型叠装-电：硅钢铁心中型叠装工序中单位产品电耗，单位为kWh/t；
Q硅钢-中型叠装-电：硅钢铁心中型叠装工序中电能源消费量，单位kWh
M硅钢-中型叠装:硅钢铁心中型叠装工序产品产量，单位为t</t>
    </r>
  </si>
  <si>
    <r>
      <t>①硅钢铁心-中型叠装工序耗电量
②对应硅钢铁心产品产量。</t>
    </r>
  </si>
  <si>
    <r>
      <t>采集中型叠装设备的电耗。统计对应硅钢铁心产量，上送电装集控中心。</t>
    </r>
  </si>
  <si>
    <r>
      <t>EN-KE38、OUT-KM19</t>
    </r>
  </si>
  <si>
    <r>
      <t>EN-KE39 ÷ OUT-KM20</t>
    </r>
  </si>
  <si>
    <r>
      <t>EN-KE39
OUT-KM20</t>
    </r>
  </si>
  <si>
    <r>
      <t>月度指标
q硅钢-大型叠装-电：硅钢铁心大型叠装工序中单位产品电耗，单位为kWh/t；
Q硅钢-大型叠装-电：硅钢铁心大型叠装工序中电能源消费量，单位kWh
M硅钢-大型叠装:硅钢铁心大型叠装工序产品产量，单位为t</t>
    </r>
  </si>
  <si>
    <r>
      <t>①硅钢铁心-大型叠装工序耗电量
②对应硅钢铁心产品产量。</t>
    </r>
  </si>
  <si>
    <r>
      <t>采集大型叠装设备的电耗。统计对应硅钢铁心产量，上送电装集控中心。</t>
    </r>
  </si>
  <si>
    <r>
      <t>EN-KE39、OUT-KM20</t>
    </r>
  </si>
  <si>
    <r>
      <t>变量序号</t>
    </r>
  </si>
  <si>
    <r>
      <t>变量角色</t>
    </r>
  </si>
  <si>
    <r>
      <t>对应参数编码</t>
    </r>
  </si>
  <si>
    <r>
      <t>对应数据项名称</t>
    </r>
  </si>
  <si>
    <r>
      <t>变量单位</t>
    </r>
  </si>
  <si>
    <r>
      <t>变量含义（原表）</t>
    </r>
  </si>
  <si>
    <r>
      <t>Rcf</t>
    </r>
  </si>
  <si>
    <r>
      <t>单位指标值（即本指标被计算量）</t>
    </r>
  </si>
  <si>
    <r>
      <t>分子</t>
    </r>
  </si>
  <si>
    <r>
      <t>开展主要产品碳足迹分析的产品类别数量</t>
    </r>
  </si>
  <si>
    <r>
      <t>分母</t>
    </r>
  </si>
  <si>
    <r>
      <t>综合能源消耗量，单位为tce</t>
    </r>
  </si>
  <si>
    <r>
      <t>维度（能源品种计数）</t>
    </r>
  </si>
  <si>
    <r>
      <t>因子（第 i 种能源消费量）</t>
    </r>
  </si>
  <si>
    <r>
      <t>实际消耗的第i种能源量</t>
    </r>
  </si>
  <si>
    <r>
      <t>系数（第 i 种能源折标准煤系数）</t>
    </r>
  </si>
  <si>
    <r>
      <t>第i种能源的折标准煤系数</t>
    </r>
  </si>
  <si>
    <r>
      <t>吨二氧化碳（tCO2</t>
    </r>
  </si>
  <si>
    <r>
      <t>二氧化碳排放量，单位为吨二氧化碳（tCO2）</t>
    </r>
  </si>
  <si>
    <r>
      <t>加项·碳排放分量</t>
    </r>
  </si>
  <si>
    <r>
      <t>化石燃料燃烧产生的二氧化碳排放量总和，单位为吨二氧化碳（tCO2）</t>
    </r>
  </si>
  <si>
    <r>
      <t>过程二氧化碳排放量总和，单位为吨二氧化碳（tCO2）</t>
    </r>
  </si>
  <si>
    <r>
      <t>购入的电力所产生的二氧化碳排放，单位为吨二氧化碳（tCO2）</t>
    </r>
  </si>
  <si>
    <r>
      <t>扣减项·碳排放分量</t>
    </r>
  </si>
  <si>
    <r>
      <t>输出的电力所产生的二氧化碳排放，单位为吨二氧化碳（tCO2）</t>
    </r>
  </si>
  <si>
    <r>
      <t>购入的热力所产生的二氧化碳排放，单位为吨二氧化碳（tCO2）</t>
    </r>
  </si>
  <si>
    <r>
      <t>输出的热力所产生的二氧化碳排放，单位为吨二氧化碳（tCO2）</t>
    </r>
  </si>
  <si>
    <r>
      <t>化石燃料燃烧、工艺过程产生的二氧化碳经回收作为生产原料自用或作为产品外供并确保未再次排放所对应的二氧化碳排放量，单位为吨二氧化碳（tCO2）</t>
    </r>
  </si>
  <si>
    <r>
      <t>I</t>
    </r>
  </si>
  <si>
    <r>
      <t>能耗碳排放</t>
    </r>
  </si>
  <si>
    <r>
      <t>二氧化碳排放量，单位为tCO2</t>
    </r>
  </si>
  <si>
    <r>
      <t>r</t>
    </r>
  </si>
  <si>
    <r>
      <t>各类非化石能源消费量(不含作为原料使用的能源)，单位为tce</t>
    </r>
  </si>
  <si>
    <r>
      <t>综合能源消费量（不含作为原料使用的能源）,单位为tce</t>
    </r>
  </si>
  <si>
    <r>
      <t>Eui</t>
    </r>
  </si>
  <si>
    <r>
      <t>具备物理可溯源条件的非化石能源电力消费量，单位为kWh</t>
    </r>
  </si>
  <si>
    <r>
      <t>千kWh</t>
    </r>
  </si>
  <si>
    <r>
      <t>总用电量，单位为千kWh</t>
    </r>
  </si>
  <si>
    <r>
      <t>Enva</t>
    </r>
  </si>
  <si>
    <r>
      <t>工业增加值能耗</t>
    </r>
  </si>
  <si>
    <r>
      <t>单位工业增加值能耗，单位为tce/万元</t>
    </r>
  </si>
  <si>
    <r>
      <t>综合能源消费量，单位tce</t>
    </r>
  </si>
  <si>
    <r>
      <t>分母·产值</t>
    </r>
  </si>
  <si>
    <r>
      <t>工业增加值，单位为万元</t>
    </r>
  </si>
  <si>
    <r>
      <t>S</t>
    </r>
  </si>
  <si>
    <r>
      <t>达到或优于能效强制性国家标准 2 级水平和《重点用能产品设备能效先进水平、节能水平和准入水平》节能水平的装备累计额定总功率，单位为kW</t>
    </r>
  </si>
  <si>
    <r>
      <t>纳入统计范围装备累计额定总功率，单位为kW。纳入统计范围的装备需有适用的能效强制性国家标准，包括但不限于电动机、变压器、工业锅炉、风机、容积式空气压缩机、工业制冷设备、热泵等</t>
    </r>
  </si>
  <si>
    <r>
      <t>g</t>
    </r>
  </si>
  <si>
    <r>
      <t>产值能耗</t>
    </r>
  </si>
  <si>
    <r>
      <t>单位产值能耗，单位为tce/万元</t>
    </r>
  </si>
  <si>
    <r>
      <t>产品产值，单位为万元</t>
    </r>
  </si>
  <si>
    <r>
      <t>e</t>
    </r>
  </si>
  <si>
    <r>
      <t>产品能耗</t>
    </r>
  </si>
  <si>
    <r>
      <t>型号、ERP产品种类、电装产线大类</t>
    </r>
  </si>
  <si>
    <r>
      <t>单位产品能耗，单位为tce/产品单位</t>
    </r>
  </si>
  <si>
    <r>
      <t>分母·产量</t>
    </r>
  </si>
  <si>
    <r>
      <t>产品单位</t>
    </r>
  </si>
  <si>
    <r>
      <t>产品产量，单位为产品单位，如万kVA、万km*mm2等</t>
    </r>
  </si>
  <si>
    <r>
      <t>q电</t>
    </r>
  </si>
  <si>
    <r>
      <t>产品电耗</t>
    </r>
  </si>
  <si>
    <r>
      <t>单位产品电耗，单位为kWh/产品单位</t>
    </r>
  </si>
  <si>
    <r>
      <t>电能源消费量，单位kWh</t>
    </r>
  </si>
  <si>
    <r>
      <t>q蒸汽</t>
    </r>
  </si>
  <si>
    <r>
      <t>产品蒸汽消耗</t>
    </r>
  </si>
  <si>
    <r>
      <t>单位产品蒸汽消耗，单位为GJ/产品单位</t>
    </r>
  </si>
  <si>
    <r>
      <t>蒸汽能源消费量，单位GJ</t>
    </r>
  </si>
  <si>
    <r>
      <t>q天然气</t>
    </r>
  </si>
  <si>
    <r>
      <t>产品天然气消耗</t>
    </r>
  </si>
  <si>
    <r>
      <t>单位产品天然气消耗，单位为m³/产品单位</t>
    </r>
  </si>
  <si>
    <r>
      <t>天然气能源消费量，单位m³</t>
    </r>
  </si>
  <si>
    <r>
      <t>q水</t>
    </r>
  </si>
  <si>
    <r>
      <t>产品水耗</t>
    </r>
  </si>
  <si>
    <r>
      <t>单位产品水耗，单位为t/产品单位</t>
    </r>
  </si>
  <si>
    <r>
      <t>水能源消费量，单位t</t>
    </r>
  </si>
  <si>
    <r>
      <t>q线缆-导线-拉丝Cu-电</t>
    </r>
  </si>
  <si>
    <r>
      <t>铜电耗</t>
    </r>
  </si>
  <si>
    <r>
      <t>导线产线中拉丝工序单位铜电耗，单位为kWh/t</t>
    </r>
  </si>
  <si>
    <r>
      <t>分子·能源消费量（电力）</t>
    </r>
  </si>
  <si>
    <r>
      <t>导线产线中拉丝工序电能源消费量，单位kWh</t>
    </r>
  </si>
  <si>
    <r>
      <t>导线产线中拉丝工序铜产量，单位为t</t>
    </r>
  </si>
  <si>
    <r>
      <t>q线缆-导线-拉丝Al-电</t>
    </r>
  </si>
  <si>
    <r>
      <t>铝电耗</t>
    </r>
  </si>
  <si>
    <r>
      <t>导线产线中拉丝工序单位铝电耗，单位为kWh/t</t>
    </r>
  </si>
  <si>
    <r>
      <t>导线产线中拉丝工序铝产量，单位为t</t>
    </r>
  </si>
  <si>
    <r>
      <t>q线缆-布电线-拉丝Cu-电</t>
    </r>
  </si>
  <si>
    <r>
      <t>布电线产线中拉丝工序单位铜电耗，单位为kWh/t</t>
    </r>
  </si>
  <si>
    <r>
      <t>布电线产线中拉丝工序电能源消费量，单位kWh</t>
    </r>
  </si>
  <si>
    <r>
      <t>布电线产线中拉丝工序铜产量，单位为t</t>
    </r>
  </si>
  <si>
    <r>
      <t>q线缆-布电线-拉丝Al-电</t>
    </r>
  </si>
  <si>
    <r>
      <t>布电线产线中拉丝工序单位铝电耗，单位为kWh/t</t>
    </r>
  </si>
  <si>
    <r>
      <t>布电线产线中拉丝工序铝产量，单位为t</t>
    </r>
  </si>
  <si>
    <r>
      <t>q线缆-高压电缆-拉丝Cu-电</t>
    </r>
  </si>
  <si>
    <r>
      <t>高压电缆产线中拉丝工序单位铜电耗，单位为kWh/t</t>
    </r>
  </si>
  <si>
    <r>
      <t>高压电缆产线中拉丝工序电能源消费量，单位kWh</t>
    </r>
  </si>
  <si>
    <r>
      <t>高压电缆产线中拉丝工序铜产量，单位为t</t>
    </r>
  </si>
  <si>
    <r>
      <t>q线缆-高压电缆-拉丝Al-电</t>
    </r>
  </si>
  <si>
    <r>
      <t>高压电缆产线中拉丝工序单位铝电耗，单位为kWh/t</t>
    </r>
  </si>
  <si>
    <r>
      <t>高压电缆产线中拉丝工序铝产量，单位为t</t>
    </r>
  </si>
  <si>
    <r>
      <t>q线缆-高压电缆-交联-电</t>
    </r>
  </si>
  <si>
    <r>
      <t>高压电缆产线中交联工序单位产品电耗，单位为kWh/km*mm2</t>
    </r>
  </si>
  <si>
    <r>
      <t>高压电缆产线中交联工序电能源消费量，单位kWh</t>
    </r>
  </si>
  <si>
    <r>
      <t>高压电缆产线中交联工序产品产量，单位为km*mm2</t>
    </r>
  </si>
  <si>
    <r>
      <t>q线缆-中压电缆-拉丝Cu-电</t>
    </r>
  </si>
  <si>
    <r>
      <t>中压电缆产线中拉丝工序单位铜电耗，单位为kWh/t</t>
    </r>
  </si>
  <si>
    <r>
      <t>中压电缆产线中拉丝工序电能源消费量，单位kWh</t>
    </r>
  </si>
  <si>
    <r>
      <t>中压电缆产线中拉丝工序铜产量，单位为t</t>
    </r>
  </si>
  <si>
    <r>
      <t>q线缆-中压电缆-拉丝Al-电</t>
    </r>
  </si>
  <si>
    <r>
      <t>中压电缆产线中拉丝工序单位铝电耗，单位为kWh/t</t>
    </r>
  </si>
  <si>
    <r>
      <t>中压电缆产线中拉丝工序铝产量，单位为t</t>
    </r>
  </si>
  <si>
    <r>
      <t>q线缆-中压电缆-交联-电</t>
    </r>
  </si>
  <si>
    <r>
      <t>中压电缆产线中交联工序单位产品电耗，单位为kWh/km*mm2</t>
    </r>
  </si>
  <si>
    <r>
      <t>中压电缆产线中交联工序电能源消费量，单位kWh</t>
    </r>
  </si>
  <si>
    <r>
      <t>中压电缆产线中交联工序产品产量，单位为km*mm2</t>
    </r>
  </si>
  <si>
    <r>
      <t>q线缆-低压电缆-拉丝Cu-电</t>
    </r>
  </si>
  <si>
    <r>
      <t>低压电缆产线中拉丝工序单位铜电耗，单位为kWh/t</t>
    </r>
  </si>
  <si>
    <r>
      <t>低压电缆产线中拉丝工序电能源消费量，单位kWh</t>
    </r>
  </si>
  <si>
    <r>
      <t>低压电缆产线中拉丝工序铜产量，单位为t</t>
    </r>
  </si>
  <si>
    <r>
      <t>q线缆-低压电缆-拉丝Al-电</t>
    </r>
  </si>
  <si>
    <r>
      <t>低压电缆产线中拉丝工序单位铝电耗，单位为kWh/t</t>
    </r>
  </si>
  <si>
    <r>
      <t>低压电缆产线中拉丝工序铝产量，单位为t</t>
    </r>
  </si>
  <si>
    <r>
      <t>q线缆-特种电缆-拉丝Cu-电</t>
    </r>
  </si>
  <si>
    <r>
      <t>特种电缆产线中拉丝工序单位铜电耗，单位为kWh/t</t>
    </r>
  </si>
  <si>
    <r>
      <t>特种电缆产线中拉丝工序电能源消费量，单位kWh</t>
    </r>
  </si>
  <si>
    <r>
      <t>特种电缆产线中拉丝工序铜产量，单位为t</t>
    </r>
  </si>
  <si>
    <r>
      <t>q线缆-特种电缆-拉丝Al-电</t>
    </r>
  </si>
  <si>
    <r>
      <t>特种电缆产线中拉丝工序单位铝电耗，单位为kWh/t</t>
    </r>
  </si>
  <si>
    <r>
      <t>特种电缆产线中拉丝工序铝产量，单位为t</t>
    </r>
  </si>
  <si>
    <r>
      <t>q线缆-装备电缆-拉丝Cu-电</t>
    </r>
  </si>
  <si>
    <r>
      <t>装备电缆产线中拉丝工序单位铜电耗，单位为kWh/t</t>
    </r>
  </si>
  <si>
    <r>
      <t>装备电缆产线中拉丝工序电能源消费量，单位kWh</t>
    </r>
  </si>
  <si>
    <r>
      <t>装备电缆产线中拉丝工序铜产量，单位为t</t>
    </r>
  </si>
  <si>
    <r>
      <t>q线缆-装备电缆-拉丝Al-电</t>
    </r>
  </si>
  <si>
    <r>
      <t>装备电缆产线中拉丝工序单位铝电耗，单位为kWh/t</t>
    </r>
  </si>
  <si>
    <r>
      <t>装备电缆产线中拉丝工序铝产量，单位为t</t>
    </r>
  </si>
  <si>
    <r>
      <t>q线缆-橡套电缆-拉丝Cu-电</t>
    </r>
  </si>
  <si>
    <r>
      <t>橡套电缆产线中拉丝工序单位铜电耗，单位为kWh/t</t>
    </r>
  </si>
  <si>
    <r>
      <t>橡套电缆产线中拉丝工序电能源消费量，单位kWh</t>
    </r>
  </si>
  <si>
    <r>
      <t>橡套电缆产线中拉丝工序铜产量，单位为t</t>
    </r>
  </si>
  <si>
    <r>
      <t>q线缆-橡套电缆-拉丝Al-电</t>
    </r>
  </si>
  <si>
    <r>
      <t>橡套电缆产线中拉丝工序单位铝电耗，单位为kWh/t</t>
    </r>
  </si>
  <si>
    <r>
      <t>橡套电缆产线中拉丝工序铝产量，单位为t</t>
    </r>
  </si>
  <si>
    <r>
      <t>e变-特高压-器身干燥</t>
    </r>
  </si>
  <si>
    <r>
      <t>变压器特高压产线器身干燥工序单位产品能耗，单位为tce/万kVA</t>
    </r>
  </si>
  <si>
    <r>
      <t>分子·能源消费量（综合能源）</t>
    </r>
  </si>
  <si>
    <r>
      <t>变压器特高压产线器身干燥工序综合能源消费量，单位tce</t>
    </r>
  </si>
  <si>
    <r>
      <t>变压器特高压产线器身干燥工序产品产量，单位为万kVA</t>
    </r>
  </si>
  <si>
    <r>
      <t>q变-特高压-器身干燥-电</t>
    </r>
  </si>
  <si>
    <r>
      <t>变压器特高压产线器身干燥工序中单位产品电耗，单位为kWh/万kVA</t>
    </r>
  </si>
  <si>
    <r>
      <t>变压器特高压产线器身干燥工序中电能源消费量，单位kWh</t>
    </r>
  </si>
  <si>
    <r>
      <t>q变-特高压-器身干燥-蒸汽</t>
    </r>
  </si>
  <si>
    <r>
      <t>产品蒸汽耗</t>
    </r>
  </si>
  <si>
    <r>
      <t>变压器特高压产线器身干燥工序中单位产品蒸汽耗，单位为t/万kVA</t>
    </r>
  </si>
  <si>
    <r>
      <t>分子·能源消费量（蒸汽）</t>
    </r>
  </si>
  <si>
    <r>
      <t>变压器特高压产线器身干燥工序中蒸汽能源消费量，单位t</t>
    </r>
  </si>
  <si>
    <r>
      <t>e变-特高压-试验</t>
    </r>
  </si>
  <si>
    <r>
      <t>变压器特高压产线试验工序单位产品能耗，单位为tce/万kVA</t>
    </r>
  </si>
  <si>
    <r>
      <t>变压器特高压产线试验工序综合能源消费量，单位tce</t>
    </r>
  </si>
  <si>
    <r>
      <t>变压器特高压产线试验工序产品产量，单位为万kVA</t>
    </r>
  </si>
  <si>
    <r>
      <t>q变-特高压-试验-电</t>
    </r>
  </si>
  <si>
    <r>
      <t>变压器特高压产线试验工序中单位产品电耗，单位为kWh/万kVA</t>
    </r>
  </si>
  <si>
    <r>
      <t>变压器特高压产线试验工序中电能源消费量，单位kWh</t>
    </r>
  </si>
  <si>
    <r>
      <t>e变-超高压-器身干燥</t>
    </r>
  </si>
  <si>
    <r>
      <t>变压器超高压产线器身干燥工序单位产品能耗，单位为tce/万kVA</t>
    </r>
  </si>
  <si>
    <r>
      <t>变压器超高压产线器身干燥工序综合能源消费量，单位tce</t>
    </r>
  </si>
  <si>
    <r>
      <t>变压器超高压产线器身干燥工序产品产量，单位为万kVA</t>
    </r>
  </si>
  <si>
    <r>
      <t>q变-超高压-器身干燥-电</t>
    </r>
  </si>
  <si>
    <r>
      <t>变压器超高压产线器身干燥工序中单位产品电耗，单位为kWh/万kVA</t>
    </r>
  </si>
  <si>
    <r>
      <t>变压器超高压产线器身干燥工序中电能源消费量，单位kWh</t>
    </r>
  </si>
  <si>
    <r>
      <t>q变-超高压-器身干燥-蒸汽</t>
    </r>
  </si>
  <si>
    <r>
      <t>变压器超高压产线器身干燥工序中单位产品蒸汽耗，单位为t/万kVA</t>
    </r>
  </si>
  <si>
    <r>
      <t>变压器超高压产线器身干燥工序中蒸汽能源消费量，单位t</t>
    </r>
  </si>
  <si>
    <r>
      <t>e变-超高压-试验</t>
    </r>
  </si>
  <si>
    <r>
      <t>变压器超高压产线试验工序单位产品能耗，单位为tce/万kVA</t>
    </r>
  </si>
  <si>
    <r>
      <t>变压器超高压产线试验工序综合能源消费量，单位tce</t>
    </r>
  </si>
  <si>
    <r>
      <t>变压器超高压产线试验工序产品产量，单位为万kVA</t>
    </r>
  </si>
  <si>
    <r>
      <t>q变-超高压-试验-电</t>
    </r>
  </si>
  <si>
    <r>
      <t>变压器超高压产线试验工序中单位产品电耗，单位为kWh/万kVA</t>
    </r>
  </si>
  <si>
    <r>
      <t>变压器超高压产线试验工序中电能源消费量，单位kWh</t>
    </r>
  </si>
  <si>
    <r>
      <t>e变-高压-器身干燥</t>
    </r>
  </si>
  <si>
    <r>
      <t>变压器高压产线器身干燥工序单位产品能耗，单位为tce/万kVA</t>
    </r>
  </si>
  <si>
    <r>
      <t>变压器高压产线器身干燥工序综合能源消费量，单位tce</t>
    </r>
  </si>
  <si>
    <r>
      <t>变压器高压产线器身干燥工序产品产量，单位为万kVA</t>
    </r>
  </si>
  <si>
    <r>
      <t>q变-高压-器身干燥-电</t>
    </r>
  </si>
  <si>
    <r>
      <t>变压器高压产线器身干燥工序中单位产品电耗，单位为kWh/万kVA</t>
    </r>
  </si>
  <si>
    <r>
      <t>变压器高压产线器身干燥工序中电能源消费量，单位kWh</t>
    </r>
  </si>
  <si>
    <r>
      <t>q变-高压-器身干燥-蒸汽</t>
    </r>
  </si>
  <si>
    <r>
      <t>变压器高压产线器身干燥工序中单位产品蒸汽耗，单位为t/万kVA</t>
    </r>
  </si>
  <si>
    <r>
      <t>变压器高压产线器身干燥工序中蒸汽能源消费量，单位t</t>
    </r>
  </si>
  <si>
    <r>
      <t>e变-高压-试验</t>
    </r>
  </si>
  <si>
    <r>
      <t>变压器高压产线试验工序单位产品能耗，单位为tce/万kVA</t>
    </r>
  </si>
  <si>
    <r>
      <t>变压器高压产线试验工序综合能源消费量，单位tce</t>
    </r>
  </si>
  <si>
    <r>
      <t>变压器高压产线试验工序产品产量，单位为万kVA</t>
    </r>
  </si>
  <si>
    <r>
      <t>q变-高压-试验-电</t>
    </r>
  </si>
  <si>
    <r>
      <t>变压器高压产线试验工序中单位产品电耗，单位为kWh/万kVA</t>
    </r>
  </si>
  <si>
    <r>
      <t>变压器高压产线试验工序中电能源消费量，单位kWh</t>
    </r>
  </si>
  <si>
    <r>
      <t>e变-配变箱变-器身干燥</t>
    </r>
  </si>
  <si>
    <r>
      <t>变压器配变箱变产线器身干燥工序单位产品能耗，单位为tce/万kVA</t>
    </r>
  </si>
  <si>
    <r>
      <t>变压器配变箱变产线器身干燥工序综合能源消费量，单位tce</t>
    </r>
  </si>
  <si>
    <r>
      <t>变压器配变箱变产线器身干燥工序产品产量，单位为万kVA</t>
    </r>
  </si>
  <si>
    <r>
      <t>q变-配变箱变-器身干燥-电</t>
    </r>
  </si>
  <si>
    <r>
      <t>变压器配变箱变产线器身干燥工序中单位产品电耗，单位为kWh/万kVA</t>
    </r>
  </si>
  <si>
    <r>
      <t>变压器配变箱变产线器身干燥工序中电能源消费量，单位kWh</t>
    </r>
  </si>
  <si>
    <r>
      <t>e变-配变箱变-试验</t>
    </r>
  </si>
  <si>
    <r>
      <t>变压器配变箱变产线试验工序单位产品能耗，单位为tce/万kVA</t>
    </r>
  </si>
  <si>
    <r>
      <t>变压器配变箱变产线试验工序综合能源消费量，单位tce</t>
    </r>
  </si>
  <si>
    <r>
      <t>变压器配变箱变产线试验工序产品产量，单位为万kVA</t>
    </r>
  </si>
  <si>
    <r>
      <t>q变-配变箱变-试验-电</t>
    </r>
  </si>
  <si>
    <r>
      <t>变压器配变箱变产线试验工序中单位产品电耗，单位为kWh/万kVA</t>
    </r>
  </si>
  <si>
    <r>
      <t>变压器配变箱变产线试验工序中电能源消费量，单位kWh</t>
    </r>
  </si>
  <si>
    <r>
      <t>e变-配变中特-器身干燥</t>
    </r>
  </si>
  <si>
    <r>
      <t>变压器配变中特产线器身干燥工序单位产品能耗，单位为tce/万kVA</t>
    </r>
  </si>
  <si>
    <r>
      <t>变压器配变中特产线器身干燥工序综合能源消费量，单位tce</t>
    </r>
  </si>
  <si>
    <r>
      <t>变压器配变中特产线器身干燥工序产品产量，单位为万kVA</t>
    </r>
  </si>
  <si>
    <r>
      <t>q变-配变中特-器身干燥-电</t>
    </r>
  </si>
  <si>
    <r>
      <t>变压器配变中特产线器身干燥工序中单位产品电耗，单位为kWh/万kVA</t>
    </r>
  </si>
  <si>
    <r>
      <t>变压器配变中特产线器身干燥工序中电能源消费量，单位kWh</t>
    </r>
  </si>
  <si>
    <r>
      <t>e变-配变中特-试验</t>
    </r>
  </si>
  <si>
    <r>
      <t>变压器配变中特产线试验工序单位产品能耗，单位为tce/万kVA</t>
    </r>
  </si>
  <si>
    <r>
      <t>变压器配变中特产线试验工序综合能源消费量，单位tce</t>
    </r>
  </si>
  <si>
    <r>
      <t>变压器配变中特产线试验工序产品产量，单位为万kVA</t>
    </r>
  </si>
  <si>
    <r>
      <t>q变-配变中特-试验-电</t>
    </r>
  </si>
  <si>
    <r>
      <t>变压器配变中特产线试验工序中单位产品电耗，单位为kWh/万kVA</t>
    </r>
  </si>
  <si>
    <r>
      <t>变压器配变中特产线试验工序中电能源消费量，单位kWh</t>
    </r>
  </si>
  <si>
    <r>
      <t>e变-配变油变-器身干燥</t>
    </r>
  </si>
  <si>
    <r>
      <t>变压器配变油变产线器身干燥工序单位产品能耗，单位为tce/万kVA</t>
    </r>
  </si>
  <si>
    <r>
      <t>变压器配变油变产线器身干燥工序综合能源消费量，单位tce</t>
    </r>
  </si>
  <si>
    <r>
      <t>变压器配变油变产线器身干燥工序产品产量，单位为万kVA</t>
    </r>
  </si>
  <si>
    <r>
      <t>q变-配变油变-器身干燥-电</t>
    </r>
  </si>
  <si>
    <r>
      <t>变压器配变油变产线器身干燥工序中单位产品电耗，单位为kWh/万kVA</t>
    </r>
  </si>
  <si>
    <r>
      <t>变压器配变油变产线器身干燥工序中电能源消费量，单位kWh</t>
    </r>
  </si>
  <si>
    <r>
      <t>e变-配变油变-试验</t>
    </r>
  </si>
  <si>
    <r>
      <t>变压器配变油变产线试验工序单位产品能耗，单位为tce/万kVA</t>
    </r>
  </si>
  <si>
    <r>
      <t>变压器配变油变产线试验工序综合能源消费量，单位tce</t>
    </r>
  </si>
  <si>
    <r>
      <t>变压器配变油变产线试验工序产品产量，单位为万kVA</t>
    </r>
  </si>
  <si>
    <r>
      <t>q变-配变油变-试验-电</t>
    </r>
  </si>
  <si>
    <r>
      <t>变压器配变油变产线试验工序中单位产品电耗，单位为kWh/万kVA</t>
    </r>
  </si>
  <si>
    <r>
      <t>变压器配变油变产线试验工序中电能源消费量，单位kWh</t>
    </r>
  </si>
  <si>
    <r>
      <t>e变-配变干变-浇注固化</t>
    </r>
  </si>
  <si>
    <r>
      <t>变压器配变干变产线浇注固化工序单位产品能耗，单位为tce/万kVA</t>
    </r>
  </si>
  <si>
    <r>
      <t>变压器配变干变产线浇注固化工序综合能源消费量，单位tce</t>
    </r>
  </si>
  <si>
    <r>
      <t>变压器配变干变产线浇注固化工序产品产量，单位为万kVA</t>
    </r>
  </si>
  <si>
    <r>
      <t>q变-配变干变-浇注固化-电</t>
    </r>
  </si>
  <si>
    <r>
      <t>变压器配变干变产线浇注固化工序中单位产品电耗，单位为kWh/万kVA</t>
    </r>
  </si>
  <si>
    <r>
      <t>变压器配变干变产线浇注固化工序中电能源消费量，单位kWh</t>
    </r>
  </si>
  <si>
    <r>
      <t>e变-配变干变-试验</t>
    </r>
  </si>
  <si>
    <r>
      <t>变压器配变干变产线试验工序单位产品能耗，单位为tce/万kVA</t>
    </r>
  </si>
  <si>
    <r>
      <t>变压器配变干变产线试验工序综合能源消费量，单位tce</t>
    </r>
  </si>
  <si>
    <r>
      <t>变压器配变干变产线试验工序产品产量，单位为万kVA</t>
    </r>
  </si>
  <si>
    <r>
      <t>q变-配变干变-试验-电</t>
    </r>
  </si>
  <si>
    <r>
      <t>变压器配变干变产线试验工序中单位产品电耗，单位为kWh/万kVA</t>
    </r>
  </si>
  <si>
    <r>
      <t>变压器配变干变产线试验工序中电能源消费量，单位kWh</t>
    </r>
  </si>
  <si>
    <r>
      <t>u柜-加工-电</t>
    </r>
  </si>
  <si>
    <r>
      <t>产值电耗</t>
    </r>
  </si>
  <si>
    <r>
      <t>中低压开关柜钣金加工工序中单位产值电耗，单位为kWh/万元</t>
    </r>
  </si>
  <si>
    <r>
      <t>中低压开关柜钣金加工工序中电能源消费量，单位kWh</t>
    </r>
  </si>
  <si>
    <r>
      <t>中低压开关柜钣金加工工序产品产值，单位为万元</t>
    </r>
  </si>
  <si>
    <r>
      <t>u柜-喷涂-电</t>
    </r>
  </si>
  <si>
    <r>
      <t>产品产值电耗</t>
    </r>
  </si>
  <si>
    <r>
      <t>中低压开关柜钣金喷涂工序中单位产品产值电耗，单位为kWh/万元</t>
    </r>
  </si>
  <si>
    <r>
      <t>中低压开关柜钣金喷涂工序中电能源消费量，单位kWh</t>
    </r>
  </si>
  <si>
    <r>
      <t>中低压开关柜钣金喷涂工序产品产值，单位为万元</t>
    </r>
  </si>
  <si>
    <r>
      <t>u套-干燥-电</t>
    </r>
  </si>
  <si>
    <r>
      <t>套管干燥工序单位产值电耗，单位为kWh/万元</t>
    </r>
  </si>
  <si>
    <r>
      <t>套管干燥工序电能源消费量，单位kWh</t>
    </r>
  </si>
  <si>
    <r>
      <t>套管干燥工序产品产值，单位为万元</t>
    </r>
  </si>
  <si>
    <r>
      <t>u套-卷制-电</t>
    </r>
  </si>
  <si>
    <r>
      <t>套管卷制工序单位产值电耗，单位为kWh/万元</t>
    </r>
  </si>
  <si>
    <r>
      <t>套管卷制工序电能源消费量，单位kWh</t>
    </r>
  </si>
  <si>
    <r>
      <t>套管卷制工序产品产值，单位为万元</t>
    </r>
  </si>
  <si>
    <r>
      <t>u套-试验-电</t>
    </r>
  </si>
  <si>
    <r>
      <t>套管试验工序单位产值电耗，单位为kWh/万元</t>
    </r>
  </si>
  <si>
    <r>
      <t>套管试验工序电能源消费量，单位kWh</t>
    </r>
  </si>
  <si>
    <r>
      <t>套管试验工序产品产值，单位为万元</t>
    </r>
  </si>
  <si>
    <r>
      <t>g互-干燥</t>
    </r>
  </si>
  <si>
    <r>
      <t>互感器干燥工序单位产值能耗，单位为tce/万元</t>
    </r>
  </si>
  <si>
    <r>
      <t>互感器干燥工序综合能源消费量，单位tce</t>
    </r>
  </si>
  <si>
    <r>
      <t>互感器干燥工序产品产值，单位为万元</t>
    </r>
  </si>
  <si>
    <r>
      <t>u互-干燥-电</t>
    </r>
  </si>
  <si>
    <r>
      <t>互感器干燥工序单位产值电耗，单位为kWh/万元</t>
    </r>
  </si>
  <si>
    <r>
      <t>互感器干燥工序电能源消费量，单位kWh</t>
    </r>
  </si>
  <si>
    <r>
      <t>u互-干燥-蒸汽</t>
    </r>
  </si>
  <si>
    <r>
      <t>产值蒸汽消耗</t>
    </r>
  </si>
  <si>
    <r>
      <t>互感器干燥工序单位产值蒸汽消耗，单位为t/万元</t>
    </r>
  </si>
  <si>
    <r>
      <t>互感器干燥工序蒸汽能源消费量，单位t</t>
    </r>
  </si>
  <si>
    <r>
      <t>u互-试验-电</t>
    </r>
  </si>
  <si>
    <r>
      <t>互感器试验工序单位产值电耗，单位为kWh/万元</t>
    </r>
  </si>
  <si>
    <r>
      <t>互感器试验工序电能源消费量，单位kWh</t>
    </r>
  </si>
  <si>
    <r>
      <t>互感器试验工序产品产值，单位为万元</t>
    </r>
  </si>
  <si>
    <r>
      <t>u二次-贴片-电</t>
    </r>
  </si>
  <si>
    <r>
      <t>二次-SMT贴片工序单位产值电耗，单位为kWh/万元</t>
    </r>
  </si>
  <si>
    <r>
      <t>二次-SMT贴片工序电能源消费量，单位kWh</t>
    </r>
  </si>
  <si>
    <r>
      <t>二次-SMT贴片工序产品产值，单位为万元</t>
    </r>
  </si>
  <si>
    <r>
      <t>u二次-高温-电</t>
    </r>
  </si>
  <si>
    <r>
      <t>二次-高温老化工序单位产值电耗，单位为kWh/万元</t>
    </r>
  </si>
  <si>
    <r>
      <t>二次-高温老化工序电能源消费量，单位kWh</t>
    </r>
  </si>
  <si>
    <r>
      <t>二次-高温老化工序产品产值，单位为万元</t>
    </r>
  </si>
  <si>
    <r>
      <t>u二次-波峰焊-电</t>
    </r>
  </si>
  <si>
    <r>
      <t>二次-波峰焊工序单位产值电耗，单位为kWh/万元</t>
    </r>
  </si>
  <si>
    <r>
      <t>二次-波峰焊工序电能源消费量，单位kWh</t>
    </r>
  </si>
  <si>
    <r>
      <t>二次-波峰焊工序产品产值，单位为万元</t>
    </r>
  </si>
  <si>
    <r>
      <t>q容-卷绕-电</t>
    </r>
  </si>
  <si>
    <r>
      <t>电容器芯子卷绕工序中单位产品电耗，单位为kWh/kvar</t>
    </r>
  </si>
  <si>
    <r>
      <t>电容器芯子卷绕工序中电能源消费量，单位kWh</t>
    </r>
  </si>
  <si>
    <r>
      <t>电容器芯子卷绕工序产品产量，单位为kvar</t>
    </r>
  </si>
  <si>
    <r>
      <t>q容-真空-电</t>
    </r>
  </si>
  <si>
    <r>
      <t>电容器真空浸渍工序中单位产品电耗，单位为kWh/kvar</t>
    </r>
  </si>
  <si>
    <r>
      <t>电容器真空浸渍工序中电能源消费量，单位kWh</t>
    </r>
  </si>
  <si>
    <r>
      <t>电容器真空浸渍工序产品产量，单位为kvar</t>
    </r>
  </si>
  <si>
    <r>
      <t>q容-喷漆-电</t>
    </r>
  </si>
  <si>
    <r>
      <t>电容器喷漆工序中单位产品电耗，单位为kWh/kvar</t>
    </r>
  </si>
  <si>
    <r>
      <t>电容器喷漆工序中电能源消费量，单位kWh</t>
    </r>
  </si>
  <si>
    <r>
      <t>电容器喷漆工序产品产量，单位为kvar</t>
    </r>
  </si>
  <si>
    <r>
      <t>q容-试验-电</t>
    </r>
  </si>
  <si>
    <r>
      <t>电容器试验工序中单位产品电耗，单位为kWh/kvar</t>
    </r>
  </si>
  <si>
    <r>
      <t>电容器试验工序中电能源消费量，单位kWh</t>
    </r>
  </si>
  <si>
    <r>
      <t>电容器试验工序产品产量，单位为kvar</t>
    </r>
  </si>
  <si>
    <r>
      <t>u抗-固化-电</t>
    </r>
  </si>
  <si>
    <r>
      <t>干式电抗器固化工序单位产值电耗，单位为kWh/万元</t>
    </r>
  </si>
  <si>
    <r>
      <t>干式电抗器固化工序电能源消费量，单位kWh</t>
    </r>
  </si>
  <si>
    <r>
      <t>干式电抗器固化工序产品产值，单位为万元</t>
    </r>
  </si>
  <si>
    <r>
      <t>u抗-试验-电</t>
    </r>
  </si>
  <si>
    <r>
      <t>干式电抗器试验工序单位产值电耗，单位为kWh/万元</t>
    </r>
  </si>
  <si>
    <r>
      <t>干式电抗器试验工序电能源消费量，单位kWh</t>
    </r>
  </si>
  <si>
    <r>
      <t>干式电抗器试验工序产品产值，单位为万元</t>
    </r>
  </si>
  <si>
    <r>
      <t>uGIL-螺旋焊管-电</t>
    </r>
  </si>
  <si>
    <r>
      <t>GIL螺旋焊管生产工序单位产值电耗，单位为kWh/万元</t>
    </r>
  </si>
  <si>
    <r>
      <t>GIL螺旋焊管生产工序电能源消费量，单位kWh</t>
    </r>
  </si>
  <si>
    <r>
      <t>GIL螺旋焊管生产工序产品产值，单位为万元</t>
    </r>
  </si>
  <si>
    <r>
      <t>uGIL-测试-电</t>
    </r>
  </si>
  <si>
    <r>
      <t>GIL测试工序单位产值电耗，单位为kWh/万元</t>
    </r>
  </si>
  <si>
    <r>
      <t>GIL测试工序电能源消费量，单位kWh</t>
    </r>
  </si>
  <si>
    <r>
      <t>GIL测试工序产品产值，单位为万元</t>
    </r>
  </si>
  <si>
    <r>
      <t>uGIL-绝缘-电</t>
    </r>
  </si>
  <si>
    <r>
      <t>GIL绝缘子生产工序单位产值电耗，单位为kWh/万元</t>
    </r>
  </si>
  <si>
    <r>
      <t>GIL绝缘子生产工序电能源消费量，单位kWh</t>
    </r>
  </si>
  <si>
    <r>
      <t>GIL绝缘子生产工序产品产值，单位为万元</t>
    </r>
  </si>
  <si>
    <r>
      <t>uGIS-真空-电</t>
    </r>
  </si>
  <si>
    <r>
      <t>GIS抽真空工序单位产值电耗，单位为kWh/万元</t>
    </r>
  </si>
  <si>
    <r>
      <t>GIS抽真空工序电能源消费量，单位kWh</t>
    </r>
  </si>
  <si>
    <r>
      <t>GIS抽真空工序产品产值，单位为万元</t>
    </r>
  </si>
  <si>
    <r>
      <t>uGIS-干燥-电</t>
    </r>
  </si>
  <si>
    <r>
      <t>GIS绝缘件干燥工序单位产值电耗，单位为kWh/万元</t>
    </r>
  </si>
  <si>
    <r>
      <t>GIS绝缘件干燥工序电能源消费量，单位kWh</t>
    </r>
  </si>
  <si>
    <r>
      <t>GIS绝缘件干燥工序产品产值，单位为万元</t>
    </r>
  </si>
  <si>
    <r>
      <t>uGIS-试验-电</t>
    </r>
  </si>
  <si>
    <r>
      <t>GIS工频耐压试验工序单位产值电耗，单位为kWh/万元</t>
    </r>
  </si>
  <si>
    <r>
      <t>GIS工频耐压试验工序电能源消费量，单位kWh</t>
    </r>
  </si>
  <si>
    <r>
      <t>GIS工频耐压试验工序产品产值，单位为万元</t>
    </r>
  </si>
  <si>
    <r>
      <t>uGIS-除湿-电</t>
    </r>
  </si>
  <si>
    <r>
      <t>GIS空调恒温除湿工序单位产值电耗，单位为kWh/万元</t>
    </r>
  </si>
  <si>
    <r>
      <t>GIS空调恒温除湿工序电能源消费量，单位kWh</t>
    </r>
  </si>
  <si>
    <r>
      <t>GIS空调恒温除湿工序产品产值，单位为万元</t>
    </r>
  </si>
  <si>
    <r>
      <t>q非晶-退火-电</t>
    </r>
  </si>
  <si>
    <r>
      <t>非晶合金铁心退火工序中单位产品电耗，单位为kWh/t</t>
    </r>
  </si>
  <si>
    <r>
      <t>非晶合金铁心退火工序中电能源消费量，单位kWh</t>
    </r>
  </si>
  <si>
    <r>
      <t>非晶合金铁心退火工序产品产量，单位为t</t>
    </r>
  </si>
  <si>
    <r>
      <t>q硅钢-纵剪-电</t>
    </r>
  </si>
  <si>
    <r>
      <t>硅钢铁心纵剪工序中单位产品电耗，单位为kWh/t</t>
    </r>
  </si>
  <si>
    <r>
      <t>硅钢铁心纵剪工序中电能源消费量，单位kWh</t>
    </r>
  </si>
  <si>
    <r>
      <t>硅钢铁心纵剪工序产品产量，单位为t</t>
    </r>
  </si>
  <si>
    <r>
      <t>q硅钢-中型叠装-电</t>
    </r>
  </si>
  <si>
    <r>
      <t>硅钢铁心中型叠装工序中单位产品电耗，单位为kWh/t</t>
    </r>
  </si>
  <si>
    <r>
      <t>硅钢铁心中型叠装工序中电能源消费量，单位kWh</t>
    </r>
  </si>
  <si>
    <r>
      <t>硅钢铁心中型叠装工序产品产量，单位为t</t>
    </r>
  </si>
  <si>
    <r>
      <t>q硅钢-大型叠装-电</t>
    </r>
  </si>
  <si>
    <r>
      <t>硅钢铁心大型叠装工序中单位产品电耗，单位为kWh/t</t>
    </r>
  </si>
  <si>
    <r>
      <t>硅钢铁心大型叠装工序中电能源消费量，单位kWh</t>
    </r>
  </si>
  <si>
    <r>
      <t>硅钢铁心大型叠装工序产品产量，单位为t</t>
    </r>
  </si>
  <si>
    <r>
      <t>05 · 工序数据项矩阵（最小颗粒度展开对照）</t>
    </r>
  </si>
  <si>
    <r>
      <t>共 51 个「产线 × 工序」组合。</t>
    </r>
  </si>
  <si>
    <r>
      <t>产线</t>
    </r>
  </si>
  <si>
    <r>
      <t>工序</t>
    </r>
  </si>
  <si>
    <r>
      <t>电力消费量 编码</t>
    </r>
  </si>
  <si>
    <r>
      <t>蒸汽消费量 编码</t>
    </r>
  </si>
  <si>
    <r>
      <t>综合能源消费量 编码</t>
    </r>
  </si>
  <si>
    <r>
      <t>产品产量 编码</t>
    </r>
  </si>
  <si>
    <r>
      <t>产品产值 编码</t>
    </r>
  </si>
  <si>
    <r>
      <t>电力消费量 单位</t>
    </r>
  </si>
  <si>
    <r>
      <t>蒸汽消费量 单位</t>
    </r>
  </si>
  <si>
    <r>
      <t>综合能源消费量 单位</t>
    </r>
  </si>
  <si>
    <r>
      <t>产品产量 单位</t>
    </r>
  </si>
  <si>
    <r>
      <t>产品产值 单位</t>
    </r>
  </si>
  <si>
    <r>
      <t>关联指标</t>
    </r>
  </si>
  <si>
    <r>
      <t>IND-071、IND-072、IND-073</t>
    </r>
  </si>
  <si>
    <r>
      <t>IND-035、IND-036、IND-037</t>
    </r>
  </si>
  <si>
    <r>
      <t>IND-038、IND-039</t>
    </r>
  </si>
  <si>
    <r>
      <t>IND-040、IND-041、IND-042</t>
    </r>
  </si>
  <si>
    <r>
      <t>IND-043、IND-044</t>
    </r>
  </si>
  <si>
    <r>
      <t>IND-054、IND-055</t>
    </r>
  </si>
  <si>
    <r>
      <t>IND-056、IND-057</t>
    </r>
  </si>
  <si>
    <r>
      <t>IND-062、IND-063</t>
    </r>
  </si>
  <si>
    <r>
      <t>IND-064、IND-065</t>
    </r>
  </si>
  <si>
    <r>
      <t>IND-058、IND-059</t>
    </r>
  </si>
  <si>
    <r>
      <t>IND-060、IND-061</t>
    </r>
  </si>
  <si>
    <r>
      <t>IND-050、IND-051</t>
    </r>
  </si>
  <si>
    <r>
      <t>IND-052、IND-053</t>
    </r>
  </si>
  <si>
    <r>
      <t>IND-045、IND-046、IND-047</t>
    </r>
  </si>
  <si>
    <r>
      <t>IND-048、IND-049</t>
    </r>
  </si>
  <si>
    <r>
      <t>06 · 数据源清单</t>
    </r>
  </si>
  <si>
    <r>
      <t>共 12 个数据源。工序级数据项的来源系统与责任方见「02-基础参数表」对应行。</t>
    </r>
  </si>
  <si>
    <r>
      <t>数据源编码</t>
    </r>
  </si>
  <si>
    <r>
      <t>数据源系统 / 部门</t>
    </r>
  </si>
  <si>
    <r>
      <t>提供方</t>
    </r>
  </si>
  <si>
    <r>
      <t>提供数据内容</t>
    </r>
  </si>
  <si>
    <r>
      <t>对接方式</t>
    </r>
  </si>
  <si>
    <r>
      <t>数据频率</t>
    </r>
  </si>
  <si>
    <r>
      <t>责任方</t>
    </r>
  </si>
  <si>
    <r>
      <t>SRC-01</t>
    </r>
  </si>
  <si>
    <r>
      <t>集控中心（能碳管控平台）</t>
    </r>
  </si>
  <si>
    <r>
      <t>电装（集团）</t>
    </r>
  </si>
  <si>
    <r>
      <t>各能源品种计量数据、能耗指标计算结果、手工录入数据（绿电 / 绿证、工业增加值、用水量、装备台账）</t>
    </r>
  </si>
  <si>
    <r>
      <t>平台内部</t>
    </r>
  </si>
  <si>
    <r>
      <t>指标计算与展示主平台，集控类指标的权威数据源</t>
    </r>
  </si>
  <si>
    <r>
      <t>SRC-02</t>
    </r>
  </si>
  <si>
    <r>
      <t>产品碳足迹值、开展碳足迹分析的产品种类明细、生产-能源绑定关系</t>
    </r>
  </si>
  <si>
    <r>
      <t>支撑 IND-001、IND-002，并回流绑定关系至集控中心</t>
    </r>
  </si>
  <si>
    <r>
      <t>SRC-03</t>
    </r>
  </si>
  <si>
    <r>
      <t>关键工序、车间用能数据（电 / 蒸汽 / 天然气 / 热力）</t>
    </r>
  </si>
  <si>
    <r>
      <t>边缘采集 → 集控中心</t>
    </r>
  </si>
  <si>
    <r>
      <t>工序级指标的唯一数据入口，需完成部署与联调</t>
    </r>
  </si>
  <si>
    <r>
      <t>SRC-04</t>
    </r>
  </si>
  <si>
    <r>
      <t>产品型号、产品种类、订单产量、入库公里数与截面、物料数据、生产工单、主要产品类别总数</t>
    </r>
  </si>
  <si>
    <r>
      <t>标准接口</t>
    </r>
  </si>
  <si>
    <r>
      <t>日 / 月度</t>
    </r>
  </si>
  <si>
    <r>
      <t>各项目公司 / 电装信息化</t>
    </r>
  </si>
  <si>
    <r>
      <t>产量与产品主数据的来源</t>
    </r>
  </si>
  <si>
    <r>
      <t>SRC-05</t>
    </r>
  </si>
  <si>
    <r>
      <t>部分项目公司</t>
    </r>
  </si>
  <si>
    <r>
      <t>生产工单、工序产量、工序产值（如 GIS 抽真空 / 干燥 / 试验 / 除湿工序产值）</t>
    </r>
  </si>
  <si>
    <r>
      <t>SRC-06</t>
    </r>
  </si>
  <si>
    <r>
      <t>线缆产值（颗粒度到产线）</t>
    </r>
  </si>
  <si>
    <r>
      <t>IND-010 单位产值能耗的分母来源之一</t>
    </r>
  </si>
  <si>
    <r>
      <t>SRC-07</t>
    </r>
  </si>
  <si>
    <r>
      <t>变压器产值（颗粒度到项目公司）</t>
    </r>
  </si>
  <si>
    <r>
      <t>SRC-08</t>
    </r>
  </si>
  <si>
    <r>
      <t>集团</t>
    </r>
  </si>
  <si>
    <r>
      <t>组织主数据（经营单位 / 项目公司编码与名称、产业分类）</t>
    </r>
  </si>
  <si>
    <r>
      <t>组织维度的统一口径</t>
    </r>
  </si>
  <si>
    <r>
      <t>SRC-09</t>
    </r>
  </si>
  <si>
    <r>
      <t>绿电 / 绿证量、天然气 / 柴油 / 汽油 / 煤油（无法自动采集时）、工业增加值、用水量、节能装备台账</t>
    </r>
  </si>
  <si>
    <r>
      <t>月度 / 增量更新</t>
    </r>
  </si>
  <si>
    <r>
      <t>自动采集不覆盖项的手工兜底通道</t>
    </r>
  </si>
  <si>
    <r>
      <t>SRC-10</t>
    </r>
  </si>
  <si>
    <r>
      <t>省级电网 / 生态环境主管部门公布口径</t>
    </r>
  </si>
  <si>
    <r>
      <t>外部</t>
    </r>
  </si>
  <si>
    <r>
      <t>省级电力平均二氧化碳排放因子、所在省平均发电煤耗</t>
    </r>
  </si>
  <si>
    <r>
      <t>外部引用</t>
    </r>
  </si>
  <si>
    <r>
      <t>年度</t>
    </r>
  </si>
  <si>
    <r>
      <t>计算系数（FAC-002、FAC-009）的维护依据</t>
    </r>
  </si>
  <si>
    <r>
      <t>SRC-11</t>
    </r>
  </si>
  <si>
    <r>
      <t>项目公司能碳系统 / 能源管理系统（EMS）</t>
    </r>
  </si>
  <si>
    <r>
      <t>关口表电量（累计发电 / 市电 / 消纳 / 上网 / 负荷）、实时功率、分时电量、储能运行数据、重点设备用电与蒸汽数据、热泵与空调系统运行数据</t>
    </r>
  </si>
  <si>
    <r>
      <t>系统接入 → 集控中心</t>
    </r>
  </si>
  <si>
    <r>
      <t>实时（15 分钟）/ 日</t>
    </r>
  </si>
  <si>
    <r>
      <t>零碳园区集控中心域的主要数据入口，对应数据需求清单「项目公司能碳系统接入」</t>
    </r>
  </si>
  <si>
    <r>
      <t>SRC-12</t>
    </r>
  </si>
  <si>
    <r>
      <t>双中心系统界面（手工录入 / 批量导入）</t>
    </r>
  </si>
  <si>
    <r>
      <t>园区配置信息（光伏装机、变压器容量、储能装机、照片）、零碳项目信息、零碳关键事件、绿电与绿证量、能源费用、工业增加值、设备台账、重点设备额定负荷、热泵与空调服务面积</t>
    </r>
  </si>
  <si>
    <r>
      <t>界面录入 / 批量导入</t>
    </r>
  </si>
  <si>
    <r>
      <t>静态（变更时更新）/ 月度</t>
    </r>
  </si>
  <si>
    <r>
      <t>对应数据需求清单「双中心系统界面手动录入」，自动采集不覆盖的台账与交易类数据的兜底通道</t>
    </r>
  </si>
  <si>
    <r>
      <t>07 · 枚举字典</t>
    </r>
  </si>
  <si>
    <r>
      <t>共 185 条取值。产线、工序、物料等维度取值以此为准。</t>
    </r>
  </si>
  <si>
    <r>
      <t>字典编码</t>
    </r>
  </si>
  <si>
    <r>
      <t>字典名称</t>
    </r>
  </si>
  <si>
    <r>
      <t>取值说明</t>
    </r>
  </si>
  <si>
    <r>
      <t>关联参数编码</t>
    </r>
  </si>
  <si>
    <r>
      <t>ORG-01</t>
    </r>
  </si>
  <si>
    <r>
      <t>经营单位</t>
    </r>
  </si>
  <si>
    <r>
      <t>沈变</t>
    </r>
  </si>
  <si>
    <r>
      <t>集团下 6 家经营单位（产业板块级）</t>
    </r>
  </si>
  <si>
    <r>
      <t>ORG-001 经营单位编码 / ORG-002 经营单位名称</t>
    </r>
  </si>
  <si>
    <r>
      <t>各经营单位下辖多个项目公司</t>
    </r>
  </si>
  <si>
    <r>
      <t>衡变</t>
    </r>
  </si>
  <si>
    <r>
      <t>新变</t>
    </r>
  </si>
  <si>
    <r>
      <t>鲁缆</t>
    </r>
  </si>
  <si>
    <r>
      <t>德缆</t>
    </r>
  </si>
  <si>
    <r>
      <t>新缆</t>
    </r>
  </si>
  <si>
    <r>
      <t>ORG-02</t>
    </r>
  </si>
  <si>
    <r>
      <t>项目公司</t>
    </r>
  </si>
  <si>
    <r>
      <t>沈变：沈变本部、和新套管、康嘉互感器</t>
    </r>
  </si>
  <si>
    <r>
      <t>各经营单位下属项目公司清单（指标覆盖范围与上报主体）</t>
    </r>
  </si>
  <si>
    <r>
      <t>ORG-003 项目公司编码 / ORG-004 项目公司名称</t>
    </r>
  </si>
  <si>
    <r>
      <t>原表覆盖范围列口径，共 6 家经营单位、22 个项目公司</t>
    </r>
  </si>
  <si>
    <r>
      <t>衡变：衡变本部、南京电研、云集电气、湖南电气、云集高压开关、新疆自控、特能建、合容电气、赛杰爱迪</t>
    </r>
  </si>
  <si>
    <r>
      <t>新变：新变超高压公司、新变天变公司、新变智能电气、新变京津冀智能科技、珠峰硅钢</t>
    </r>
  </si>
  <si>
    <r>
      <t>鲁缆：鲁缆本部、曙光公司</t>
    </r>
  </si>
  <si>
    <r>
      <t>德缆：德缆公司</t>
    </r>
  </si>
  <si>
    <r>
      <t>新缆：新疆电缆公司、新疆线缆厂</t>
    </r>
  </si>
  <si>
    <r>
      <t>ORG-03</t>
    </r>
  </si>
  <si>
    <r>
      <t>变压器</t>
    </r>
  </si>
  <si>
    <r>
      <t>项目公司所属产业分类，决定纳入的指标与工序范围</t>
    </r>
  </si>
  <si>
    <r>
      <t>ORG-005 产业板块</t>
    </r>
  </si>
  <si>
    <r>
      <t>对应工序指标的分产业设置</t>
    </r>
  </si>
  <si>
    <r>
      <t>二次设备</t>
    </r>
  </si>
  <si>
    <r>
      <t>电容电抗</t>
    </r>
  </si>
  <si>
    <r>
      <t>线缆</t>
    </r>
  </si>
  <si>
    <r>
      <t>铁心</t>
    </r>
  </si>
  <si>
    <r>
      <t>MD-01</t>
    </r>
  </si>
  <si>
    <r>
      <t>关键工序指标按产线划分的口径</t>
    </r>
  </si>
  <si>
    <r>
      <t>来源于原表指标名称中的产线括注</t>
    </r>
  </si>
  <si>
    <r>
      <t>开关-中低压开关柜</t>
    </r>
  </si>
  <si>
    <r>
      <t>变压器-套管</t>
    </r>
  </si>
  <si>
    <r>
      <t>变压器-互感器</t>
    </r>
  </si>
  <si>
    <r>
      <t>电容电抗-电容</t>
    </r>
  </si>
  <si>
    <r>
      <t>电容电抗-干式电抗器</t>
    </r>
  </si>
  <si>
    <r>
      <t>变压器-非晶合金铁心</t>
    </r>
  </si>
  <si>
    <r>
      <t>变压器-硅钢铁心</t>
    </r>
  </si>
  <si>
    <r>
      <t>MD-02</t>
    </r>
  </si>
  <si>
    <r>
      <t>纳入能碳管控的高能耗关键工序</t>
    </r>
  </si>
  <si>
    <r>
      <t>MD-004 工序编码</t>
    </r>
  </si>
  <si>
    <r>
      <t>共 26 道工序，覆盖线缆、变压器、开关、套管、互感器、二次、电容电抗、GIL、GIS、铁心</t>
    </r>
  </si>
  <si>
    <r>
      <t>交联（干法）</t>
    </r>
  </si>
  <si>
    <r>
      <t>SMT 贴片</t>
    </r>
  </si>
  <si>
    <r>
      <t>EN-01</t>
    </r>
  </si>
  <si>
    <r>
      <t>能源品种</t>
    </r>
  </si>
  <si>
    <r>
      <t>电力（市电）</t>
    </r>
  </si>
  <si>
    <r>
      <t>参与能耗与碳排放核算的能源品种</t>
    </r>
  </si>
  <si>
    <r>
      <t>EN-001~EN-029 各能源消耗量</t>
    </r>
  </si>
  <si>
    <r>
      <t>电力折标煤时使用当量值；绿电、绿证单独标识</t>
    </r>
  </si>
  <si>
    <r>
      <t>电力（绿电）</t>
    </r>
  </si>
  <si>
    <r>
      <t>天然气</t>
    </r>
  </si>
  <si>
    <r>
      <t>蒸汽</t>
    </r>
  </si>
  <si>
    <r>
      <t>热力</t>
    </r>
  </si>
  <si>
    <r>
      <t>柴油</t>
    </r>
  </si>
  <si>
    <r>
      <t>汽油</t>
    </r>
  </si>
  <si>
    <r>
      <t>煤油</t>
    </r>
  </si>
  <si>
    <r>
      <t>水</t>
    </r>
  </si>
  <si>
    <r>
      <t>EN-02</t>
    </r>
  </si>
  <si>
    <r>
      <t>非化石能源电力来源</t>
    </r>
  </si>
  <si>
    <r>
      <t>自建新能源自发自用</t>
    </r>
  </si>
  <si>
    <r>
      <t>非化石能源电力消费的凭证类型，决定计入分子还是物理认定量</t>
    </r>
  </si>
  <si>
    <r>
      <t>EN-003 绿电消费量 / EN-004 绿证购入量 / EN-005 物理认定量</t>
    </r>
  </si>
  <si>
    <r>
      <t>交易绿电、绿证计入非化石能源消费占比分子；仅自建消纳与直连计入物理认定量占比</t>
    </r>
  </si>
  <si>
    <r>
      <t>绿电直连（非自建）</t>
    </r>
  </si>
  <si>
    <r>
      <t>购买绿电</t>
    </r>
  </si>
  <si>
    <r>
      <t>购买绿证</t>
    </r>
  </si>
  <si>
    <r>
      <t>IND-01</t>
    </r>
  </si>
  <si>
    <r>
      <t>集控</t>
    </r>
  </si>
  <si>
    <r>
      <t>指标归属的管控中心：集控＝能耗与工序类，集采＝产品碳足迹类</t>
    </r>
  </si>
  <si>
    <r>
      <t>指标清单.所属中心</t>
    </r>
  </si>
  <si>
    <r>
      <t>集控 92 项、集采 2 项（IND-001、IND-002）</t>
    </r>
  </si>
  <si>
    <r>
      <t>集采</t>
    </r>
  </si>
  <si>
    <r>
      <t>IND-02</t>
    </r>
  </si>
  <si>
    <r>
      <t>指标的管理层级类别</t>
    </r>
  </si>
  <si>
    <r>
      <t>指标清单.指标类别</t>
    </r>
  </si>
  <si>
    <r>
      <t>工厂 11 项、产品 1 项、公司级 4 项、关键工序 78 项</t>
    </r>
  </si>
  <si>
    <r>
      <t>IND-03</t>
    </r>
  </si>
  <si>
    <r>
      <t>外部要求（应对 CBAM 及绿色招采）</t>
    </r>
  </si>
  <si>
    <r>
      <t>指标的外部 / 内部驱动来源，用于说明指标的合规用途</t>
    </r>
  </si>
  <si>
    <r>
      <t>指标清单.指标来源</t>
    </r>
  </si>
  <si>
    <r>
      <t>零碳工厂类 9 项、电装管理要求 78 项等</t>
    </r>
  </si>
  <si>
    <r>
      <t>ESG 要求</t>
    </r>
  </si>
  <si>
    <r>
      <t>IND-04</t>
    </r>
  </si>
  <si>
    <r>
      <t>指标层级（分区）</t>
    </r>
  </si>
  <si>
    <r>
      <t>经营单位及项目公司整体指标（重点对标国家零碳工厂要求）</t>
    </r>
  </si>
  <si>
    <r>
      <t>原表三个指标分区，决定指标的统计颗粒度</t>
    </r>
  </si>
  <si>
    <r>
      <t>指标清单.指标层级</t>
    </r>
  </si>
  <si>
    <r>
      <t>整体 11 项、产品级 5 项、关键工序 78 项</t>
    </r>
  </si>
  <si>
    <r>
      <t>产品管控指标（最小到型号级别）</t>
    </r>
  </si>
  <si>
    <r>
      <t>关键工序管控指标（分产业设置，管控能耗较高的工序）</t>
    </r>
  </si>
  <si>
    <r>
      <t>DM-01</t>
    </r>
  </si>
  <si>
    <r>
      <t>参数 / 指标的数据类型，开发时映射为字段类型与显示格式</t>
    </r>
  </si>
  <si>
    <r>
      <t>基础参数表.数据格式</t>
    </r>
  </si>
  <si>
    <r>
      <t>百分比类型以小数存储（如 0.85 = 85%）；附件类型仅用于展示类字段</t>
    </r>
  </si>
  <si>
    <r>
      <t>日期</t>
    </r>
  </si>
  <si>
    <r>
      <t>布尔</t>
    </r>
  </si>
  <si>
    <r>
      <t>DM-02</t>
    </r>
  </si>
  <si>
    <r>
      <t>数据的取得方式，决定接口 / 录入界面 / 计算引擎的开发范围</t>
    </r>
  </si>
  <si>
    <r>
      <t>基础参数表.获取方式</t>
    </r>
  </si>
  <si>
    <r>
      <t>自动采集优先，手工录入为兜底</t>
    </r>
  </si>
  <si>
    <r>
      <t>DM-03</t>
    </r>
  </si>
  <si>
    <r>
      <t>更新频率</t>
    </r>
  </si>
  <si>
    <r>
      <t>数据刷新与上报周期</t>
    </r>
  </si>
  <si>
    <r>
      <t>基础参数表.更新频率</t>
    </r>
  </si>
  <si>
    <r>
      <t>指标默认月度计算，部分指标年度重新汇算；「实时（15 分钟）」为集控中心采集周期，「静态（变更时更新）」为台账类参数</t>
    </r>
  </si>
  <si>
    <r>
      <t>DM-04</t>
    </r>
  </si>
  <si>
    <r>
      <t>参数类别</t>
    </r>
  </si>
  <si>
    <r>
      <t>基础参数表内条目的分类，用于筛选与分组</t>
    </r>
  </si>
  <si>
    <r>
      <t>基础参数表.参数类别</t>
    </r>
  </si>
  <si>
    <r>
      <t>「指标」类为 94 项指标本身，其余为原子参数</t>
    </r>
  </si>
  <si>
    <r>
      <t>DM-05</t>
    </r>
  </si>
  <si>
    <r>
      <t>必填标识</t>
    </r>
  </si>
  <si>
    <r>
      <t>参数在指标计算中是否必须提供</t>
    </r>
  </si>
  <si>
    <r>
      <t>基础参数表.必填</t>
    </r>
  </si>
  <si>
    <r>
      <t>非必填参数仅在对应指标启用时录入</t>
    </r>
  </si>
  <si>
    <r>
      <t>ZC-01</t>
    </r>
  </si>
  <si>
    <r>
      <t>零碳关键事件类型</t>
    </r>
  </si>
  <si>
    <r>
      <t>光伏并网</t>
    </r>
  </si>
  <si>
    <r>
      <t>零碳进程里程碑事件的类型，用于大屏时间轴与零碳项目评估</t>
    </r>
  </si>
  <si>
    <r>
      <t>ZP-007 零碳关键事件</t>
    </r>
  </si>
  <si>
    <r>
      <t>事件类型 + 事件时间构成一条事件记录，可多条并行</t>
    </r>
  </si>
  <si>
    <r>
      <t>储能并网</t>
    </r>
  </si>
  <si>
    <r>
      <t>绿电交易签约</t>
    </r>
  </si>
  <si>
    <r>
      <t>碳足迹系统上线</t>
    </r>
  </si>
  <si>
    <r>
      <t>零碳工厂申报</t>
    </r>
  </si>
  <si>
    <r>
      <t>零碳工厂认证</t>
    </r>
  </si>
  <si>
    <r>
      <t>碳中和认证</t>
    </r>
  </si>
  <si>
    <r>
      <t>其他</t>
    </r>
  </si>
  <si>
    <r>
      <t>ZC-02</t>
    </r>
  </si>
  <si>
    <r>
      <t>充电</t>
    </r>
  </si>
  <si>
    <r>
      <t>储能 EMS 上送的当前工况状态</t>
    </r>
  </si>
  <si>
    <r>
      <t>NE-010 储能系统运行状态</t>
    </r>
  </si>
  <si>
    <r>
      <t>充电 / 放电状态须与 NE-007 充电功率、NE-008 放电功率方向一致</t>
    </r>
  </si>
  <si>
    <r>
      <t>放电</t>
    </r>
  </si>
  <si>
    <r>
      <t>待机</t>
    </r>
  </si>
  <si>
    <r>
      <t>故障</t>
    </r>
  </si>
  <si>
    <r>
      <t>离线</t>
    </r>
  </si>
  <si>
    <r>
      <t>ZC-03</t>
    </r>
  </si>
  <si>
    <r>
      <t>电网分时时段划分</t>
    </r>
  </si>
  <si>
    <r>
      <t>尖峰</t>
    </r>
  </si>
  <si>
    <r>
      <t>电网分时电价时段划分，是分时电量与储能充放电策略的统计维度</t>
    </r>
  </si>
  <si>
    <r>
      <t>LD-005~LD-009 日负荷分时电量；NE-011~NE-020 储能日充放分时电量；EQ-007~EQ-011 重点设备分时电量；HV-009 / HV-019 用电尖峰占比</t>
    </r>
  </si>
  <si>
    <r>
      <t>具体时段起止按各项目公司所在省电网公布的当期分时电价政策配置，属可配置参数，不写死在代码中</t>
    </r>
  </si>
  <si>
    <r>
      <t>高峰</t>
    </r>
  </si>
  <si>
    <r>
      <t>平段</t>
    </r>
  </si>
  <si>
    <r>
      <t>低谷</t>
    </r>
  </si>
  <si>
    <r>
      <t>深谷</t>
    </r>
  </si>
  <si>
    <r>
      <t>ZC-04</t>
    </r>
  </si>
  <si>
    <r>
      <t>数据域（中心归属）</t>
    </r>
  </si>
  <si>
    <r>
      <t>零碳园区集控中心数据</t>
    </r>
  </si>
  <si>
    <r>
      <t>数据项归属的业务数据域，对应两份数据需求清单与指标体系源表</t>
    </r>
  </si>
  <si>
    <r>
      <t>基础参数表.备注（【清单来源】标记）</t>
    </r>
  </si>
  <si>
    <r>
      <t>集控域含园区配置、新能源储能、负荷电量、绿电绿证、收益、重点设备、暖通、能源费用、订单、计量共 10 类</t>
    </r>
  </si>
  <si>
    <r>
      <t>产品碳足迹集采中心数据</t>
    </r>
  </si>
  <si>
    <r>
      <t>指标体系基础数据</t>
    </r>
  </si>
  <si>
    <r>
      <t>ZC-05</t>
    </r>
  </si>
  <si>
    <r>
      <t>重点设备类别</t>
    </r>
  </si>
  <si>
    <r>
      <t>电机（电动机）</t>
    </r>
  </si>
  <si>
    <r>
      <t>纳入能效强制性国家标准统计范围的重点设备类别</t>
    </r>
  </si>
  <si>
    <r>
      <t>EQ-005~EQ-014 重点设备数据；EQ-003 / EQ-004 装备台账明细</t>
    </r>
  </si>
  <si>
    <r>
      <t>依《重点用能产品设备能效先进水平、节能水平、准入水平》等技术标准划分；无适用能效强制性国家标准的装备不纳入统计</t>
    </r>
  </si>
  <si>
    <r>
      <t>工业锅炉</t>
    </r>
  </si>
  <si>
    <r>
      <t>风机</t>
    </r>
  </si>
  <si>
    <r>
      <t>容积式空气压缩机</t>
    </r>
  </si>
  <si>
    <r>
      <t>工业制冷设备</t>
    </r>
  </si>
  <si>
    <r>
      <t>热泵</t>
    </r>
  </si>
  <si>
    <r>
      <t>水泵</t>
    </r>
  </si>
  <si>
    <r>
      <t>空调机组</t>
    </r>
  </si>
  <si>
    <r>
      <t>ZC-06</t>
    </r>
  </si>
  <si>
    <r>
      <t>能源费用科目</t>
    </r>
  </si>
  <si>
    <r>
      <t>工厂能源成本台账的费用科目，与实物量一一对应</t>
    </r>
  </si>
  <si>
    <r>
      <t>CO-001~CO-006 能源费用</t>
    </r>
  </si>
  <si>
    <r>
      <t>CO-001↔EN-026、CO-002↔EN-006、CO-003↔EN-031、CO-004↔EN-032、CO-005↔EN-002、CO-006↔EN-030</t>
    </r>
  </si>
  <si>
    <r>
      <t>08 · 数据需求清单 → 基础参数编码 逐项对照</t>
    </r>
  </si>
  <si>
    <r>
      <t>覆盖《“双中心”数据需求清单9.16》全部 78 项（集控 76 + 集采 2），并纳入 8.27 V1.0 版独有而 9.16 版删除的 15 项（保留理由见「处理说明」列）。「清单版本」列标注来源版本；「对应参数编码」列为该清单项的落库编码，含「+」表示按最小颗粒度拆为多个编码（拆分依据见「处理说明」列）。</t>
    </r>
  </si>
  <si>
    <r>
      <t>数据域 / 中心</t>
    </r>
  </si>
  <si>
    <r>
      <t>数据项名称（清单原文）</t>
    </r>
  </si>
  <si>
    <r>
      <t>数据单位（清单）</t>
    </r>
  </si>
  <si>
    <r>
      <t>数据对象</t>
    </r>
  </si>
  <si>
    <r>
      <t>数据来源（清单原文）</t>
    </r>
  </si>
  <si>
    <r>
      <t>采集频率（清单）</t>
    </r>
  </si>
  <si>
    <r>
      <t>业务用途（清单原文）</t>
    </r>
  </si>
  <si>
    <r>
      <t>清单版本</t>
    </r>
  </si>
  <si>
    <r>
      <t>处理说明 / 差异与口径提示</t>
    </r>
  </si>
  <si>
    <r>
      <t>零碳园区集控中心</t>
    </r>
  </si>
  <si>
    <r>
      <t>静态数据</t>
    </r>
  </si>
  <si>
    <r>
      <t>园区/工厂</t>
    </r>
  </si>
  <si>
    <r>
      <t>双中心系统界面手动录入</t>
    </r>
  </si>
  <si>
    <r>
      <t>多家工厂在一个园区的，提供园区整体数据</t>
    </r>
  </si>
  <si>
    <r>
      <t>大屏展示</t>
    </r>
  </si>
  <si>
    <r>
      <t>9.16</t>
    </r>
  </si>
  <si>
    <r>
      <t>直接对应。0.16/8.27 版来源为「系统接入」，9.16 版改为「界面手动录入」，开发以 9.16 为准。</t>
    </r>
  </si>
  <si>
    <r>
      <t>直接对应。园区 / 工厂供电能力参数。</t>
    </r>
  </si>
  <si>
    <r>
      <t>MW/MWh</t>
    </r>
  </si>
  <si>
    <r>
      <t>ZP-003 + ZP-004</t>
    </r>
  </si>
  <si>
    <r>
      <t>【拆分】清单原文为复合单位「MW/MWh」，按最小颗粒度拆为「储能装机功率（MW）」与「储能装机容量（MWh）」两条。</t>
    </r>
  </si>
  <si>
    <r>
      <t>园区照片</t>
    </r>
  </si>
  <si>
    <r>
      <t>/</t>
    </r>
  </si>
  <si>
    <r>
      <t>非数值型展示资源，作参数管理但不参与计算。</t>
    </r>
  </si>
  <si>
    <r>
      <t>动态数据</t>
    </r>
  </si>
  <si>
    <r>
      <t>零碳项目基本信息、照片</t>
    </r>
  </si>
  <si>
    <r>
      <t>大屏展示、零碳项目评估</t>
    </r>
  </si>
  <si>
    <r>
      <t>直接对应。建议进一步拆为项目名称 / 建设内容 / 投运时间 / 容量 / 投资额等结构化子字段。</t>
    </r>
  </si>
  <si>
    <r>
      <t>园区及工厂</t>
    </r>
  </si>
  <si>
    <r>
      <t>项目公司能碳系统接入</t>
    </r>
  </si>
  <si>
    <r>
      <t>15分钟</t>
    </r>
  </si>
  <si>
    <r>
      <t>大屏展示、集中监管、能效分析</t>
    </r>
  </si>
  <si>
    <r>
      <t>直接对应。口径为累计表底值，须同时留存储值快照时间。</t>
    </r>
  </si>
  <si>
    <r>
      <t>LD-001（同 EN-002）</t>
    </r>
  </si>
  <si>
    <r>
      <t>单位为 MWh；「EN-002 市电消费量」为其 kWh 统一存储口径，二者 1 MWh = 1000 kWh。</t>
    </r>
  </si>
  <si>
    <r>
      <t>直接对应。绿电物理认定的依据之一。</t>
    </r>
  </si>
  <si>
    <r>
      <t>直接对应。与 RV-001 绿电上网收益互为量价关系。</t>
    </r>
  </si>
  <si>
    <r>
      <t>园区</t>
    </r>
  </si>
  <si>
    <r>
      <t>集中监管、零碳项目评估</t>
    </r>
  </si>
  <si>
    <r>
      <t>直接对应。</t>
    </r>
  </si>
  <si>
    <r>
      <t>直接对应。用于园区总用电平衡校验。</t>
    </r>
  </si>
  <si>
    <r>
      <t>月</t>
    </r>
  </si>
  <si>
    <r>
      <t>GV-001（同 EN-003）</t>
    </r>
  </si>
  <si>
    <r>
      <t>单位为 MWh；「EN-003 绿电消费量」为其 kWh 统一存储口径。</t>
    </r>
  </si>
  <si>
    <r>
      <t>GV-002（同 EN-004）</t>
    </r>
  </si>
  <si>
    <r>
      <t>单位由 V1.0 的「张 / MWh」统一为「个（张）」计数，折电量 = 个数 × 1 MWh，不得与 GV-001 重复计入。</t>
    </r>
  </si>
  <si>
    <r>
      <t>集中监管、能效分析</t>
    </r>
  </si>
  <si>
    <r>
      <t>直接对应。分时时段划分见「07-枚举字典」ZC-03。</t>
    </r>
  </si>
  <si>
    <r>
      <t>直接对应。实时曲线类，建议时序库存储、保留 5 年。</t>
    </r>
  </si>
  <si>
    <r>
      <t>储能充放电功率</t>
    </r>
  </si>
  <si>
    <r>
      <t>NE-007 + NE-008</t>
    </r>
  </si>
  <si>
    <r>
      <t>【拆分】清单原文为单一测点「储能充放电功率」，按最小颗粒度拆为「充电功率」与「放电功率」，避免符号方向约定不一致导致取数错误。</t>
    </r>
  </si>
  <si>
    <r>
      <t>储能系统SOC</t>
    </r>
  </si>
  <si>
    <r>
      <t>储能系统状态（充电、放电、待机）</t>
    </r>
  </si>
  <si>
    <r>
      <t>直接对应。取值枚举见 ZC-02。</t>
    </r>
  </si>
  <si>
    <r>
      <t>直接对应。【单位注意】本项清单单位为「元」，而 RV-001 / RV-002 为「万元」，入库须归一。</t>
    </r>
  </si>
  <si>
    <r>
      <t>重点设备</t>
    </r>
  </si>
  <si>
    <r>
      <t>直接对应。重点设备清单须先在设备台账登记并绑定计量点。</t>
    </r>
  </si>
  <si>
    <r>
      <t>直接对应。静态数据，供负荷率分析。</t>
    </r>
  </si>
  <si>
    <r>
      <t>直接对应。9.16 版新增（8.27 版无）。</t>
    </r>
  </si>
  <si>
    <r>
      <t>热泵系统COP</t>
    </r>
  </si>
  <si>
    <r>
      <t>直接对应。9.16 版新增热泵系统完整运行参数。</t>
    </r>
  </si>
  <si>
    <r>
      <t>直接对应。【更名】8.27 版名为「热泵系统回收温度」，9.16 版改为「回水温度」，开发以 9.16 为准。</t>
    </r>
  </si>
  <si>
    <r>
      <t>Mpa</t>
    </r>
  </si>
  <si>
    <r>
      <t>直接对应。依赖 EN-005 的绿电拆分口径。</t>
    </r>
  </si>
  <si>
    <r>
      <t>直接对应。时段划分见 ZC-03。</t>
    </r>
  </si>
  <si>
    <r>
      <t>直接对应。【口径提示】清单原文数据来源标「界面手动录入」但备注写「15分钟」，按静态台账处理。</t>
    </r>
  </si>
  <si>
    <r>
      <t>空调系统COP</t>
    </r>
  </si>
  <si>
    <r>
      <t>空调</t>
    </r>
  </si>
  <si>
    <r>
      <t>直接对应。9.16 版新增（8.27 版无空调系统整组）。</t>
    </r>
  </si>
  <si>
    <r>
      <t>直接对应。【口径提示】同 HV-010，按静态台账处理。</t>
    </r>
  </si>
  <si>
    <r>
      <t>用水量</t>
    </r>
  </si>
  <si>
    <r>
      <t>系统接入/系统界面手动录入</t>
    </r>
  </si>
  <si>
    <r>
      <t>日/月</t>
    </r>
  </si>
  <si>
    <r>
      <t>集中监管、能效分析、统计报表</t>
    </r>
  </si>
  <si>
    <r>
      <t>已在 V1.0 参数表覆盖。对应费用科目见 CO-001。</t>
    </r>
  </si>
  <si>
    <r>
      <t>天然气量</t>
    </r>
  </si>
  <si>
    <r>
      <t>系统界面手动录入</t>
    </r>
  </si>
  <si>
    <r>
      <t>已在 V1.0 参数表覆盖。对应费用科目见 CO-002。</t>
    </r>
  </si>
  <si>
    <r>
      <t>EN-031（口径拆分）</t>
    </r>
  </si>
  <si>
    <r>
      <t>【口径拆分】清单原文备注「自己产的不纳入统计范围」，仅指外购部分；V1.0 的「EN-007 蒸汽消费量（质量）」为含自产的消费总量。二者并存，综合能耗核算按 EN-031 计入外购蒸汽。</t>
    </r>
  </si>
  <si>
    <r>
      <t>油消耗量（油、煤油、汽油）</t>
    </r>
  </si>
  <si>
    <r>
      <t>EN-032 + EN-010 / EN-011 / EN-012 + FAC-015~017</t>
    </r>
  </si>
  <si>
    <r>
      <t>【单位口径冲突】清单按「L」统计，V1.0 的柴油 / 汽油 / 煤油按「t」统计。新增 EN-032 合计（L）与 FAC-015~017 密度系数，实现双向换算。</t>
    </r>
  </si>
  <si>
    <r>
      <t>液氮</t>
    </r>
  </si>
  <si>
    <r>
      <t>EN-030 + FAC-014</t>
    </r>
  </si>
  <si>
    <r>
      <t>【新增】V1.0 参数表未覆盖。清单备注「只有鲁缆有，需要算入能耗」；折标煤系数新增 FAC-014（液氮）。</t>
    </r>
  </si>
  <si>
    <r>
      <t>达到或优于能效强制性国家标准 2 级的设备明细（名称、用途、功率等）</t>
    </r>
  </si>
  <si>
    <r>
      <t>增量更新（纳入统计范围的装备需有适用的能效强制性国家标准，包括但不限于电动机、变压器、工业锅炉、风机、容积式空气压缩机、工业制冷设备、热泵等；无适用标准的装备不纳入统计。）</t>
    </r>
  </si>
  <si>
    <r>
      <t>集中监管</t>
    </r>
  </si>
  <si>
    <r>
      <t>EQ-003（汇总 EQ-001）</t>
    </r>
  </si>
  <si>
    <r>
      <t>已在 V1.0 参数表覆盖为「节能装备明细」。清单备注限定为「达到或优于能效强制性国家标准 2 级」，需在台账中增加「能效等级」字段。</t>
    </r>
  </si>
  <si>
    <r>
      <t>纳入统计范围装备明细（名称、用途、功率等）</t>
    </r>
  </si>
  <si>
    <r>
      <t>EQ-004（汇总 EQ-002）</t>
    </r>
  </si>
  <si>
    <r>
      <t>已在 V1.0 参数表覆盖为「装备台账明细」。</t>
    </r>
  </si>
  <si>
    <r>
      <t>工业增加值（月度、年度）</t>
    </r>
  </si>
  <si>
    <r>
      <t>已在 V1.0 参数表覆盖。数据对象＝工厂整体。</t>
    </r>
  </si>
  <si>
    <r>
      <t>产值</t>
    </r>
  </si>
  <si>
    <r>
      <t>经营日报管理系统接入</t>
    </r>
  </si>
  <si>
    <r>
      <t>已在 V1.0 参数表覆盖。清单备注：线缆到产线，变压器到项目公司。</t>
    </r>
  </si>
  <si>
    <r>
      <t>【新增】V1.0 参数表未覆盖能源费用类数据。</t>
    </r>
  </si>
  <si>
    <r>
      <t>【新增】同上。</t>
    </r>
  </si>
  <si>
    <r>
      <t>油费用</t>
    </r>
  </si>
  <si>
    <r>
      <t>【新增】同上。注意该项目数据对象为「项目公司」而非工厂。</t>
    </r>
  </si>
  <si>
    <r>
      <t>订单信息（订单基本信息、对应产量、物料明细、工单信息）</t>
    </r>
  </si>
  <si>
    <r>
      <t>OD-001 + OD-002 + OD-003（+ OUT-009、MD-006）</t>
    </r>
  </si>
  <si>
    <r>
      <t>【拆分】清单原文为一条复合项，拆为订单基本信息 / 物料明细 / 订单能耗三条；原复合项中的「对应产量」见 OUT-009，「工单信息」见 MD-006。</t>
    </r>
  </si>
  <si>
    <r>
      <t>碳足迹系统：生产-能源绑定模块录入</t>
    </r>
  </si>
  <si>
    <r>
      <t>增量</t>
    </r>
  </si>
  <si>
    <r>
      <t>ORG-008（登记 MT-002）</t>
    </r>
  </si>
  <si>
    <r>
      <t>【同源】与 V1.0 的「ORG-008 生产管理单元-计量点绑定关系」为同一数据，主键以 ORG-008 为准，MT-002 标注其数据域归属与增量采集频率。</t>
    </r>
  </si>
  <si>
    <r>
      <t>【新增】对应 8.27 版第 64 项「关键工序能耗指标」。为工序级指标（EN-KE / KS / KT）的原始时序层，与月度汇总值构成明细—汇总关系。</t>
    </r>
  </si>
  <si>
    <r>
      <t>碳足迹系统获取</t>
    </r>
  </si>
  <si>
    <r>
      <t>ERP系统获取</t>
    </r>
  </si>
  <si>
    <r>
      <t>零碳园区集控中心（8.27 保留项）</t>
    </r>
  </si>
  <si>
    <r>
      <t>8.27</t>
    </r>
  </si>
  <si>
    <r>
      <t>9.16 版已删除。因零碳工厂申报与认证是集团级考核时点，按「事件类型 + 事件时间」保留建项。</t>
    </r>
  </si>
  <si>
    <r>
      <t>9.16 版已删除该组共 10 项。储能分时充放电量是峰谷价差收益测算与充放策略优化的直接依据，予以保留。</t>
    </r>
  </si>
  <si>
    <r>
      <t>同上。</t>
    </r>
  </si>
  <si>
    <r>
      <t>产量（线缆，分产线）</t>
    </r>
  </si>
  <si>
    <r>
      <t>9.16 版已由「订单信息」与「生产单元能耗计量数据」替代。注意 8.27 清单单位为 km，OUT-002 单位为 万km·mm²，换算须补充截面数据。</t>
    </r>
  </si>
  <si>
    <r>
      <t>产量（非线缆产业，项目公司）</t>
    </r>
  </si>
  <si>
    <r>
      <t>9.16 版已替代。OUT-001 继续保留作为工厂级产量口径。</t>
    </r>
  </si>
  <si>
    <r>
      <t>9.16 版将其归入「生产单元能耗计量数据」，但订单级归集是碳足迹分摊的必要环节，故保留。</t>
    </r>
  </si>
  <si>
    <r>
      <t>关键工序能耗指标</t>
    </r>
  </si>
  <si>
    <r>
      <t>MT-001（→ EN-KE / EN-KS / EN-KT + OUT-KM + VAL-KG）</t>
    </r>
  </si>
  <si>
    <r>
      <t>9.16 版改称「生产单元能耗计量数据」。原文要求上送「指标值及对应的分子、分母、统计周期」，即 MT-001 原始时序 → 月度汇总 → 指标值三层结构。</t>
    </r>
  </si>
  <si>
    <r>
      <t>A</t>
    </r>
  </si>
  <si>
    <r>
      <t>两版清单差异</t>
    </r>
  </si>
  <si>
    <r>
      <t>9.16 版共 78 项（集控 76 + 集采 2），8.27 V1.0 版共 66 项。9.16 版新增：重点设备额定负荷 / 蒸汽瞬时流量 / 蒸汽消耗量（3 项）、热泵与空调系统完整运行参数（20 项）、氮气费用、生产单元-能耗计量绑定关系、生产单元能耗计量数据；9.16 版删除：零碳关键事件、储能日充放分时电量（10 项）、产量（线缆 / 非线缆）2 项、订单能耗、关键工序能耗指标。删除项中凡对指标计算或能效分析有价值的，本版均予保留并在「八」列标注理由。</t>
    </r>
  </si>
  <si>
    <r>
      <t>B</t>
    </r>
  </si>
  <si>
    <r>
      <t>单位口径冲突（须开发前确认）</t>
    </r>
  </si>
  <si>
    <r>
      <t>① 油品：清单按「L」，V1.0 参数表柴油 / 汽油 / 煤油按「t」→ 新增 EN-032（L）与 FAC-015~017 密度系数换算；② 绿证：V1.0 作「张 / MWh」复合单位，统一为「个（张）」计数（GV-002）；③ 电量：清单用 MWh，V1.0 用 kWh，统一以 kWh 存储（EN-002 / EN-003），MWh 仅作展示（LD-001 / GV-001）；④ 储能收益单位「元」与绿电收益「万元」不一致；⑤ 储能装机容量「MW/MWh」复合单位已拆为 ZP-003 + ZP-004。</t>
    </r>
  </si>
  <si>
    <r>
      <t>新增数据域（V2.1）</t>
    </r>
  </si>
  <si>
    <r>
      <t>本次共新增 92 项参数：既有域补充 7 项（EN-030~032 液氮 / 外购蒸汽 / 油品合计、FAC-014~017 液氮折标煤与油品密度系数），零碳园区与集控中心数据域 85 项（ZP- 园区基础配置 7、NE- 新能源与储能 20、LD- 园区负荷 10、GV- 绿色电力 2、RV- 收益 3、EQ- 重点设备运行 10、HV- 暖通系统 20、CO- 能源费用 6、OD- 订单 5、MT- 计量 2）。</t>
    </r>
  </si>
  <si>
    <r>
      <t>D</t>
    </r>
  </si>
  <si>
    <r>
      <t>保留但提示偏差的清单项</t>
    </r>
  </si>
  <si>
    <r>
      <t>9.16 清单第 48 / 58 项（热泵供热面积、空调供冷面积）数据来源标「界面手动录入」但备注写「15 分钟」，本版按静态台账处理（变更时更新）；第 36 项重点设备额定负荷亦为静态数据。</t>
    </r>
  </si>
  <si>
    <r>
      <t>非参数类清单内容</t>
    </r>
  </si>
  <si>
    <r>
      <t>「服务器资源」段（存储 / 应用 / 数据接入 / 算力 / 智能体服务器配置）属硬件与部署需求，不进入基础参数表，由项目实施文档单独承载。</t>
    </r>
  </si>
  <si>
    <r>
      <t>09 · 指标参数构成明细（指标 → 参数 → 分项 全展开）</t>
    </r>
  </si>
  <si>
    <r>
      <t>共 214 行，覆盖全部 94 个指标。第 ① 层为该指标的公式输入项（分子 / 分母 / 加项 / 扣减项等）；第 ②③ 层为复合参数（如「综合能源消费量」）继续拆出的最小颗粒度分项。开发实现时，原子参数直接取数，复合参数按其分项折算或上送。</t>
    </r>
  </si>
  <si>
    <r>
      <t>层级</t>
    </r>
  </si>
  <si>
    <r>
      <t>参数角色</t>
    </r>
  </si>
  <si>
    <r>
      <t>参数性质</t>
    </r>
  </si>
  <si>
    <r>
      <t>构成说明 / 备注</t>
    </r>
  </si>
  <si>
    <r>
      <t>① 输入项</t>
    </r>
  </si>
  <si>
    <r>
      <t>无输入参数</t>
    </r>
  </si>
  <si>
    <r>
      <t>原子参数</t>
    </r>
  </si>
  <si>
    <r>
      <t>指标直接输入项。统计期内开展主要产品碳足迹分析的产品类别数量</t>
    </r>
  </si>
  <si>
    <r>
      <t>指标直接输入项。单位全部主要产品类别数量</t>
    </r>
  </si>
  <si>
    <r>
      <t>维度</t>
    </r>
  </si>
  <si>
    <r>
      <t>指标直接输入项。参与综合能源消费量折算的能源品种数量</t>
    </r>
  </si>
  <si>
    <r>
      <t>因子</t>
    </r>
  </si>
  <si>
    <r>
      <t>指标直接输入项。参与折算的第 i 种能源实物消费量（电、天然气、蒸汽、热力、柴油、汽油、煤油等）</t>
    </r>
  </si>
  <si>
    <r>
      <t>系数</t>
    </r>
  </si>
  <si>
    <r>
      <t>指标直接输入项。第 i 种能源折算为标准煤的系数，由电装统一维护</t>
    </r>
  </si>
  <si>
    <r>
      <t>加项</t>
    </r>
  </si>
  <si>
    <r>
      <t>指标直接输入项。化石燃料燃烧产生的二氧化碳排放量总和</t>
    </r>
  </si>
  <si>
    <r>
      <t>指标直接输入项。工业生产过程产生的二氧化碳排放量总和</t>
    </r>
  </si>
  <si>
    <r>
      <t>指标直接输入项。购入电力对应的二氧化碳排放量</t>
    </r>
  </si>
  <si>
    <r>
      <t>扣减项</t>
    </r>
  </si>
  <si>
    <r>
      <t>指标直接输入项。输出电力对应的二氧化碳排放量（扣减项）</t>
    </r>
  </si>
  <si>
    <r>
      <t>指标直接输入项。购入热力对应的二氧化碳排放量</t>
    </r>
  </si>
  <si>
    <r>
      <t>指标直接输入项。输出热力对应的二氧化碳排放量（扣减项）</t>
    </r>
  </si>
  <si>
    <r>
      <t>指标直接输入项。化石燃料燃烧、工艺过程产生的 CO2 经回收自用或外供且确保未再次排放所对应的量（扣减项）</t>
    </r>
  </si>
  <si>
    <r>
      <t>指标直接输入项。统计期内企业组织产生的二氧化碳总排放量（本次口径仅含能源碳排放）</t>
    </r>
  </si>
  <si>
    <r>
      <t>指标直接输入项。统计期内组织综合能源消费总量，由各能源品种消耗量 × 折标准煤系数加总得到；电力按当量值折标</t>
    </r>
  </si>
  <si>
    <r>
      <t>指标直接输入项。扣除原料用能后的非化石能源消费量</t>
    </r>
  </si>
  <si>
    <r>
      <t>指标直接输入项。扣除作为原料使用的能源后，用于非化石能源消费占比分母的综合能源消费量</t>
    </r>
  </si>
  <si>
    <r>
      <t>指标直接输入项。具备物理可溯源条件的非化石能源电力消费量（自建消纳绿电 + 非自建绿电直连量）</t>
    </r>
  </si>
  <si>
    <r>
      <t>指标直接输入项。统计期内总用电量，作为非化石能源电力物理认定量占比的分母</t>
    </r>
  </si>
  <si>
    <r>
      <t>指标直接输入项。企业月度工业增加值，月度估算、年度汇算</t>
    </r>
  </si>
  <si>
    <r>
      <t>指标直接输入项。达到或优于能效强制性国家标准 2 级水平和节能水平的装备累计额定总功率</t>
    </r>
  </si>
  <si>
    <r>
      <t>指标直接输入项。具有适用能效强制性国家标准的装备累计额定总功率；无适用标准的装备不纳入统计</t>
    </r>
  </si>
  <si>
    <r>
      <t>指标直接输入项。统计期内产品产值，单位产值类指标的通用分母</t>
    </r>
  </si>
  <si>
    <r>
      <t>参数</t>
    </r>
  </si>
  <si>
    <r>
      <t>指标直接输入项。统计期内实际用于生产、生活等用途且未返回环境或未再次回用的水量</t>
    </r>
  </si>
  <si>
    <r>
      <t>复合参数</t>
    </r>
  </si>
  <si>
    <r>
      <t>指标直接输入项。统计期内，归属到「产品型号 × ERP 产品种类 × 电装产线大类」口径的电、天然气、蒸汽、热力等全部能源折算后的综合能</t>
    </r>
  </si>
  <si>
    <r>
      <t>② 分项</t>
    </r>
  </si>
  <si>
    <r>
      <t>分项</t>
    </r>
  </si>
  <si>
    <r>
      <t>└─ 产品电力消费量（型号口径）</t>
    </r>
  </si>
  <si>
    <r>
      <t>由「EN-P01」拆分。</t>
    </r>
  </si>
  <si>
    <r>
      <t>└─ 产品蒸汽消费量（型号口径）</t>
    </r>
  </si>
  <si>
    <r>
      <t>└─ 产品天然气消费量（型号口径）</t>
    </r>
  </si>
  <si>
    <r>
      <t>指标直接输入项。统计期内，按「产品型号 × ERP 产品种类 × 电装产线大类」口径归集的入库产品产量。</t>
    </r>
  </si>
  <si>
    <r>
      <t>指标直接输入项。统计期内，归属到「产品型号 × ERP 产品种类 × 电装产线大类」口径的电力消费量（含市电与绿电、含公辅设备分摊量）。</t>
    </r>
  </si>
  <si>
    <r>
      <t>指标直接输入项。统计期内，归属到「产品型号 × ERP 产品种类 × 电装产线大类」口径的蒸汽消费量（热量口径）。</t>
    </r>
  </si>
  <si>
    <r>
      <t>指标直接输入项。统计期内，归属到「产品型号 × ERP 产品种类 × 电装产线大类」口径的天然气消费量。</t>
    </r>
  </si>
  <si>
    <r>
      <t>指标直接输入项。统计期内，归属到「产品型号 × ERP 产品种类 × 电装产线大类」口径的取水量。</t>
    </r>
  </si>
  <si>
    <r>
      <t>指标直接输入项。导线产线中拉丝工序电力消费量（计量对象：铜）。</t>
    </r>
  </si>
  <si>
    <r>
      <t>指标直接输入项。导线产线中拉丝工序铜产量（计量对象：铜）。</t>
    </r>
  </si>
  <si>
    <r>
      <t>指标直接输入项。导线产线中拉丝工序电力消费量（计量对象：铝）。</t>
    </r>
  </si>
  <si>
    <r>
      <t>指标直接输入项。导线产线中拉丝工序铝产量（计量对象：铝）。</t>
    </r>
  </si>
  <si>
    <r>
      <t>指标直接输入项。布电线产线中拉丝工序电力消费量（计量对象：铜）。</t>
    </r>
  </si>
  <si>
    <r>
      <t>指标直接输入项。布电线产线中拉丝工序铜产量（计量对象：铜）。</t>
    </r>
  </si>
  <si>
    <r>
      <t>指标直接输入项。布电线产线中拉丝工序电力消费量（计量对象：铝）。</t>
    </r>
  </si>
  <si>
    <r>
      <t>指标直接输入项。布电线产线中拉丝工序铝产量（计量对象：铝）。</t>
    </r>
  </si>
  <si>
    <r>
      <t>指标直接输入项。高压电缆产线中拉丝工序电力消费量（计量对象：铜）。</t>
    </r>
  </si>
  <si>
    <r>
      <t>指标直接输入项。高压电缆产线中拉丝工序铜产量（计量对象：铜）。</t>
    </r>
  </si>
  <si>
    <r>
      <t>指标直接输入项。高压电缆产线中拉丝工序电力消费量（计量对象：铝）。</t>
    </r>
  </si>
  <si>
    <r>
      <t>指标直接输入项。高压电缆产线中拉丝工序铝产量（计量对象：铝）。</t>
    </r>
  </si>
  <si>
    <r>
      <t>指标直接输入项。高压电缆产线中交联工序电力消费量。</t>
    </r>
  </si>
  <si>
    <r>
      <t>指标直接输入项。高压电缆产线中交联工序产品产量。</t>
    </r>
  </si>
  <si>
    <r>
      <t>指标直接输入项。中压电缆产线中拉丝工序电力消费量（计量对象：铜）。</t>
    </r>
  </si>
  <si>
    <r>
      <t>指标直接输入项。中压电缆产线中拉丝工序铜产量（计量对象：铜）。</t>
    </r>
  </si>
  <si>
    <r>
      <t>指标直接输入项。中压电缆产线中拉丝工序电力消费量（计量对象：铝）。</t>
    </r>
  </si>
  <si>
    <r>
      <t>指标直接输入项。中压电缆产线中拉丝工序铝产量（计量对象：铝）。</t>
    </r>
  </si>
  <si>
    <r>
      <t>指标直接输入项。中压电缆产线中交联工序电力消费量。</t>
    </r>
  </si>
  <si>
    <r>
      <t>指标直接输入项。中压电缆产线中交联工序产品产量。</t>
    </r>
  </si>
  <si>
    <r>
      <t>指标直接输入项。低压电缆产线中拉丝工序电力消费量（计量对象：铜）。</t>
    </r>
  </si>
  <si>
    <r>
      <t>指标直接输入项。低压电缆产线中拉丝工序铜产量（计量对象：铜）。</t>
    </r>
  </si>
  <si>
    <r>
      <t>指标直接输入项。低压电缆产线中拉丝工序电力消费量（计量对象：铝）。</t>
    </r>
  </si>
  <si>
    <r>
      <t>指标直接输入项。低压电缆产线中拉丝工序铝产量（计量对象：铝）。</t>
    </r>
  </si>
  <si>
    <r>
      <t>指标直接输入项。特种电缆产线中拉丝工序电力消费量（计量对象：铜）。</t>
    </r>
  </si>
  <si>
    <r>
      <t>指标直接输入项。特种电缆产线中拉丝工序铜产量（计量对象：铜）。</t>
    </r>
  </si>
  <si>
    <r>
      <t>指标直接输入项。特种电缆产线中拉丝工序电力消费量（计量对象：铝）。</t>
    </r>
  </si>
  <si>
    <r>
      <t>指标直接输入项。特种电缆产线中拉丝工序铝产量（计量对象：铝）。</t>
    </r>
  </si>
  <si>
    <r>
      <t>指标直接输入项。装备电缆产线中拉丝工序电力消费量（计量对象：铜）。</t>
    </r>
  </si>
  <si>
    <r>
      <t>指标直接输入项。装备电缆产线中拉丝工序铜产量（计量对象：铜）。</t>
    </r>
  </si>
  <si>
    <r>
      <t>指标直接输入项。装备电缆产线中拉丝工序电力消费量（计量对象：铝）。</t>
    </r>
  </si>
  <si>
    <r>
      <t>指标直接输入项。装备电缆产线中拉丝工序铝产量（计量对象：铝）。</t>
    </r>
  </si>
  <si>
    <r>
      <t>指标直接输入项。橡套电缆产线中拉丝工序电力消费量（计量对象：铜）。</t>
    </r>
  </si>
  <si>
    <r>
      <t>指标直接输入项。橡套电缆产线中拉丝工序铜产量（计量对象：铜）。</t>
    </r>
  </si>
  <si>
    <r>
      <t>指标直接输入项。橡套电缆产线中拉丝工序电力消费量（计量对象：铝）。</t>
    </r>
  </si>
  <si>
    <r>
      <t>指标直接输入项。橡套电缆产线中拉丝工序铝产量（计量对象：铝）。</t>
    </r>
  </si>
  <si>
    <r>
      <t>指标直接输入项。变压器特高压产线器身干燥工序综合能源消费量。</t>
    </r>
  </si>
  <si>
    <r>
      <t>└─ 工序电力消费量（变压器-特高压-器身干燥）</t>
    </r>
  </si>
  <si>
    <r>
      <t>由「EN-KT02」拆分。</t>
    </r>
  </si>
  <si>
    <r>
      <t>└─ 工序蒸汽消费量（变压器-特高压-器身干燥）</t>
    </r>
  </si>
  <si>
    <r>
      <t>指标直接输入项。变压器特高压产线器身干燥工序产品产量。</t>
    </r>
  </si>
  <si>
    <r>
      <t>指标直接输入项。变压器特高压产线器身干燥工序中电力消费量。</t>
    </r>
  </si>
  <si>
    <r>
      <t>指标直接输入项。变压器特高压产线器身干燥工序中蒸汽能源消费量。</t>
    </r>
  </si>
  <si>
    <r>
      <t>指标直接输入项。变压器特高压产线试验工序综合能源消费量。</t>
    </r>
  </si>
  <si>
    <r>
      <t>└─ 工序电力消费量（变压器-特高压-试验）</t>
    </r>
  </si>
  <si>
    <r>
      <t>由「EN-KT03」拆分。</t>
    </r>
  </si>
  <si>
    <r>
      <t>指标直接输入项。变压器特高压产线试验工序产品产量。</t>
    </r>
  </si>
  <si>
    <r>
      <t>指标直接输入项。变压器特高压产线试验工序中电力消费量。</t>
    </r>
  </si>
  <si>
    <r>
      <t>指标直接输入项。变压器超高压产线器身干燥工序综合能源消费量。</t>
    </r>
  </si>
  <si>
    <r>
      <t>└─ 工序电力消费量（变压器-超高压-器身干燥）</t>
    </r>
  </si>
  <si>
    <r>
      <t>由「EN-KT04」拆分。</t>
    </r>
  </si>
  <si>
    <r>
      <t>└─ 工序蒸汽消费量（变压器-超高压-器身干燥）</t>
    </r>
  </si>
  <si>
    <r>
      <t>指标直接输入项。变压器超高压产线器身干燥工序产品产量。</t>
    </r>
  </si>
  <si>
    <r>
      <t>指标直接输入项。变压器超高压产线器身干燥工序中电力消费量。</t>
    </r>
  </si>
  <si>
    <r>
      <t>指标直接输入项。变压器超高压产线器身干燥工序中蒸汽能源消费量。</t>
    </r>
  </si>
  <si>
    <r>
      <t>指标直接输入项。变压器超高压产线试验工序综合能源消费量。</t>
    </r>
  </si>
  <si>
    <r>
      <t>└─ 工序电力消费量（变压器-超高压-试验）</t>
    </r>
  </si>
  <si>
    <r>
      <t>由「EN-KT05」拆分。</t>
    </r>
  </si>
  <si>
    <r>
      <t>指标直接输入项。变压器超高压产线试验工序产品产量。</t>
    </r>
  </si>
  <si>
    <r>
      <t>指标直接输入项。变压器超高压产线试验工序中电力消费量。</t>
    </r>
  </si>
  <si>
    <r>
      <t>指标直接输入项。变压器高压产线器身干燥工序综合能源消费量。</t>
    </r>
  </si>
  <si>
    <r>
      <t>└─ 工序电力消费量（变压器-高压-器身干燥）</t>
    </r>
  </si>
  <si>
    <r>
      <t>由「EN-KT14」拆分。</t>
    </r>
  </si>
  <si>
    <r>
      <t>└─ 工序蒸汽消费量（变压器-高压-器身干燥）</t>
    </r>
  </si>
  <si>
    <r>
      <t>指标直接输入项。变压器高压产线器身干燥工序产品产量。</t>
    </r>
  </si>
  <si>
    <r>
      <t>指标直接输入项。变压器高压产线器身干燥工序中电力消费量。</t>
    </r>
  </si>
  <si>
    <r>
      <t>指标直接输入项。变压器高压产线器身干燥工序中蒸汽能源消费量。</t>
    </r>
  </si>
  <si>
    <r>
      <t>指标直接输入项。变压器高压产线试验工序综合能源消费量。</t>
    </r>
  </si>
  <si>
    <r>
      <t>└─ 工序电力消费量（变压器-高压-试验）</t>
    </r>
  </si>
  <si>
    <r>
      <t>由「EN-KT15」拆分。</t>
    </r>
  </si>
  <si>
    <r>
      <t>指标直接输入项。变压器高压产线试验工序产品产量。</t>
    </r>
  </si>
  <si>
    <r>
      <t>指标直接输入项。变压器高压产线试验工序中电力消费量。</t>
    </r>
  </si>
  <si>
    <r>
      <t>指标直接输入项。变压器配变箱变产线器身干燥工序综合能源消费量。</t>
    </r>
  </si>
  <si>
    <r>
      <t>└─ 工序电力消费量（变压器-配变箱变-器身干燥）</t>
    </r>
  </si>
  <si>
    <r>
      <t>由「EN-KT12」拆分。</t>
    </r>
  </si>
  <si>
    <r>
      <t>指标直接输入项。变压器配变箱变产线器身干燥工序产品产量。</t>
    </r>
  </si>
  <si>
    <r>
      <t>指标直接输入项。变压器配变箱变产线器身干燥工序中电力消费量。</t>
    </r>
  </si>
  <si>
    <r>
      <t>指标直接输入项。变压器配变箱变产线试验工序综合能源消费量。</t>
    </r>
  </si>
  <si>
    <r>
      <t>└─ 工序电力消费量（变压器-配变箱变-试验）</t>
    </r>
  </si>
  <si>
    <r>
      <t>由「EN-KT13」拆分。</t>
    </r>
  </si>
  <si>
    <r>
      <t>指标直接输入项。变压器配变箱变产线试验工序产品产量。</t>
    </r>
  </si>
  <si>
    <r>
      <t>指标直接输入项。变压器配变箱变产线试验工序中电力消费量。</t>
    </r>
  </si>
  <si>
    <r>
      <t>指标直接输入项。变压器配变中特产线器身干燥工序综合能源消费量。</t>
    </r>
  </si>
  <si>
    <r>
      <t>└─ 工序电力消费量（变压器-配变中特-器身干燥）</t>
    </r>
  </si>
  <si>
    <r>
      <t>由「EN-KT06」拆分。</t>
    </r>
  </si>
  <si>
    <r>
      <t>指标直接输入项。变压器配变中特产线器身干燥工序产品产量。</t>
    </r>
  </si>
  <si>
    <r>
      <t>指标直接输入项。变压器配变中特产线器身干燥工序中电力消费量。</t>
    </r>
  </si>
  <si>
    <r>
      <t>指标直接输入项。变压器配变中特产线试验工序综合能源消费量。</t>
    </r>
  </si>
  <si>
    <r>
      <t>└─ 工序电力消费量（变压器-配变中特-试验）</t>
    </r>
  </si>
  <si>
    <r>
      <t>由「EN-KT07」拆分。</t>
    </r>
  </si>
  <si>
    <r>
      <t>指标直接输入项。变压器配变中特产线试验工序产品产量。</t>
    </r>
  </si>
  <si>
    <r>
      <t>指标直接输入项。变压器配变中特产线试验工序中电力消费量。</t>
    </r>
  </si>
  <si>
    <r>
      <t>指标直接输入项。变压器配变油变产线器身干燥工序综合能源消费量。</t>
    </r>
  </si>
  <si>
    <r>
      <t>└─ 工序电力消费量（变压器-配变油变-器身干燥）</t>
    </r>
  </si>
  <si>
    <r>
      <t>由「EN-KT10」拆分。</t>
    </r>
  </si>
  <si>
    <r>
      <t>指标直接输入项。变压器配变油变产线器身干燥工序产品产量。</t>
    </r>
  </si>
  <si>
    <r>
      <t>指标直接输入项。变压器配变油变产线器身干燥工序中电力消费量。</t>
    </r>
  </si>
  <si>
    <r>
      <t>指标直接输入项。变压器配变油变产线试验工序综合能源消费量。</t>
    </r>
  </si>
  <si>
    <r>
      <t>└─ 工序电力消费量（变压器-配变油变-试验）</t>
    </r>
  </si>
  <si>
    <r>
      <t>由「EN-KT11」拆分。</t>
    </r>
  </si>
  <si>
    <r>
      <t>指标直接输入项。变压器配变油变产线试验工序产品产量。</t>
    </r>
  </si>
  <si>
    <r>
      <t>指标直接输入项。变压器配变油变产线试验工序中电力消费量。</t>
    </r>
  </si>
  <si>
    <r>
      <t>指标直接输入项。变压器配变干变产线浇注固化工序综合能源消费量。</t>
    </r>
  </si>
  <si>
    <r>
      <t>└─ 工序电力消费量（变压器-配变干变-浇注固化）</t>
    </r>
  </si>
  <si>
    <r>
      <t>由「EN-KT08」拆分。</t>
    </r>
  </si>
  <si>
    <r>
      <t>指标直接输入项。变压器配变干变产线浇注固化工序产品产量。</t>
    </r>
  </si>
  <si>
    <r>
      <t>指标直接输入项。变压器配变干变产线浇注固化工序中电力消费量。</t>
    </r>
  </si>
  <si>
    <r>
      <t>指标直接输入项。变压器配变干变产线试验工序综合能源消费量。</t>
    </r>
  </si>
  <si>
    <r>
      <t>└─ 工序电力消费量（变压器-配变干变-试验）</t>
    </r>
  </si>
  <si>
    <r>
      <t>由「EN-KT09」拆分。</t>
    </r>
  </si>
  <si>
    <r>
      <t>指标直接输入项。变压器配变干变产线试验工序产品产量。</t>
    </r>
  </si>
  <si>
    <r>
      <t>指标直接输入项。变压器配变干变产线试验工序中电力消费量。</t>
    </r>
  </si>
  <si>
    <r>
      <t>指标直接输入项。中低压开关柜钣金加工工序中电力消费量。</t>
    </r>
  </si>
  <si>
    <r>
      <t>指标直接输入项。中低压开关柜钣金加工工序产品产值。</t>
    </r>
  </si>
  <si>
    <r>
      <t>指标直接输入项。中低压开关柜钣金喷涂工序中电力消费量。</t>
    </r>
  </si>
  <si>
    <r>
      <t>指标直接输入项。中低压开关柜钣金喷涂工序产品产值。</t>
    </r>
  </si>
  <si>
    <r>
      <t>指标直接输入项。套管干燥工序电力消费量。</t>
    </r>
  </si>
  <si>
    <r>
      <t>指标直接输入项。套管干燥工序产品产值。</t>
    </r>
  </si>
  <si>
    <r>
      <t>指标直接输入项。套管卷制工序电力消费量。</t>
    </r>
  </si>
  <si>
    <r>
      <t>指标直接输入项。套管卷制工序产品产值。</t>
    </r>
  </si>
  <si>
    <r>
      <t>指标直接输入项。套管试验工序电力消费量。</t>
    </r>
  </si>
  <si>
    <r>
      <t>指标直接输入项。套管试验工序产品产值。</t>
    </r>
  </si>
  <si>
    <r>
      <t>指标直接输入项。互感器干燥工序综合能源消费量。</t>
    </r>
  </si>
  <si>
    <r>
      <t>└─ 工序电力消费量（互感器-干燥）</t>
    </r>
  </si>
  <si>
    <r>
      <t>由「EN-KT01」拆分。</t>
    </r>
  </si>
  <si>
    <r>
      <t>└─ 工序蒸汽消费量（互感器-干燥）</t>
    </r>
  </si>
  <si>
    <r>
      <t>指标直接输入项。互感器干燥工序产品产值。</t>
    </r>
  </si>
  <si>
    <r>
      <t>指标直接输入项。互感器干燥工序电力消费量。</t>
    </r>
  </si>
  <si>
    <r>
      <t>指标直接输入项。互感器干燥工序蒸汽能源消费量。</t>
    </r>
  </si>
  <si>
    <r>
      <t>指标直接输入项。互感器试验工序电力消费量。</t>
    </r>
  </si>
  <si>
    <r>
      <t>指标直接输入项。互感器试验工序产品产值。</t>
    </r>
  </si>
  <si>
    <r>
      <t>指标直接输入项。二次-SMT贴片工序电力消费量。</t>
    </r>
  </si>
  <si>
    <r>
      <t>指标直接输入项。二次-SMT贴片工序产品产值。</t>
    </r>
  </si>
  <si>
    <r>
      <t>指标直接输入项。二次-高温老化工序电力消费量。</t>
    </r>
  </si>
  <si>
    <r>
      <t>指标直接输入项。二次-高温老化工序产品产值。</t>
    </r>
  </si>
  <si>
    <r>
      <t>指标直接输入项。二次-波峰焊工序电力消费量。</t>
    </r>
  </si>
  <si>
    <r>
      <t>指标直接输入项。二次-波峰焊工序产品产值。</t>
    </r>
  </si>
  <si>
    <r>
      <t>指标直接输入项。电容器芯子卷绕工序中电力消费量。</t>
    </r>
  </si>
  <si>
    <r>
      <t>指标直接输入项。电容器芯子卷绕工序产品产量。</t>
    </r>
  </si>
  <si>
    <r>
      <t>指标直接输入项。电容器真空浸渍工序中电力消费量。</t>
    </r>
  </si>
  <si>
    <r>
      <t>指标直接输入项。电容器真空浸渍工序产品产量。</t>
    </r>
  </si>
  <si>
    <r>
      <t>指标直接输入项。电容器喷漆工序中电力消费量。</t>
    </r>
  </si>
  <si>
    <r>
      <t>指标直接输入项。电容器喷漆工序产品产量。</t>
    </r>
  </si>
  <si>
    <r>
      <t>指标直接输入项。电容器试验工序中电力消费量。</t>
    </r>
  </si>
  <si>
    <r>
      <t>指标直接输入项。电容器试验工序产品产量。</t>
    </r>
  </si>
  <si>
    <r>
      <t>指标直接输入项。干式电抗器固化工序电力消费量。</t>
    </r>
  </si>
  <si>
    <r>
      <t>指标直接输入项。干式电抗器固化工序产品产值。</t>
    </r>
  </si>
  <si>
    <r>
      <t>指标直接输入项。干式电抗器试验工序电力消费量。</t>
    </r>
  </si>
  <si>
    <r>
      <t>指标直接输入项。干式电抗器试验工序产品产值。</t>
    </r>
  </si>
  <si>
    <r>
      <t>指标直接输入项。GIL螺旋焊管生产工序电力消费量。</t>
    </r>
  </si>
  <si>
    <r>
      <t>指标直接输入项。GIL螺旋焊管生产工序产品产值。</t>
    </r>
  </si>
  <si>
    <r>
      <t>指标直接输入项。GIL测试工序电力消费量。</t>
    </r>
  </si>
  <si>
    <r>
      <t>指标直接输入项。GIL测试工序产品产值。</t>
    </r>
  </si>
  <si>
    <r>
      <t>指标直接输入项。GIL绝缘子生产工序电力消费量。</t>
    </r>
  </si>
  <si>
    <r>
      <t>指标直接输入项。GIL绝缘子生产工序产品产值。</t>
    </r>
  </si>
  <si>
    <r>
      <t>指标直接输入项。GIS抽真空工序电力消费量。</t>
    </r>
  </si>
  <si>
    <r>
      <t>指标直接输入项。GIS抽真空工序产品产值。</t>
    </r>
  </si>
  <si>
    <r>
      <t>指标直接输入项。GIS绝缘件干燥工序电力消费量。</t>
    </r>
  </si>
  <si>
    <r>
      <t>指标直接输入项。GIS绝缘件干燥工序产品产值。</t>
    </r>
  </si>
  <si>
    <r>
      <t>指标直接输入项。GIS工频耐压试验工序电力消费量。</t>
    </r>
  </si>
  <si>
    <r>
      <t>指标直接输入项。GIS工频耐压试验工序产品产值。</t>
    </r>
  </si>
  <si>
    <r>
      <t>指标直接输入项。GIS空调恒温除湿工序电力消费量。</t>
    </r>
  </si>
  <si>
    <r>
      <t>指标直接输入项。GIS空调恒温除湿工序产品产值。</t>
    </r>
  </si>
  <si>
    <r>
      <t>指标直接输入项。非晶合金铁心退火工序中电力消费量。</t>
    </r>
  </si>
  <si>
    <r>
      <t>指标直接输入项。非晶合金铁心退火工序产品产量。</t>
    </r>
  </si>
  <si>
    <r>
      <t>指标直接输入项。硅钢铁心纵剪工序中电力消费量。</t>
    </r>
  </si>
  <si>
    <r>
      <t>指标直接输入项。硅钢铁心纵剪工序产品产量。</t>
    </r>
  </si>
  <si>
    <r>
      <t>指标直接输入项。硅钢铁心中型叠装工序中电力消费量。</t>
    </r>
  </si>
  <si>
    <r>
      <t>指标直接输入项。硅钢铁心中型叠装工序产品产量。</t>
    </r>
  </si>
  <si>
    <r>
      <t>指标直接输入项。硅钢铁心大型叠装工序中电力消费量。</t>
    </r>
  </si>
  <si>
    <r>
      <t>指标直接输入项。硅钢铁心大型叠装工序产品产量。</t>
    </r>
  </si>
  <si>
    <r>
      <t>附 · 源表未单列的能源品种分项（待项目公司确认，共 11 项）</t>
    </r>
  </si>
  <si>
    <r>
      <t>工序综合能源消费量（变压器-特高压-试验）（EN-KT03）</t>
    </r>
  </si>
  <si>
    <r>
      <t>综合能耗（EN-KT03）与电力消费量（EN-KE16）为两个独立变量，说明本工序还存在非电能源品种，但源表未单列。</t>
    </r>
  </si>
  <si>
    <r>
      <t>请项目公司确认该工序是否有蒸汽 / 天然气 / 热力计量点；如有，须补充对应参数编码后并入综合能耗折标计算。</t>
    </r>
  </si>
  <si>
    <r>
      <t>工序综合能源消费量（变压器-超高压-试验）（EN-KT05）</t>
    </r>
  </si>
  <si>
    <r>
      <t>综合能耗（EN-KT05）与电力消费量（EN-KE18）为两个独立变量，说明本工序还存在非电能源品种，但源表未单列。</t>
    </r>
  </si>
  <si>
    <r>
      <t>工序综合能源消费量（变压器-高压-试验）（EN-KT15）</t>
    </r>
  </si>
  <si>
    <r>
      <t>综合能耗（EN-KT15）与电力消费量（EN-KE28）为两个独立变量，说明本工序还存在非电能源品种，但源表未单列。</t>
    </r>
  </si>
  <si>
    <r>
      <t>工序综合能源消费量（变压器-配变箱变-器身干燥）（EN-KT12）</t>
    </r>
  </si>
  <si>
    <r>
      <t>综合能耗（EN-KT12）与电力消费量（EN-KE25）为两个独立变量，说明本工序还存在非电能源品种，但源表未单列。</t>
    </r>
  </si>
  <si>
    <r>
      <t>工序综合能源消费量（变压器-配变箱变-试验）（EN-KT13）</t>
    </r>
  </si>
  <si>
    <r>
      <t>综合能耗（EN-KT13）与电力消费量（EN-KE26）为两个独立变量，说明本工序还存在非电能源品种，但源表未单列。</t>
    </r>
  </si>
  <si>
    <r>
      <t>工序综合能源消费量（变压器-配变中特-器身干燥）（EN-KT06）</t>
    </r>
  </si>
  <si>
    <r>
      <t>综合能耗（EN-KT06）与电力消费量（EN-KE19）为两个独立变量，说明本工序还存在非电能源品种，但源表未单列。</t>
    </r>
  </si>
  <si>
    <r>
      <t>工序综合能源消费量（变压器-配变中特-试验）（EN-KT07）</t>
    </r>
  </si>
  <si>
    <r>
      <t>综合能耗（EN-KT07）与电力消费量（EN-KE20）为两个独立变量，说明本工序还存在非电能源品种，但源表未单列。</t>
    </r>
  </si>
  <si>
    <r>
      <t>工序综合能源消费量（变压器-配变油变-器身干燥）（EN-KT10）</t>
    </r>
  </si>
  <si>
    <r>
      <t>综合能耗（EN-KT10）与电力消费量（EN-KE23）为两个独立变量，说明本工序还存在非电能源品种，但源表未单列。</t>
    </r>
  </si>
  <si>
    <r>
      <t>工序综合能源消费量（变压器-配变油变-试验）（EN-KT11）</t>
    </r>
  </si>
  <si>
    <r>
      <t>综合能耗（EN-KT11）与电力消费量（EN-KE24）为两个独立变量，说明本工序还存在非电能源品种，但源表未单列。</t>
    </r>
  </si>
  <si>
    <r>
      <t>工序综合能源消费量（变压器-配变干变-浇注固化）（EN-KT08）</t>
    </r>
  </si>
  <si>
    <r>
      <t>综合能耗（EN-KT08）与电力消费量（EN-KE21）为两个独立变量，说明本工序还存在非电能源品种，但源表未单列。</t>
    </r>
  </si>
  <si>
    <r>
      <t>工序综合能源消费量（变压器-配变干变-试验）（EN-KT09）</t>
    </r>
  </si>
  <si>
    <r>
      <t>综合能耗（EN-KT09）与电力消费量（EN-KE22）为两个独立变量，说明本工序还存在非电能源品种，但源表未单列。</t>
    </r>
  </si>
</sst>
</file>

<file path=xl/styles.xml><?xml version="1.0" encoding="utf-8"?>
<styleSheet xmlns="http://schemas.openxmlformats.org/spreadsheetml/2006/main">
  <numFmts count="1">
    <numFmt numFmtId="300" formatCode="General"/>
  </numFmts>
  <fonts count="14">
    <font>
      <name val="Calibri"/>
      <family val="2"/>
      <color theme="1"/>
      <sz val="11"/>
      <scheme val="minor"/>
    </font>
    <font>
      <name val="等线"/>
      <charset val="134"/>
      <color rgb="FF175CEB"/>
      <sz val="10"/>
      <u/>
      <scheme val="minor"/>
    </font>
    <font>
      <name val="Segoe UI Symbol"/>
      <family val="2"/>
      <color rgb="FF000000"/>
      <sz val="10"/>
    </font>
    <font>
      <name val="微软雅黑"/>
      <b val="1"/>
      <color rgb="FF0F3A5F"/>
      <sz val="15"/>
    </font>
    <font>
      <name val="微软雅黑"/>
      <color rgb="FF555555"/>
      <sz val="10"/>
    </font>
    <font>
      <name val="微软雅黑"/>
      <b val="1"/>
      <color rgb="FF1F4E79"/>
      <sz val="12"/>
    </font>
    <font>
      <name val="微软雅黑"/>
      <color rgb="FF666666"/>
      <sz val="9"/>
    </font>
    <font>
      <name val="微软雅黑"/>
      <b val="1"/>
      <color rgb="FF1F4E79"/>
      <sz val="9"/>
    </font>
    <font>
      <name val="Consolas"/>
      <b val="1"/>
      <color rgb="FF7F3F00"/>
      <sz val="11"/>
    </font>
    <font>
      <name val="微软雅黑"/>
      <b val="1"/>
      <color rgb="FFFFFFFF"/>
      <sz val="10"/>
    </font>
    <font>
      <name val="Consolas"/>
      <color rgb="FF1F4E79"/>
      <sz val="9"/>
    </font>
    <font>
      <name val="微软雅黑"/>
      <color rgb="FF222222"/>
      <sz val="9"/>
    </font>
    <font>
      <name val="微软雅黑"/>
      <b val="1"/>
      <color rgb="FF1F4E79"/>
      <sz val="11"/>
    </font>
    <font>
      <name val="Calibri"/>
      <family val="2"/>
      <color theme="1"/>
      <sz val="11"/>
      <scheme val="minor"/>
    </font>
  </fonts>
  <fills count="15">
    <fill>
      <patternFill/>
    </fill>
    <fill>
      <patternFill patternType="gray125"/>
    </fill>
    <fill>
      <patternFill patternType="solid">
        <fgColor rgb="FFFFF4E5"/>
      </patternFill>
    </fill>
    <fill>
      <patternFill patternType="solid">
        <fgColor rgb="FFFFE699"/>
      </patternFill>
    </fill>
    <fill>
      <patternFill patternType="solid">
        <fgColor rgb="FF1F4E79"/>
      </patternFill>
    </fill>
    <fill>
      <patternFill patternType="solid">
        <fgColor rgb="FF2E75B6"/>
      </patternFill>
    </fill>
    <fill>
      <patternFill patternType="solid">
        <fgColor rgb="FFFCE9F1"/>
      </patternFill>
    </fill>
    <fill>
      <patternFill patternType="solid">
        <fgColor rgb="FFDEEBF7"/>
      </patternFill>
    </fill>
    <fill>
      <patternFill patternType="solid">
        <fgColor rgb="FFEAF3E9"/>
      </patternFill>
    </fill>
    <fill>
      <patternFill patternType="solid">
        <fgColor rgb="FFE8EEF5"/>
      </patternFill>
    </fill>
    <fill>
      <patternFill patternType="solid">
        <fgColor rgb="FFFDF0E3"/>
      </patternFill>
    </fill>
    <fill>
      <patternFill patternType="solid">
        <fgColor rgb="FFE9F5EC"/>
      </patternFill>
    </fill>
    <fill>
      <patternFill patternType="solid">
        <fgColor rgb="FFF0EAF8"/>
      </patternFill>
    </fill>
    <fill>
      <patternFill patternType="solid">
        <fgColor rgb="FFF2F7FC"/>
      </patternFill>
    </fill>
    <fill>
      <patternFill/>
    </fill>
  </fills>
  <borders count="5">
    <border>
      <left/>
      <right/>
      <top/>
      <bottom/>
      <diagonal/>
    </border>
    <border>
      <left style="thin">
        <color rgb="FFBFCEDD"/>
      </left>
      <right style="thin">
        <color rgb="FFBFCEDD"/>
      </right>
      <top style="thin">
        <color rgb="FFBFCEDD"/>
      </top>
      <bottom style="thin">
        <color rgb="FFBFCEDD"/>
      </bottom>
    </border>
    <border>
      <left/>
      <right/>
      <top style="thin">
        <color rgb="FFBFCEDD"/>
      </top>
      <bottom style="thin">
        <color rgb="FFBFCEDD"/>
      </bottom>
      <diagonal/>
    </border>
    <border>
      <left/>
      <right style="thin">
        <color rgb="FFBFCEDD"/>
      </right>
      <top style="thin">
        <color rgb="FFBFCEDD"/>
      </top>
      <bottom style="thin">
        <color rgb="FFBFCEDD"/>
      </bottom>
      <diagonal/>
    </border>
    <border>
      <left/>
      <right/>
      <top/>
      <bottom/>
      <diagonal/>
    </border>
  </borders>
  <cellStyleXfs>
    <xf numFmtId="300" fontId="13" fillId="14" borderId="4" xfId="0"/>
  </cellStyleXfs>
  <cellXfs count="76">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14" borderId="4" xfId="0" applyFont="1" applyAlignment="1">
      <alignment horizontal="left" vertical="center"/>
    </xf>
    <xf numFmtId="300" fontId="4" fillId="14" borderId="4" xfId="0" applyFont="1" applyAlignment="1">
      <alignment horizontal="left" vertical="center"/>
    </xf>
    <xf numFmtId="300" fontId="5" fillId="14" borderId="4" xfId="0" applyFont="1"/>
    <xf numFmtId="300" fontId="6" fillId="2" borderId="4" xfId="0" applyFont="1" applyFill="1" applyAlignment="1">
      <alignment horizontal="left" vertical="center" wrapText="1"/>
    </xf>
    <xf numFmtId="300" fontId="7" fillId="14" borderId="4" xfId="0" applyFont="1"/>
    <xf numFmtId="300" fontId="8" fillId="3" borderId="4" xfId="0" applyFont="1" applyFill="1" applyAlignment="1">
      <alignment horizontal="left" vertical="center" wrapText="1"/>
    </xf>
    <xf numFmtId="300" fontId="6" fillId="14" borderId="4" xfId="0" applyFont="1"/>
    <xf numFmtId="300" fontId="13" fillId="14" borderId="4" xfId="0"/>
    <xf numFmtId="300" fontId="9" fillId="4" borderId="1" xfId="0" applyFont="1" applyFill="1" applyBorder="1" applyAlignment="1">
      <alignment horizontal="center" vertical="center" wrapText="1"/>
    </xf>
    <xf numFmtId="300" fontId="13" fillId="14" borderId="2" xfId="0" applyBorder="1"/>
    <xf numFmtId="300" fontId="13" fillId="14" borderId="3" xfId="0" applyBorder="1"/>
    <xf numFmtId="300" fontId="7" fillId="14" borderId="1" xfId="0" applyFont="1" applyBorder="1" applyAlignment="1">
      <alignment horizontal="left" vertical="center" wrapText="1"/>
    </xf>
    <xf numFmtId="300" fontId="6" fillId="14" borderId="4" xfId="0" applyFont="1" applyAlignment="1">
      <alignment horizontal="left" vertical="top" wrapText="1"/>
    </xf>
    <xf numFmtId="300" fontId="10" fillId="14" borderId="1" xfId="0" applyFont="1" applyBorder="1" applyAlignment="1">
      <alignment horizontal="center" vertical="center" wrapText="1"/>
    </xf>
    <xf numFmtId="300" fontId="11" fillId="14" borderId="1" xfId="0" applyFont="1" applyBorder="1" applyAlignment="1">
      <alignment horizontal="left" vertical="center" wrapText="1"/>
    </xf>
    <xf numFmtId="300" fontId="11" fillId="14" borderId="1" xfId="0" applyFont="1" applyBorder="1" applyAlignment="1">
      <alignment horizontal="center" vertical="center" wrapText="1"/>
    </xf>
    <xf numFmtId="300" fontId="10" fillId="14" borderId="1" xfId="0" applyFont="1" applyBorder="1" applyAlignment="1">
      <alignment horizontal="left" vertical="center" wrapText="1"/>
    </xf>
    <xf numFmtId="300" fontId="6" fillId="2" borderId="4" xfId="0" applyFont="1" applyFill="1" applyAlignment="1">
      <alignment horizontal="left" vertical="top" wrapText="1"/>
    </xf>
    <xf numFmtId="300" fontId="9" fillId="5" borderId="1" xfId="0" applyFont="1" applyFill="1" applyBorder="1" applyAlignment="1">
      <alignment horizontal="center" vertical="center" wrapText="1"/>
    </xf>
    <xf numFmtId="300" fontId="13" fillId="5" borderId="1" xfId="0" applyFill="1" applyBorder="1"/>
    <xf numFmtId="300" fontId="7" fillId="6" borderId="1" xfId="0" applyFont="1" applyFill="1" applyBorder="1" applyAlignment="1">
      <alignment horizontal="left" vertical="center" wrapText="1"/>
    </xf>
    <xf numFmtId="300" fontId="11" fillId="6" borderId="1" xfId="0" applyFont="1" applyFill="1" applyBorder="1" applyAlignment="1">
      <alignment horizontal="left" vertical="center" wrapText="1"/>
    </xf>
    <xf numFmtId="300" fontId="13" fillId="6" borderId="1" xfId="0" applyFill="1" applyBorder="1"/>
    <xf numFmtId="300" fontId="7" fillId="7" borderId="1" xfId="0" applyFont="1" applyFill="1" applyBorder="1" applyAlignment="1">
      <alignment horizontal="left" vertical="center" wrapText="1"/>
    </xf>
    <xf numFmtId="300" fontId="11" fillId="7" borderId="1" xfId="0" applyFont="1" applyFill="1" applyBorder="1" applyAlignment="1">
      <alignment horizontal="left" vertical="center" wrapText="1"/>
    </xf>
    <xf numFmtId="300" fontId="13" fillId="7" borderId="1" xfId="0" applyFill="1" applyBorder="1"/>
    <xf numFmtId="300" fontId="6" fillId="8" borderId="4" xfId="0" applyFont="1" applyFill="1" applyAlignment="1">
      <alignment horizontal="left" vertical="top" wrapText="1"/>
    </xf>
    <xf numFmtId="300" fontId="11" fillId="14" borderId="1" xfId="0" applyFont="1" applyBorder="1" applyAlignment="1">
      <alignment horizontal="left" vertical="top" wrapText="1"/>
    </xf>
    <xf numFmtId="300" fontId="13" fillId="14" borderId="1" xfId="0" applyBorder="1"/>
    <xf numFmtId="300" fontId="7" fillId="14" borderId="1" xfId="0" applyFont="1" applyBorder="1" applyAlignment="1">
      <alignment horizontal="center" vertical="center" wrapText="1"/>
    </xf>
    <xf numFmtId="300" fontId="11" fillId="9" borderId="1" xfId="0" applyFont="1" applyFill="1" applyBorder="1" applyAlignment="1">
      <alignment horizontal="center" vertical="top" wrapText="1"/>
    </xf>
    <xf numFmtId="300" fontId="7" fillId="9" borderId="1" xfId="0" applyFont="1" applyFill="1" applyBorder="1" applyAlignment="1">
      <alignment horizontal="left" vertical="top" wrapText="1"/>
    </xf>
    <xf numFmtId="300" fontId="11" fillId="9" borderId="1" xfId="0" applyFont="1" applyFill="1" applyBorder="1" applyAlignment="1">
      <alignment horizontal="left" vertical="top" wrapText="1"/>
    </xf>
    <xf numFmtId="300" fontId="6" fillId="9" borderId="1" xfId="0" applyFont="1" applyFill="1" applyBorder="1" applyAlignment="1">
      <alignment horizontal="left" vertical="top" wrapText="1"/>
    </xf>
    <xf numFmtId="300" fontId="11" fillId="7" borderId="1" xfId="0" applyFont="1" applyFill="1" applyBorder="1" applyAlignment="1">
      <alignment horizontal="center" vertical="top" wrapText="1"/>
    </xf>
    <xf numFmtId="300" fontId="7" fillId="7" borderId="1" xfId="0" applyFont="1" applyFill="1" applyBorder="1" applyAlignment="1">
      <alignment horizontal="left" vertical="top" wrapText="1"/>
    </xf>
    <xf numFmtId="300" fontId="11" fillId="7" borderId="1" xfId="0" applyFont="1" applyFill="1" applyBorder="1" applyAlignment="1">
      <alignment horizontal="left" vertical="top" wrapText="1"/>
    </xf>
    <xf numFmtId="300" fontId="6" fillId="7" borderId="1" xfId="0" applyFont="1" applyFill="1" applyBorder="1" applyAlignment="1">
      <alignment horizontal="left" vertical="top" wrapText="1"/>
    </xf>
    <xf numFmtId="300" fontId="11" fillId="6" borderId="1" xfId="0" applyFont="1" applyFill="1" applyBorder="1" applyAlignment="1">
      <alignment horizontal="center" vertical="top" wrapText="1"/>
    </xf>
    <xf numFmtId="300" fontId="7" fillId="6" borderId="1" xfId="0" applyFont="1" applyFill="1" applyBorder="1" applyAlignment="1">
      <alignment horizontal="left" vertical="top" wrapText="1"/>
    </xf>
    <xf numFmtId="300" fontId="11" fillId="6" borderId="1" xfId="0" applyFont="1" applyFill="1" applyBorder="1" applyAlignment="1">
      <alignment horizontal="left" vertical="top" wrapText="1"/>
    </xf>
    <xf numFmtId="300" fontId="6" fillId="6" borderId="1" xfId="0" applyFont="1" applyFill="1" applyBorder="1" applyAlignment="1">
      <alignment horizontal="left" vertical="top" wrapText="1"/>
    </xf>
    <xf numFmtId="300" fontId="11" fillId="10" borderId="1" xfId="0" applyFont="1" applyFill="1" applyBorder="1" applyAlignment="1">
      <alignment horizontal="center" vertical="top" wrapText="1"/>
    </xf>
    <xf numFmtId="300" fontId="7" fillId="10" borderId="1" xfId="0" applyFont="1" applyFill="1" applyBorder="1" applyAlignment="1">
      <alignment horizontal="left" vertical="top" wrapText="1"/>
    </xf>
    <xf numFmtId="300" fontId="11" fillId="10" borderId="1" xfId="0" applyFont="1" applyFill="1" applyBorder="1" applyAlignment="1">
      <alignment horizontal="left" vertical="top" wrapText="1"/>
    </xf>
    <xf numFmtId="300" fontId="6" fillId="10" borderId="1" xfId="0" applyFont="1" applyFill="1" applyBorder="1" applyAlignment="1">
      <alignment horizontal="left" vertical="top" wrapText="1"/>
    </xf>
    <xf numFmtId="300" fontId="11" fillId="11" borderId="1" xfId="0" applyFont="1" applyFill="1" applyBorder="1" applyAlignment="1">
      <alignment horizontal="center" vertical="top" wrapText="1"/>
    </xf>
    <xf numFmtId="300" fontId="7" fillId="11" borderId="1" xfId="0" applyFont="1" applyFill="1" applyBorder="1" applyAlignment="1">
      <alignment horizontal="left" vertical="top" wrapText="1"/>
    </xf>
    <xf numFmtId="300" fontId="11" fillId="11" borderId="1" xfId="0" applyFont="1" applyFill="1" applyBorder="1" applyAlignment="1">
      <alignment horizontal="left" vertical="top" wrapText="1"/>
    </xf>
    <xf numFmtId="300" fontId="6" fillId="11" borderId="1" xfId="0" applyFont="1" applyFill="1" applyBorder="1" applyAlignment="1">
      <alignment horizontal="left" vertical="top" wrapText="1"/>
    </xf>
    <xf numFmtId="300" fontId="11" fillId="12" borderId="1" xfId="0" applyFont="1" applyFill="1" applyBorder="1" applyAlignment="1">
      <alignment horizontal="center" vertical="top" wrapText="1"/>
    </xf>
    <xf numFmtId="300" fontId="7" fillId="12" borderId="1" xfId="0" applyFont="1" applyFill="1" applyBorder="1" applyAlignment="1">
      <alignment horizontal="left" vertical="top" wrapText="1"/>
    </xf>
    <xf numFmtId="300" fontId="11" fillId="12" borderId="1" xfId="0" applyFont="1" applyFill="1" applyBorder="1" applyAlignment="1">
      <alignment horizontal="left" vertical="top" wrapText="1"/>
    </xf>
    <xf numFmtId="300" fontId="6" fillId="12" borderId="1" xfId="0" applyFont="1" applyFill="1" applyBorder="1" applyAlignment="1">
      <alignment horizontal="left" vertical="top" wrapText="1"/>
    </xf>
    <xf numFmtId="300" fontId="7" fillId="14" borderId="1" xfId="0" applyFont="1" applyBorder="1" applyAlignment="1">
      <alignment horizontal="center" vertical="top" wrapText="1"/>
    </xf>
    <xf numFmtId="300" fontId="11" fillId="14" borderId="1" xfId="0" applyFont="1" applyBorder="1" applyAlignment="1">
      <alignment horizontal="center" vertical="top" wrapText="1"/>
    </xf>
    <xf numFmtId="300" fontId="10" fillId="14" borderId="1" xfId="0" applyFont="1" applyBorder="1" applyAlignment="1">
      <alignment horizontal="left" vertical="top" wrapText="1"/>
    </xf>
    <xf numFmtId="300" fontId="6" fillId="14" borderId="1" xfId="0" applyFont="1" applyBorder="1" applyAlignment="1">
      <alignment horizontal="left" vertical="top" wrapText="1"/>
    </xf>
    <xf numFmtId="300" fontId="10" fillId="14" borderId="1" xfId="0" applyFont="1" applyBorder="1" applyAlignment="1">
      <alignment horizontal="center" vertical="top" wrapText="1"/>
    </xf>
    <xf numFmtId="300" fontId="7" fillId="2" borderId="1" xfId="0" applyFont="1" applyFill="1" applyBorder="1" applyAlignment="1">
      <alignment horizontal="center" vertical="center" wrapText="1"/>
    </xf>
    <xf numFmtId="300" fontId="7" fillId="2" borderId="1" xfId="0" applyFont="1" applyFill="1" applyBorder="1" applyAlignment="1">
      <alignment horizontal="left" vertical="center" wrapText="1"/>
    </xf>
    <xf numFmtId="300" fontId="11" fillId="2" borderId="1" xfId="0" applyFont="1" applyFill="1" applyBorder="1" applyAlignment="1">
      <alignment horizontal="left" vertical="top" wrapText="1"/>
    </xf>
    <xf numFmtId="300" fontId="11" fillId="13" borderId="1" xfId="0" applyFont="1" applyFill="1" applyBorder="1" applyAlignment="1">
      <alignment horizontal="center" vertical="top" wrapText="1"/>
    </xf>
    <xf numFmtId="300" fontId="7" fillId="13" borderId="1" xfId="0" applyFont="1" applyFill="1" applyBorder="1" applyAlignment="1">
      <alignment horizontal="center" vertical="top" wrapText="1"/>
    </xf>
    <xf numFmtId="300" fontId="11" fillId="13" borderId="1" xfId="0" applyFont="1" applyFill="1" applyBorder="1" applyAlignment="1">
      <alignment horizontal="left" vertical="top" wrapText="1"/>
    </xf>
    <xf numFmtId="300" fontId="10" fillId="13" borderId="1" xfId="0" applyFont="1" applyFill="1" applyBorder="1" applyAlignment="1">
      <alignment horizontal="left" vertical="top" wrapText="1"/>
    </xf>
    <xf numFmtId="300" fontId="11" fillId="13" borderId="1" xfId="0" applyFont="1" applyFill="1" applyBorder="1" applyAlignment="1">
      <alignment horizontal="center" vertical="center" wrapText="1"/>
    </xf>
    <xf numFmtId="300" fontId="6" fillId="14" borderId="1" xfId="0" applyFont="1" applyBorder="1" applyAlignment="1">
      <alignment horizontal="center" vertical="center" wrapText="1"/>
    </xf>
    <xf numFmtId="300" fontId="6" fillId="13" borderId="1" xfId="0" applyFont="1" applyFill="1" applyBorder="1" applyAlignment="1">
      <alignment horizontal="center" vertical="center" wrapText="1"/>
    </xf>
    <xf numFmtId="300" fontId="6" fillId="13" borderId="1" xfId="0" applyFont="1" applyFill="1" applyBorder="1" applyAlignment="1">
      <alignment horizontal="left" vertical="top" wrapText="1"/>
    </xf>
    <xf numFmtId="300" fontId="12" fillId="14" borderId="4" xfId="0" applyFont="1"/>
    <xf numFmtId="300" fontId="10" fillId="2" borderId="1" xfId="0" applyFont="1" applyFill="1" applyBorder="1" applyAlignment="1">
      <alignment horizontal="left" vertical="top" wrapText="1"/>
    </xf>
  </cellXfs>
  <cellStyles>
    <cellStyle name="Normal" xfId="0" builtinId="0" hidden="0"/>
  </cellStyles>
</styleSheet>
</file>

<file path=xl/_rels/workbook.xml.rels><?xml version="1.0" encoding="UTF-8" standalone="yes"?><Relationships xmlns="http://schemas.openxmlformats.org/package/2006/relationships"><Relationship Id="rId10" Type="http://schemas.openxmlformats.org/officeDocument/2006/relationships/worksheet" Target="worksheets/sheet8.xml" /><Relationship Id="rId0" Type="http://schemas.openxmlformats.org/officeDocument/2006/relationships/sharedStrings" Target="sharedStrings.xml" /><Relationship Id="rId1" Type="http://schemas.openxmlformats.org/officeDocument/2006/relationships/theme" Target="theme/theme1.xml" /><Relationship Id="rId11" Type="http://schemas.openxmlformats.org/officeDocument/2006/relationships/worksheet" Target="worksheets/sheet9.xml" /><Relationship Id="rId4" Type="http://schemas.openxmlformats.org/officeDocument/2006/relationships/worksheet" Target="worksheets/sheet2.xml" /><Relationship Id="rId5" Type="http://schemas.openxmlformats.org/officeDocument/2006/relationships/worksheet" Target="worksheets/sheet3.xml" /><Relationship Id="rId2" Type="http://schemas.openxmlformats.org/officeDocument/2006/relationships/styles" Target="styles.xml" /><Relationship Id="rId3" Type="http://schemas.openxmlformats.org/officeDocument/2006/relationships/worksheet" Target="worksheets/sheet1.xml" /><Relationship Id="rId7" Type="http://schemas.openxmlformats.org/officeDocument/2006/relationships/worksheet" Target="worksheets/sheet5.xml" /><Relationship Id="rId6" Type="http://schemas.openxmlformats.org/officeDocument/2006/relationships/worksheet" Target="worksheets/sheet4.xml" /><Relationship Id="rId8" Type="http://schemas.openxmlformats.org/officeDocument/2006/relationships/worksheet" Target="worksheets/sheet6.xml" /><Relationship Id="rId9" Type="http://schemas.openxmlformats.org/officeDocument/2006/relationships/worksheet" Target="worksheets/sheet7.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4E79"/>
    <outlinePr summaryBelow="1" summaryRight="1"/>
    <pageSetUpPr fitToPage="1"/>
  </sheetPr>
  <dimension ref="H162"/>
  <sheetViews>
    <sheetView showGridLines="1" workbookViewId="0"/>
  </sheetViews>
  <sheetFormatPr baseColWidth="8" defaultRowHeight="15"/>
  <cols>
    <col min="1" max="1" width="26" customWidth="1"/>
    <col min="2" max="2" width="96" customWidth="1"/>
    <col min="3" max="3" width="16" customWidth="1"/>
    <col min="4" max="4" width="16" customWidth="1"/>
    <col min="5" max="5" width="16" customWidth="1"/>
    <col min="6" max="6" width="12" customWidth="1"/>
    <col min="7" max="7" width="12" customWidth="1"/>
    <col min="8" max="8" width="12" customWidth="1"/>
  </cols>
  <sheetData>
    <row r="1" spans="1:1" ht="30" customHeight="1">
      <c r="A1" s="4" t="s">
        <v>35</v>
      </c>
    </row>
    <row r="2" spans="1:1" ht="18" customHeight="1">
      <c r="A2" s="5" t="s">
        <v>36</v>
      </c>
    </row>
    <row r="4" spans="1:1">
      <c r="A4" s="6" t="s">
        <v>37</v>
      </c>
    </row>
    <row r="5" spans="1:1" ht="20" customHeight="1">
      <c r="A5" s="7" t="s">
        <v>38</v>
      </c>
    </row>
    <row r="6" spans="1:2" ht="22" customHeight="1">
      <c r="A6" s="8" t="s">
        <v>39</v>
      </c>
      <c r="B6" s="9" t="s">
        <v>40</v>
      </c>
    </row>
    <row r="7" spans="1:2">
      <c r="A7" s="10" t="s">
        <v>41</v>
      </c>
      <c r="B7" s="11">
        <f t="array" ref="B7">=IF($B$6="","",IFERROR(MATCH($B$6,'02-基础参数表'!$B:$B,0),IFERROR(MATCH($B$6,'02-基础参数表'!$C:$C,0),"")))</f>
        <v>244</v>
      </c>
    </row>
    <row r="9" spans="1:8" ht="22" customHeight="1">
      <c r="A9" s="12" t="s">
        <v>42</v>
      </c>
      <c r="B9" s="12" t="s">
        <v>43</v>
      </c>
      <c r="C9" s="13" t="s"/>
      <c r="D9" s="13" t="s"/>
      <c r="E9" s="13" t="s"/>
      <c r="F9" s="13" t="s"/>
      <c r="G9" s="13" t="s"/>
      <c r="H9" s="14" t="s"/>
    </row>
    <row r="10" spans="1:2" ht="18" customHeight="1">
      <c r="A10" s="15" t="s">
        <v>44</v>
      </c>
      <c r="B10" s="11" t="str">
        <f t="array" ref="B10">=IF($B$7="","",IFERROR(INDEX('02-基础参数表'!$B:$Y,$B$7,1),""))</f>
        <v>EN-KE46</v>
      </c>
    </row>
    <row r="11" spans="1:2" ht="18" customHeight="1">
      <c r="A11" s="15" t="s">
        <v>45</v>
      </c>
      <c r="B11" s="11" t="str">
        <f t="array" ref="B11">=IF($B$7="","",IFERROR(INDEX('02-基础参数表'!$B:$Y,$B$7,2),""))</f>
        <v>工序电力消费量（线缆-导线-拉丝·铜）</v>
      </c>
    </row>
    <row r="12" spans="1:2" ht="18" customHeight="1">
      <c r="A12" s="15" t="s">
        <v>46</v>
      </c>
      <c r="B12" s="11" t="str">
        <f t="array" ref="B12">=IF($B$7="","",IFERROR(INDEX('02-基础参数表'!$B:$Y,$B$7,3),""))</f>
        <v>工序级</v>
      </c>
    </row>
    <row r="13" spans="1:2" ht="18" customHeight="1">
      <c r="A13" s="15" t="s">
        <v>47</v>
      </c>
      <c r="B13" s="11" t="str">
        <f t="array" ref="B13">=IF($B$7="","",IFERROR(INDEX('02-基础参数表'!$B:$Y,$B$7,4),""))</f>
        <v>实测值</v>
      </c>
    </row>
    <row r="14" spans="1:2" ht="18" customHeight="1">
      <c r="A14" s="15" t="s">
        <v>48</v>
      </c>
      <c r="B14" s="11" t="str">
        <f t="array" ref="B14">=IF($B$7="","",IFERROR(INDEX('02-基础参数表'!$B:$Y,$B$7,5),""))</f>
        <v>Q线缆-导线-拉丝Cu-电</v>
      </c>
    </row>
    <row r="15" spans="1:2" ht="18" customHeight="1">
      <c r="A15" s="15" t="s">
        <v>49</v>
      </c>
      <c r="B15" s="11" t="str">
        <f t="array" ref="B15">=IF($B$7="","",IFERROR(INDEX('02-基础参数表'!$B:$Y,$B$7,6),""))</f>
        <v>线缆-导线</v>
      </c>
    </row>
    <row r="16" spans="1:2" ht="18" customHeight="1">
      <c r="A16" s="15" t="s">
        <v>50</v>
      </c>
      <c r="B16" s="11" t="str">
        <f t="array" ref="B16">=IF($B$7="","",IFERROR(INDEX('02-基础参数表'!$B:$Y,$B$7,7),""))</f>
        <v>拉丝</v>
      </c>
    </row>
    <row r="17" spans="1:2" ht="18" customHeight="1">
      <c r="A17" s="15" t="s">
        <v>51</v>
      </c>
      <c r="B17" s="11" t="str">
        <f t="array" ref="B17">=IF($B$7="","",IFERROR(INDEX('02-基础参数表'!$B:$Y,$B$7,8),""))</f>
        <v>能源数据</v>
      </c>
    </row>
    <row r="18" spans="1:2" ht="42" customHeight="1">
      <c r="A18" s="15" t="s">
        <v>52</v>
      </c>
      <c r="B18" s="11" t="str">
        <f t="array" ref="B18">=IF($B$7="","",IFERROR(INDEX('02-基础参数表'!$B:$Y,$B$7,9),""))</f>
        <v>导线产线中拉丝工序电力消费量（计量对象：铜）。</v>
      </c>
    </row>
    <row r="19" spans="1:2" ht="18" customHeight="1">
      <c r="A19" s="15" t="s">
        <v>53</v>
      </c>
      <c r="B19" s="11" t="str">
        <f t="array" ref="B19">=IF($B$7="","",IFERROR(INDEX('02-基础参数表'!$B:$Y,$B$7,10),""))</f>
        <v>kWh</v>
      </c>
    </row>
    <row r="20" spans="1:2" ht="18" customHeight="1">
      <c r="A20" s="15" t="s">
        <v>54</v>
      </c>
      <c r="B20" s="11" t="str">
        <f t="array" ref="B20">=IF($B$7="","",IFERROR(INDEX('02-基础参数表'!$B:$Y,$B$7,11),""))</f>
        <v>数值（0 位小数）</v>
      </c>
    </row>
    <row r="21" spans="1:2" ht="18" customHeight="1">
      <c r="A21" s="15" t="s">
        <v>55</v>
      </c>
      <c r="B21" s="11" t="str">
        <f t="array" ref="B21">=IF($B$7="","",IFERROR(INDEX('02-基础参数表'!$B:$Y,$B$7,12),""))</f>
        <v>0</v>
      </c>
    </row>
    <row r="22" spans="1:2" ht="18" customHeight="1">
      <c r="A22" s="15" t="s">
        <v>56</v>
      </c>
      <c r="B22" s="11" t="str">
        <f t="array" ref="B22">=IF($B$7="","",IFERROR(INDEX('02-基础参数表'!$B:$Y,$B$7,13),""))</f>
        <v>≥ 0，≤ 该产线总电量</v>
      </c>
    </row>
    <row r="23" spans="1:2" ht="18" customHeight="1">
      <c r="A23" s="15" t="s">
        <v>57</v>
      </c>
      <c r="B23" s="11" t="str">
        <f t="array" ref="B23">=IF($B$7="","",IFERROR(INDEX('02-基础参数表'!$B:$Y,$B$7,14),""))</f>
        <v>—</v>
      </c>
    </row>
    <row r="24" spans="1:2" ht="18" customHeight="1">
      <c r="A24" s="15" t="s">
        <v>58</v>
      </c>
      <c r="B24" s="11" t="str">
        <f t="array" ref="B24">=IF($B$7="","",IFERROR(INDEX('02-基础参数表'!$B:$Y,$B$7,15),""))</f>
        <v>能源计量系统 / 产线工序电表</v>
      </c>
    </row>
    <row r="25" spans="1:2" ht="30" customHeight="1">
      <c r="A25" s="15" t="s">
        <v>59</v>
      </c>
      <c r="B25" s="11" t="str">
        <f t="array" ref="B25">=IF($B$7="","",IFERROR(INDEX('02-基础参数表'!$B:$Y,$B$7,16),""))</f>
        <v>能源计量系统.产线-工序计量点.正向有功电量累计值</v>
      </c>
    </row>
    <row r="26" spans="1:2" ht="30" customHeight="1">
      <c r="A26" s="15" t="s">
        <v>60</v>
      </c>
      <c r="B26" s="11" t="str">
        <f t="array" ref="B26">=IF($B$7="","",IFERROR(INDEX('02-基础参数表'!$B:$Y,$B$7,17),""))</f>
        <v>自动采集</v>
      </c>
    </row>
    <row r="27" spans="1:2" ht="18" customHeight="1">
      <c r="A27" s="15" t="s">
        <v>61</v>
      </c>
      <c r="B27" s="11" t="str">
        <f t="array" ref="B27">=IF($B$7="","",IFERROR(INDEX('02-基础参数表'!$B:$Y,$B$7,18),""))</f>
        <v>月度</v>
      </c>
    </row>
    <row r="28" spans="1:2" ht="18" customHeight="1">
      <c r="A28" s="15" t="s">
        <v>62</v>
      </c>
      <c r="B28" s="11" t="str">
        <f t="array" ref="B28">=IF($B$7="","",IFERROR(INDEX('02-基础参数表'!$B:$Y,$B$7,19),""))</f>
        <v>是</v>
      </c>
    </row>
    <row r="29" spans="1:2" ht="18" customHeight="1">
      <c r="A29" s="15" t="s">
        <v>63</v>
      </c>
      <c r="B29" s="11" t="str">
        <f t="array" ref="B29">=IF($B$7="","",IFERROR(INDEX('02-基础参数表'!$B:$Y,$B$7,20),""))</f>
        <v>各项目公司能源管理岗</v>
      </c>
    </row>
    <row r="30" spans="1:2" ht="18" customHeight="1">
      <c r="A30" s="15" t="s">
        <v>64</v>
      </c>
      <c r="B30" s="11" t="str">
        <f t="array" ref="B30">=IF($B$7="","",IFERROR(INDEX('02-基础参数表'!$B:$Y,$B$7,21),""))</f>
        <v>IND-017（吨铜电耗（线缆-导线-拉丝））</v>
      </c>
    </row>
    <row r="31" spans="1:2" ht="42" customHeight="1">
      <c r="A31" s="15" t="s">
        <v>65</v>
      </c>
      <c r="B31" s="11" t="str">
        <f t="array" ref="B31">=IF($B$7="","",IFERROR(INDEX('02-基础参数表'!$B:$Y,$B$7,22),""))</f>
        <v>—</v>
      </c>
    </row>
    <row r="32" spans="1:2" ht="30" customHeight="1">
      <c r="A32" s="15" t="s">
        <v>66</v>
      </c>
      <c r="B32" s="11" t="str">
        <f t="array" ref="B32">=IF($B$7="","",IFERROR(INDEX('02-基础参数表'!$B:$Y,$B$7,23),""))</f>
        <v>非负、与计量点绑定、按月累计、单位 kWh</v>
      </c>
    </row>
    <row r="33" spans="1:2" ht="42" customHeight="1">
      <c r="A33" s="15" t="s">
        <v>67</v>
      </c>
      <c r="B33" s="11" t="str">
        <f t="array" ref="B33">=IF($B$7="","",IFERROR(INDEX('02-基础参数表'!$B:$Y,$B$7,24),""))</f>
        <v>颗粒度：产线「线缆-导线」× 工序「拉丝」× 物料「铜」。原表变量符号「Q线缆-导线-拉丝Cu-电」。</v>
      </c>
    </row>
    <row r="35" spans="1:1">
      <c r="A35" s="6" t="s">
        <v>68</v>
      </c>
    </row>
    <row r="36" spans="1:1" ht="20" customHeight="1">
      <c r="A36" s="7" t="s">
        <v>69</v>
      </c>
    </row>
    <row r="37" spans="1:2" ht="22" customHeight="1">
      <c r="A37" s="8" t="s">
        <v>70</v>
      </c>
      <c r="B37" s="9" t="s">
        <v>71</v>
      </c>
    </row>
    <row r="38" spans="1:2">
      <c r="A38" s="10" t="s">
        <v>41</v>
      </c>
      <c r="B38" s="11">
        <f t="array" ref="B38">=IF($B$37="","",IFERROR(MATCH($B$37,'03-指标清单'!$A:$A,0),IFERROR(MATCH($B$37,'03-指标清单'!$B:$B,0),"")))</f>
        <v>18</v>
      </c>
    </row>
    <row r="40" spans="1:8" ht="22" customHeight="1">
      <c r="A40" s="12" t="s">
        <v>42</v>
      </c>
      <c r="B40" s="12" t="s">
        <v>43</v>
      </c>
      <c r="C40" s="13" t="s"/>
      <c r="D40" s="13" t="s"/>
      <c r="E40" s="13" t="s"/>
      <c r="F40" s="13" t="s"/>
      <c r="G40" s="13" t="s"/>
      <c r="H40" s="14" t="s"/>
    </row>
    <row r="41" spans="1:2" ht="18" customHeight="1">
      <c r="A41" s="15" t="s">
        <v>72</v>
      </c>
      <c r="B41" s="11" t="str">
        <f t="array" ref="B41">=IF($B$38="","",IFERROR(INDEX('03-指标清单'!$A:$S,$B$38,1),""))</f>
        <v>IND-017</v>
      </c>
    </row>
    <row r="42" spans="1:2" ht="18" customHeight="1">
      <c r="A42" s="15" t="s">
        <v>73</v>
      </c>
      <c r="B42" s="11" t="str">
        <f t="array" ref="B42">=IF($B$38="","",IFERROR(INDEX('03-指标清单'!$A:$S,$B$38,2),""))</f>
        <v>吨铜电耗（线缆-导线-拉丝）</v>
      </c>
    </row>
    <row r="43" spans="1:2" ht="18" customHeight="1">
      <c r="A43" s="15" t="s">
        <v>74</v>
      </c>
      <c r="B43" s="11" t="str">
        <f t="array" ref="B43">=IF($B$38="","",IFERROR(INDEX('03-指标清单'!$A:$S,$B$38,3),""))</f>
        <v>关键工序</v>
      </c>
    </row>
    <row r="44" spans="1:2" ht="18" customHeight="1">
      <c r="A44" s="15" t="s">
        <v>75</v>
      </c>
      <c r="B44" s="11" t="str">
        <f t="array" ref="B44">=IF($B$38="","",IFERROR(INDEX('03-指标清单'!$A:$S,$B$38,4),""))</f>
        <v>集控中心</v>
      </c>
    </row>
    <row r="45" spans="1:2" ht="18" customHeight="1">
      <c r="A45" s="15" t="s">
        <v>76</v>
      </c>
      <c r="B45" s="11" t="str">
        <f t="array" ref="B45">=IF($B$38="","",IFERROR(INDEX('03-指标清单'!$A:$S,$B$38,5),""))</f>
        <v>关键工序</v>
      </c>
    </row>
    <row r="46" spans="1:2" ht="18" customHeight="1">
      <c r="A46" s="15" t="s">
        <v>77</v>
      </c>
      <c r="B46" s="11" t="str">
        <f t="array" ref="B46">=IF($B$38="","",IFERROR(INDEX('03-指标清单'!$A:$S,$B$38,7),""))</f>
        <v>EN-KE46 ÷ OUT-KM27</v>
      </c>
    </row>
    <row r="47" spans="1:2" ht="40" customHeight="1">
      <c r="A47" s="15" t="s">
        <v>78</v>
      </c>
      <c r="B47" s="11" t="str">
        <f t="array" ref="B47">=IF($B$38="","",IFERROR(INDEX('03-指标清单'!$A:$S,$B$38,8),""))</f>
        <v>EN-KE46
OUT-KM27</v>
      </c>
    </row>
    <row r="48" spans="1:2" ht="18" customHeight="1">
      <c r="A48" s="15" t="s">
        <v>79</v>
      </c>
      <c r="B48" s="11" t="str">
        <f t="array" ref="B48">=IF($B$38="","",IFERROR(INDEX('03-指标清单'!$A:$S,$B$38,10),""))</f>
        <v>kWh/t</v>
      </c>
    </row>
    <row r="49" spans="1:2" ht="18" customHeight="1">
      <c r="A49" s="15" t="s">
        <v>80</v>
      </c>
      <c r="B49" s="11" t="str">
        <f t="array" ref="B49">=IF($B$38="","",IFERROR(INDEX('03-指标清单'!$A:$S,$B$38,12),""))</f>
        <v>电装管理要求</v>
      </c>
    </row>
    <row r="50" spans="1:2" ht="40" customHeight="1">
      <c r="A50" s="15" t="s">
        <v>81</v>
      </c>
      <c r="B50" s="11" t="str">
        <f t="array" ref="B50">=IF($B$38="","",IFERROR(INDEX('03-指标清单'!$A:$S,$B$38,17),""))</f>
        <v>EN-KE46、OUT-KM27</v>
      </c>
    </row>
    <row r="51" spans="1:2" ht="40" customHeight="1">
      <c r="A51" s="15" t="s">
        <v>82</v>
      </c>
      <c r="B51" s="11" t="str">
        <f t="array" ref="B51">=IF($B$38="","",IFERROR(INDEX('03-指标清单'!$A:$S,$B$38,18),""))</f>
        <v>分子取「本产线-本工序」能源计量点读数，分母取同产线同工序产量/产值，两者期间必须一致。</v>
      </c>
    </row>
    <row r="52" spans="1:2" ht="54" customHeight="1">
      <c r="A52" s="15" t="s">
        <v>83</v>
      </c>
      <c r="B52" s="11" t="str">
        <f t="array" ref="B52">=IF($B$38="","",IFERROR(INDEX('03-指标清单'!$A:$S,$B$38,19),""))</f>
        <v>分子 · EN-KE46 工序电力消费量（线缆-导线-拉丝·铜）（kWh）　｜　分母 · OUT-KM27 工序产品产量（线缆-导线-拉丝·铜）（t）</v>
      </c>
    </row>
    <row r="54" spans="1:1">
      <c r="A54" s="6" t="s">
        <v>84</v>
      </c>
    </row>
    <row r="55" spans="1:1" ht="18" customHeight="1">
      <c r="A55" s="16" t="s">
        <v>85</v>
      </c>
    </row>
    <row r="56" spans="1:5" ht="22" customHeight="1">
      <c r="A56" s="12" t="s">
        <v>86</v>
      </c>
      <c r="B56" s="12" t="s">
        <v>87</v>
      </c>
      <c r="C56" s="12" t="s">
        <v>46</v>
      </c>
      <c r="D56" s="12" t="s">
        <v>88</v>
      </c>
      <c r="E56" s="12" t="s">
        <v>89</v>
      </c>
    </row>
    <row r="57" spans="1:5" ht="18" customHeight="1">
      <c r="A57" s="17" t="s">
        <v>90</v>
      </c>
      <c r="B57" s="18" t="s">
        <v>91</v>
      </c>
      <c r="C57" s="19" t="s">
        <v>92</v>
      </c>
      <c r="D57" s="19">
        <v>8</v>
      </c>
      <c r="E57" s="20" t="s">
        <v>93</v>
      </c>
    </row>
    <row r="58" spans="1:5" ht="18" customHeight="1">
      <c r="A58" s="17" t="s">
        <v>94</v>
      </c>
      <c r="B58" s="18" t="s">
        <v>95</v>
      </c>
      <c r="C58" s="19" t="s">
        <v>92</v>
      </c>
      <c r="D58" s="19">
        <v>8</v>
      </c>
      <c r="E58" s="20" t="s">
        <v>96</v>
      </c>
    </row>
    <row r="59" spans="1:5" ht="18" customHeight="1">
      <c r="A59" s="17" t="s">
        <v>97</v>
      </c>
      <c r="B59" s="18" t="s">
        <v>98</v>
      </c>
      <c r="C59" s="19" t="s">
        <v>99</v>
      </c>
      <c r="D59" s="19">
        <v>32</v>
      </c>
      <c r="E59" s="20" t="s">
        <v>100</v>
      </c>
    </row>
    <row r="60" spans="1:5" ht="18" customHeight="1">
      <c r="A60" s="17" t="s">
        <v>101</v>
      </c>
      <c r="B60" s="18" t="s">
        <v>102</v>
      </c>
      <c r="C60" s="19" t="s">
        <v>103</v>
      </c>
      <c r="D60" s="19">
        <v>5</v>
      </c>
      <c r="E60" s="20" t="s">
        <v>104</v>
      </c>
    </row>
    <row r="61" spans="1:5" ht="18" customHeight="1">
      <c r="A61" s="17" t="s">
        <v>105</v>
      </c>
      <c r="B61" s="18" t="s">
        <v>106</v>
      </c>
      <c r="C61" s="19" t="s">
        <v>107</v>
      </c>
      <c r="D61" s="19">
        <v>59</v>
      </c>
      <c r="E61" s="20" t="s">
        <v>108</v>
      </c>
    </row>
    <row r="62" spans="1:5" ht="18" customHeight="1">
      <c r="A62" s="17" t="s">
        <v>109</v>
      </c>
      <c r="B62" s="18" t="s">
        <v>110</v>
      </c>
      <c r="C62" s="19" t="s">
        <v>107</v>
      </c>
      <c r="D62" s="19">
        <v>4</v>
      </c>
      <c r="E62" s="20" t="s">
        <v>111</v>
      </c>
    </row>
    <row r="63" spans="1:5" ht="18" customHeight="1">
      <c r="A63" s="17" t="s">
        <v>112</v>
      </c>
      <c r="B63" s="18" t="s">
        <v>113</v>
      </c>
      <c r="C63" s="19" t="s">
        <v>107</v>
      </c>
      <c r="D63" s="19">
        <v>15</v>
      </c>
      <c r="E63" s="20" t="s">
        <v>114</v>
      </c>
    </row>
    <row r="64" spans="1:5" ht="18" customHeight="1">
      <c r="A64" s="17" t="s">
        <v>115</v>
      </c>
      <c r="B64" s="18" t="s">
        <v>116</v>
      </c>
      <c r="C64" s="19" t="s">
        <v>107</v>
      </c>
      <c r="D64" s="19">
        <v>40</v>
      </c>
      <c r="E64" s="20" t="s">
        <v>117</v>
      </c>
    </row>
    <row r="65" spans="1:5" ht="18" customHeight="1">
      <c r="A65" s="17" t="s">
        <v>118</v>
      </c>
      <c r="B65" s="18" t="s">
        <v>119</v>
      </c>
      <c r="C65" s="19" t="s">
        <v>103</v>
      </c>
      <c r="D65" s="19">
        <v>1</v>
      </c>
      <c r="E65" s="20" t="s">
        <v>120</v>
      </c>
    </row>
    <row r="66" spans="1:5" ht="18" customHeight="1">
      <c r="A66" s="17" t="s">
        <v>121</v>
      </c>
      <c r="B66" s="18" t="s">
        <v>122</v>
      </c>
      <c r="C66" s="19" t="s">
        <v>107</v>
      </c>
      <c r="D66" s="19">
        <v>19</v>
      </c>
      <c r="E66" s="20" t="s">
        <v>123</v>
      </c>
    </row>
    <row r="67" spans="1:5" ht="18" customHeight="1">
      <c r="A67" s="17" t="s">
        <v>124</v>
      </c>
      <c r="B67" s="18" t="s">
        <v>125</v>
      </c>
      <c r="C67" s="19" t="s">
        <v>126</v>
      </c>
      <c r="D67" s="19">
        <v>9</v>
      </c>
      <c r="E67" s="20" t="s">
        <v>127</v>
      </c>
    </row>
    <row r="68" spans="1:5" ht="18" customHeight="1">
      <c r="A68" s="17" t="s">
        <v>128</v>
      </c>
      <c r="B68" s="18" t="s">
        <v>129</v>
      </c>
      <c r="C68" s="19" t="s">
        <v>126</v>
      </c>
      <c r="D68" s="19">
        <v>12</v>
      </c>
      <c r="E68" s="20" t="s">
        <v>130</v>
      </c>
    </row>
    <row r="69" spans="1:5" ht="18" customHeight="1">
      <c r="A69" s="17" t="s">
        <v>131</v>
      </c>
      <c r="B69" s="18" t="s">
        <v>132</v>
      </c>
      <c r="C69" s="19" t="s">
        <v>99</v>
      </c>
      <c r="D69" s="19">
        <v>14</v>
      </c>
      <c r="E69" s="20" t="s">
        <v>133</v>
      </c>
    </row>
    <row r="70" spans="1:5" ht="18" customHeight="1">
      <c r="A70" s="17" t="s">
        <v>134</v>
      </c>
      <c r="B70" s="18" t="s">
        <v>135</v>
      </c>
      <c r="C70" s="19" t="s">
        <v>136</v>
      </c>
      <c r="D70" s="19">
        <v>14</v>
      </c>
      <c r="E70" s="20" t="s">
        <v>137</v>
      </c>
    </row>
    <row r="71" spans="1:5" ht="18" customHeight="1">
      <c r="A71" s="17" t="s">
        <v>138</v>
      </c>
      <c r="B71" s="18" t="s">
        <v>139</v>
      </c>
      <c r="C71" s="19" t="s">
        <v>92</v>
      </c>
      <c r="D71" s="19">
        <v>17</v>
      </c>
      <c r="E71" s="20" t="s">
        <v>140</v>
      </c>
    </row>
    <row r="72" spans="1:5" ht="18" customHeight="1">
      <c r="A72" s="17" t="s">
        <v>141</v>
      </c>
      <c r="B72" s="18" t="s">
        <v>142</v>
      </c>
      <c r="C72" s="19" t="s">
        <v>143</v>
      </c>
      <c r="D72" s="19">
        <v>94</v>
      </c>
      <c r="E72" s="20" t="s">
        <v>144</v>
      </c>
    </row>
    <row r="73" spans="1:5" ht="18" customHeight="1">
      <c r="A73" s="17" t="s">
        <v>145</v>
      </c>
      <c r="B73" s="18" t="s">
        <v>146</v>
      </c>
      <c r="C73" s="19" t="s">
        <v>147</v>
      </c>
      <c r="D73" s="19">
        <v>7</v>
      </c>
      <c r="E73" s="20" t="s">
        <v>148</v>
      </c>
    </row>
    <row r="74" spans="1:5" ht="18" customHeight="1">
      <c r="A74" s="17" t="s">
        <v>149</v>
      </c>
      <c r="B74" s="18" t="s">
        <v>150</v>
      </c>
      <c r="C74" s="19" t="s">
        <v>147</v>
      </c>
      <c r="D74" s="19">
        <v>20</v>
      </c>
      <c r="E74" s="20" t="s">
        <v>151</v>
      </c>
    </row>
    <row r="75" spans="1:5" ht="18" customHeight="1">
      <c r="A75" s="17" t="s">
        <v>152</v>
      </c>
      <c r="B75" s="18" t="s">
        <v>153</v>
      </c>
      <c r="C75" s="19" t="s">
        <v>147</v>
      </c>
      <c r="D75" s="19">
        <v>10</v>
      </c>
      <c r="E75" s="20" t="s">
        <v>154</v>
      </c>
    </row>
    <row r="76" spans="1:5" ht="18" customHeight="1">
      <c r="A76" s="17" t="s">
        <v>155</v>
      </c>
      <c r="B76" s="18" t="s">
        <v>156</v>
      </c>
      <c r="C76" s="19" t="s">
        <v>99</v>
      </c>
      <c r="D76" s="19">
        <v>2</v>
      </c>
      <c r="E76" s="20" t="s">
        <v>157</v>
      </c>
    </row>
    <row r="77" spans="1:5" ht="18" customHeight="1">
      <c r="A77" s="17" t="s">
        <v>158</v>
      </c>
      <c r="B77" s="18" t="s">
        <v>159</v>
      </c>
      <c r="C77" s="19" t="s">
        <v>147</v>
      </c>
      <c r="D77" s="19">
        <v>3</v>
      </c>
      <c r="E77" s="20" t="s">
        <v>160</v>
      </c>
    </row>
    <row r="78" spans="1:5" ht="18" customHeight="1">
      <c r="A78" s="17" t="s">
        <v>161</v>
      </c>
      <c r="B78" s="18" t="s">
        <v>162</v>
      </c>
      <c r="C78" s="19" t="s">
        <v>163</v>
      </c>
      <c r="D78" s="19">
        <v>20</v>
      </c>
      <c r="E78" s="20" t="s">
        <v>164</v>
      </c>
    </row>
    <row r="79" spans="1:5" ht="18" customHeight="1">
      <c r="A79" s="17" t="s">
        <v>165</v>
      </c>
      <c r="B79" s="18" t="s">
        <v>166</v>
      </c>
      <c r="C79" s="19" t="s">
        <v>99</v>
      </c>
      <c r="D79" s="19">
        <v>6</v>
      </c>
      <c r="E79" s="20" t="s">
        <v>167</v>
      </c>
    </row>
    <row r="80" spans="1:5" ht="18" customHeight="1">
      <c r="A80" s="17" t="s">
        <v>168</v>
      </c>
      <c r="B80" s="18" t="s">
        <v>169</v>
      </c>
      <c r="C80" s="19" t="s">
        <v>170</v>
      </c>
      <c r="D80" s="19">
        <v>5</v>
      </c>
      <c r="E80" s="20" t="s">
        <v>171</v>
      </c>
    </row>
    <row r="81" spans="1:5" ht="18" customHeight="1">
      <c r="A81" s="17" t="s">
        <v>172</v>
      </c>
      <c r="B81" s="18" t="s">
        <v>173</v>
      </c>
      <c r="C81" s="19" t="s">
        <v>174</v>
      </c>
      <c r="D81" s="19">
        <v>2</v>
      </c>
      <c r="E81" s="20" t="s">
        <v>175</v>
      </c>
    </row>
    <row r="83" spans="1:1">
      <c r="A83" s="6" t="s">
        <v>176</v>
      </c>
    </row>
    <row r="84" spans="1:1" ht="34" customHeight="1">
      <c r="A84" s="21" t="s">
        <v>177</v>
      </c>
    </row>
    <row r="85" spans="1:8" ht="22" customHeight="1">
      <c r="A85" s="22" t="s">
        <v>178</v>
      </c>
      <c r="B85" s="22" t="s">
        <v>179</v>
      </c>
      <c r="C85" s="23" t="s"/>
      <c r="D85" s="23" t="s"/>
      <c r="E85" s="23" t="s"/>
      <c r="F85" s="23" t="s"/>
      <c r="G85" s="23" t="s"/>
      <c r="H85" s="23" t="s"/>
    </row>
    <row r="86" spans="1:8" ht="20" customHeight="1">
      <c r="A86" s="24" t="s">
        <v>180</v>
      </c>
      <c r="B86" s="25" t="s">
        <v>181</v>
      </c>
      <c r="C86" s="26" t="s"/>
      <c r="D86" s="26" t="s"/>
      <c r="E86" s="26" t="s"/>
      <c r="F86" s="26" t="s"/>
      <c r="G86" s="26" t="s"/>
      <c r="H86" s="26" t="s"/>
    </row>
    <row r="87" spans="1:8" ht="20" customHeight="1">
      <c r="A87" s="24" t="s">
        <v>182</v>
      </c>
      <c r="B87" s="25" t="s">
        <v>183</v>
      </c>
      <c r="C87" s="26" t="s"/>
      <c r="D87" s="26" t="s"/>
      <c r="E87" s="26" t="s"/>
      <c r="F87" s="26" t="s"/>
      <c r="G87" s="26" t="s"/>
      <c r="H87" s="26" t="s"/>
    </row>
    <row r="88" spans="1:8" ht="20" customHeight="1">
      <c r="A88" s="24" t="s">
        <v>184</v>
      </c>
      <c r="B88" s="25" t="s">
        <v>185</v>
      </c>
      <c r="C88" s="26" t="s"/>
      <c r="D88" s="26" t="s"/>
      <c r="E88" s="26" t="s"/>
      <c r="F88" s="26" t="s"/>
      <c r="G88" s="26" t="s"/>
      <c r="H88" s="26" t="s"/>
    </row>
    <row r="89" spans="1:8" ht="20" customHeight="1">
      <c r="A89" s="24" t="s">
        <v>186</v>
      </c>
      <c r="B89" s="25" t="s">
        <v>187</v>
      </c>
      <c r="C89" s="26" t="s"/>
      <c r="D89" s="26" t="s"/>
      <c r="E89" s="26" t="s"/>
      <c r="F89" s="26" t="s"/>
      <c r="G89" s="26" t="s"/>
      <c r="H89" s="26" t="s"/>
    </row>
    <row r="90" spans="1:8" ht="20" customHeight="1">
      <c r="A90" s="24" t="s">
        <v>188</v>
      </c>
      <c r="B90" s="25" t="s">
        <v>189</v>
      </c>
      <c r="C90" s="26" t="s"/>
      <c r="D90" s="26" t="s"/>
      <c r="E90" s="26" t="s"/>
      <c r="F90" s="26" t="s"/>
      <c r="G90" s="26" t="s"/>
      <c r="H90" s="26" t="s"/>
    </row>
    <row r="91" spans="1:8" ht="20" customHeight="1">
      <c r="A91" s="24" t="s">
        <v>190</v>
      </c>
      <c r="B91" s="25" t="s">
        <v>191</v>
      </c>
      <c r="C91" s="26" t="s"/>
      <c r="D91" s="26" t="s"/>
      <c r="E91" s="26" t="s"/>
      <c r="F91" s="26" t="s"/>
      <c r="G91" s="26" t="s"/>
      <c r="H91" s="26" t="s"/>
    </row>
    <row r="92" spans="1:8" ht="20" customHeight="1">
      <c r="A92" s="24" t="s">
        <v>192</v>
      </c>
      <c r="B92" s="25" t="s">
        <v>193</v>
      </c>
      <c r="C92" s="26" t="s"/>
      <c r="D92" s="26" t="s"/>
      <c r="E92" s="26" t="s"/>
      <c r="F92" s="26" t="s"/>
      <c r="G92" s="26" t="s"/>
      <c r="H92" s="26" t="s"/>
    </row>
    <row r="93" spans="1:8" ht="20" customHeight="1">
      <c r="A93" s="24" t="s">
        <v>194</v>
      </c>
      <c r="B93" s="25" t="s">
        <v>195</v>
      </c>
      <c r="C93" s="26" t="s"/>
      <c r="D93" s="26" t="s"/>
      <c r="E93" s="26" t="s"/>
      <c r="F93" s="26" t="s"/>
      <c r="G93" s="26" t="s"/>
      <c r="H93" s="26" t="s"/>
    </row>
    <row r="94" spans="1:8" ht="20" customHeight="1">
      <c r="A94" s="24" t="s">
        <v>196</v>
      </c>
      <c r="B94" s="25" t="s">
        <v>197</v>
      </c>
      <c r="C94" s="26" t="s"/>
      <c r="D94" s="26" t="s"/>
      <c r="E94" s="26" t="s"/>
      <c r="F94" s="26" t="s"/>
      <c r="G94" s="26" t="s"/>
      <c r="H94" s="26" t="s"/>
    </row>
    <row r="95" spans="1:8" ht="20" customHeight="1">
      <c r="A95" s="24" t="s">
        <v>198</v>
      </c>
      <c r="B95" s="25" t="s">
        <v>199</v>
      </c>
      <c r="C95" s="26" t="s"/>
      <c r="D95" s="26" t="s"/>
      <c r="E95" s="26" t="s"/>
      <c r="F95" s="26" t="s"/>
      <c r="G95" s="26" t="s"/>
      <c r="H95" s="26" t="s"/>
    </row>
    <row r="96" spans="1:8" ht="20" customHeight="1">
      <c r="A96" s="27" t="s">
        <v>200</v>
      </c>
      <c r="B96" s="28" t="s">
        <v>201</v>
      </c>
      <c r="C96" s="29" t="s"/>
      <c r="D96" s="29" t="s"/>
      <c r="E96" s="29" t="s"/>
      <c r="F96" s="29" t="s"/>
      <c r="G96" s="29" t="s"/>
      <c r="H96" s="29" t="s"/>
    </row>
    <row r="98" spans="1:1">
      <c r="A98" s="6" t="s">
        <v>202</v>
      </c>
    </row>
    <row r="99" spans="1:1" ht="18" customHeight="1">
      <c r="A99" s="16" t="s">
        <v>203</v>
      </c>
    </row>
    <row r="100" spans="1:8">
      <c r="A100" s="22" t="s">
        <v>204</v>
      </c>
      <c r="B100" s="22" t="s">
        <v>205</v>
      </c>
      <c r="C100" s="22" t="s">
        <v>89</v>
      </c>
      <c r="D100" s="13" t="s"/>
      <c r="E100" s="13" t="s"/>
      <c r="F100" s="13" t="s"/>
      <c r="G100" s="13" t="s"/>
      <c r="H100" s="14" t="s"/>
    </row>
    <row r="101" spans="1:3" ht="18" customHeight="1">
      <c r="A101" s="15" t="s">
        <v>206</v>
      </c>
      <c r="B101" s="18" t="s">
        <v>207</v>
      </c>
      <c r="C101" s="18" t="s">
        <v>208</v>
      </c>
    </row>
    <row r="102" spans="1:3" ht="18" customHeight="1">
      <c r="A102" s="15" t="s">
        <v>209</v>
      </c>
      <c r="B102" s="18" t="s">
        <v>210</v>
      </c>
      <c r="C102" s="18" t="s">
        <v>211</v>
      </c>
    </row>
    <row r="103" spans="1:3" ht="18" customHeight="1">
      <c r="A103" s="15" t="s">
        <v>212</v>
      </c>
      <c r="B103" s="18" t="s">
        <v>213</v>
      </c>
      <c r="C103" s="18" t="s">
        <v>214</v>
      </c>
    </row>
    <row r="104" spans="1:3" ht="18" customHeight="1">
      <c r="A104" s="15" t="s">
        <v>215</v>
      </c>
      <c r="B104" s="18" t="s">
        <v>216</v>
      </c>
      <c r="C104" s="18" t="s">
        <v>217</v>
      </c>
    </row>
    <row r="105" spans="1:3" ht="18" customHeight="1">
      <c r="A105" s="15" t="s">
        <v>218</v>
      </c>
      <c r="B105" s="18" t="s">
        <v>219</v>
      </c>
      <c r="C105" s="18" t="s">
        <v>220</v>
      </c>
    </row>
    <row r="106" spans="1:3" ht="18" customHeight="1">
      <c r="A106" s="15" t="s">
        <v>221</v>
      </c>
      <c r="B106" s="18" t="s">
        <v>222</v>
      </c>
      <c r="C106" s="18" t="s">
        <v>223</v>
      </c>
    </row>
    <row r="107" spans="1:3" ht="18" customHeight="1">
      <c r="A107" s="15" t="s">
        <v>224</v>
      </c>
      <c r="B107" s="18" t="s">
        <v>225</v>
      </c>
      <c r="C107" s="18" t="s">
        <v>226</v>
      </c>
    </row>
    <row r="109" spans="1:1" ht="34" customHeight="1">
      <c r="A109" s="21" t="s">
        <v>227</v>
      </c>
    </row>
    <row r="111" spans="1:1">
      <c r="A111" s="6" t="s">
        <v>228</v>
      </c>
    </row>
    <row r="112" spans="1:1" ht="34" customHeight="1">
      <c r="A112" s="21" t="s">
        <v>229</v>
      </c>
    </row>
    <row r="113" spans="1:1" ht="20" customHeight="1">
      <c r="A113" s="20" t="s">
        <v>230</v>
      </c>
    </row>
    <row r="114" spans="1:1" ht="18" customHeight="1">
      <c r="A114" s="20" t="s">
        <v>231</v>
      </c>
    </row>
    <row r="115" spans="1:1" ht="18" customHeight="1">
      <c r="A115" s="20" t="s">
        <v>232</v>
      </c>
    </row>
    <row r="116" spans="1:1" ht="18" customHeight="1">
      <c r="A116" s="20" t="s">
        <v>233</v>
      </c>
    </row>
    <row r="117" spans="1:1" ht="18" customHeight="1">
      <c r="A117" s="20" t="s">
        <v>234</v>
      </c>
    </row>
    <row r="118" spans="1:1" ht="34" customHeight="1">
      <c r="A118" s="30" t="s">
        <v>235</v>
      </c>
    </row>
    <row r="120" spans="1:1">
      <c r="A120" s="6" t="s">
        <v>236</v>
      </c>
    </row>
    <row r="121" spans="1:8">
      <c r="A121" s="22" t="s">
        <v>237</v>
      </c>
      <c r="B121" s="22" t="s">
        <v>238</v>
      </c>
      <c r="C121" s="13" t="s"/>
      <c r="D121" s="14" t="s"/>
      <c r="H121" s="23" t="s"/>
    </row>
    <row r="122" spans="1:8" ht="30" customHeight="1">
      <c r="A122" s="15" t="s">
        <v>239</v>
      </c>
      <c r="B122" s="31" t="s">
        <v>240</v>
      </c>
      <c r="C122" s="32" t="s"/>
      <c r="D122" s="32" t="s"/>
      <c r="E122" s="31" t="s">
        <v>241</v>
      </c>
      <c r="F122" s="32" t="s"/>
      <c r="G122" s="32" t="s"/>
      <c r="H122" s="33" t="s">
        <v>242</v>
      </c>
    </row>
    <row r="123" spans="1:8" ht="30" customHeight="1">
      <c r="A123" s="15" t="s">
        <v>243</v>
      </c>
      <c r="B123" s="31" t="s">
        <v>244</v>
      </c>
      <c r="C123" s="32" t="s"/>
      <c r="D123" s="32" t="s"/>
      <c r="E123" s="31" t="s">
        <v>245</v>
      </c>
      <c r="F123" s="32" t="s"/>
      <c r="G123" s="32" t="s"/>
      <c r="H123" s="33" t="s">
        <v>242</v>
      </c>
    </row>
    <row r="124" spans="1:8" ht="30" customHeight="1">
      <c r="A124" s="15" t="s">
        <v>246</v>
      </c>
      <c r="B124" s="31" t="s">
        <v>247</v>
      </c>
      <c r="C124" s="32" t="s"/>
      <c r="D124" s="32" t="s"/>
      <c r="E124" s="31" t="s">
        <v>248</v>
      </c>
      <c r="F124" s="32" t="s"/>
      <c r="G124" s="32" t="s"/>
      <c r="H124" s="33" t="s">
        <v>249</v>
      </c>
    </row>
    <row r="125" spans="1:8" ht="30" customHeight="1">
      <c r="A125" s="15" t="s">
        <v>250</v>
      </c>
      <c r="B125" s="31" t="s">
        <v>251</v>
      </c>
      <c r="C125" s="32" t="s"/>
      <c r="D125" s="32" t="s"/>
      <c r="E125" s="31" t="s">
        <v>252</v>
      </c>
      <c r="F125" s="32" t="s"/>
      <c r="G125" s="32" t="s"/>
      <c r="H125" s="33" t="s">
        <v>242</v>
      </c>
    </row>
    <row r="126" spans="1:8" ht="30" customHeight="1">
      <c r="A126" s="15" t="s">
        <v>253</v>
      </c>
      <c r="B126" s="31" t="s">
        <v>254</v>
      </c>
      <c r="C126" s="32" t="s"/>
      <c r="D126" s="32" t="s"/>
      <c r="E126" s="31" t="s">
        <v>255</v>
      </c>
      <c r="F126" s="32" t="s"/>
      <c r="G126" s="32" t="s"/>
      <c r="H126" s="33" t="s">
        <v>256</v>
      </c>
    </row>
    <row r="127" spans="1:8" ht="30" customHeight="1">
      <c r="A127" s="15" t="s">
        <v>257</v>
      </c>
      <c r="B127" s="31" t="s">
        <v>258</v>
      </c>
      <c r="C127" s="32" t="s"/>
      <c r="D127" s="32" t="s"/>
      <c r="E127" s="31" t="s">
        <v>259</v>
      </c>
      <c r="F127" s="32" t="s"/>
      <c r="G127" s="32" t="s"/>
      <c r="H127" s="33" t="s">
        <v>260</v>
      </c>
    </row>
    <row r="128" spans="1:8" ht="30" customHeight="1">
      <c r="A128" s="15" t="s">
        <v>261</v>
      </c>
      <c r="B128" s="31" t="s">
        <v>262</v>
      </c>
      <c r="C128" s="32" t="s"/>
      <c r="D128" s="32" t="s"/>
      <c r="E128" s="31" t="s">
        <v>263</v>
      </c>
      <c r="F128" s="32" t="s"/>
      <c r="G128" s="32" t="s"/>
      <c r="H128" s="33" t="s">
        <v>242</v>
      </c>
    </row>
    <row r="129" spans="1:8" ht="30" customHeight="1">
      <c r="A129" s="15" t="s">
        <v>264</v>
      </c>
      <c r="B129" s="31" t="s">
        <v>265</v>
      </c>
      <c r="C129" s="32" t="s"/>
      <c r="D129" s="32" t="s"/>
      <c r="E129" s="31" t="s">
        <v>266</v>
      </c>
      <c r="F129" s="32" t="s"/>
      <c r="G129" s="32" t="s"/>
      <c r="H129" s="33" t="s">
        <v>267</v>
      </c>
    </row>
    <row r="130" spans="1:8" ht="30" customHeight="1">
      <c r="A130" s="15" t="s">
        <v>268</v>
      </c>
      <c r="B130" s="31" t="s">
        <v>269</v>
      </c>
      <c r="C130" s="32" t="s"/>
      <c r="D130" s="32" t="s"/>
      <c r="E130" s="31" t="s">
        <v>270</v>
      </c>
      <c r="F130" s="32" t="s"/>
      <c r="G130" s="32" t="s"/>
      <c r="H130" s="33" t="s">
        <v>260</v>
      </c>
    </row>
    <row r="131" spans="1:8" ht="30" customHeight="1">
      <c r="A131" s="15" t="s">
        <v>271</v>
      </c>
      <c r="B131" s="31" t="s">
        <v>272</v>
      </c>
      <c r="C131" s="32" t="s"/>
      <c r="D131" s="32" t="s"/>
      <c r="E131" s="31" t="s">
        <v>273</v>
      </c>
      <c r="F131" s="32" t="s"/>
      <c r="G131" s="32" t="s"/>
      <c r="H131" s="33" t="s">
        <v>260</v>
      </c>
    </row>
    <row r="132" spans="1:8" ht="30" customHeight="1">
      <c r="A132" s="15" t="s">
        <v>274</v>
      </c>
      <c r="B132" s="31" t="s">
        <v>275</v>
      </c>
      <c r="C132" s="32" t="s"/>
      <c r="D132" s="32" t="s"/>
      <c r="E132" s="31" t="s">
        <v>276</v>
      </c>
      <c r="F132" s="32" t="s"/>
      <c r="G132" s="32" t="s"/>
      <c r="H132" s="33" t="s">
        <v>277</v>
      </c>
    </row>
    <row r="134" spans="1:1">
      <c r="A134" s="6" t="s">
        <v>278</v>
      </c>
    </row>
    <row r="135" spans="1:1" ht="18" customHeight="1">
      <c r="A135" s="20" t="s">
        <v>279</v>
      </c>
    </row>
    <row r="136" spans="1:1" ht="18" customHeight="1">
      <c r="A136" s="20" t="s">
        <v>280</v>
      </c>
    </row>
    <row r="137" spans="1:1" ht="18" customHeight="1">
      <c r="A137" s="20" t="s">
        <v>281</v>
      </c>
    </row>
    <row r="138" spans="1:1" ht="18" customHeight="1">
      <c r="A138" s="20" t="s">
        <v>282</v>
      </c>
    </row>
    <row r="139" spans="1:1" ht="18" customHeight="1">
      <c r="A139" s="20" t="s">
        <v>283</v>
      </c>
    </row>
    <row r="140" spans="1:1" ht="18" customHeight="1">
      <c r="A140" s="20" t="s">
        <v>284</v>
      </c>
    </row>
    <row r="141" spans="1:1" ht="18" customHeight="1">
      <c r="A141" s="20" t="s">
        <v>285</v>
      </c>
    </row>
    <row r="142" spans="1:1" ht="18" customHeight="1">
      <c r="A142" s="20" t="s">
        <v>286</v>
      </c>
    </row>
    <row r="143" spans="1:1" ht="18" customHeight="1">
      <c r="A143" s="20" t="s">
        <v>287</v>
      </c>
    </row>
    <row r="144" spans="1:1" ht="18" customHeight="1">
      <c r="A144" s="20" t="s">
        <v>288</v>
      </c>
    </row>
    <row r="145" spans="1:1" ht="18" customHeight="1">
      <c r="A145" s="20" t="s">
        <v>289</v>
      </c>
    </row>
    <row r="146" spans="1:1" ht="18" customHeight="1">
      <c r="A146" s="20" t="s">
        <v>290</v>
      </c>
    </row>
    <row r="147" spans="1:1" ht="18" customHeight="1">
      <c r="A147" s="20" t="s">
        <v>291</v>
      </c>
    </row>
    <row r="148" spans="1:1" ht="18" customHeight="1">
      <c r="A148" s="20" t="s">
        <v>292</v>
      </c>
    </row>
    <row r="149" spans="1:1" ht="18" customHeight="1">
      <c r="A149" s="20" t="s">
        <v>293</v>
      </c>
    </row>
    <row r="150" spans="1:1" ht="18" customHeight="1">
      <c r="A150" s="20" t="s">
        <v>294</v>
      </c>
    </row>
    <row r="152" spans="1:1">
      <c r="A152" s="6" t="s">
        <v>295</v>
      </c>
    </row>
    <row r="153" spans="1:1" ht="26" customHeight="1">
      <c r="A153" s="16" t="s">
        <v>296</v>
      </c>
    </row>
    <row r="154" spans="1:1" ht="26" customHeight="1">
      <c r="A154" s="16" t="s">
        <v>297</v>
      </c>
    </row>
    <row r="155" spans="1:1" ht="26" customHeight="1">
      <c r="A155" s="16" t="s">
        <v>298</v>
      </c>
    </row>
    <row r="156" spans="1:1" ht="26" customHeight="1">
      <c r="A156" s="16" t="s">
        <v>299</v>
      </c>
    </row>
    <row r="157" spans="1:1" ht="26" customHeight="1">
      <c r="A157" s="16" t="s">
        <v>300</v>
      </c>
    </row>
    <row r="158" spans="1:1" ht="26" customHeight="1">
      <c r="A158" s="16" t="s">
        <v>301</v>
      </c>
    </row>
    <row r="159" spans="1:1" ht="26" customHeight="1">
      <c r="A159" s="16" t="s">
        <v>302</v>
      </c>
    </row>
    <row r="160" spans="1:1" ht="26" customHeight="1">
      <c r="A160" s="16" t="s">
        <v>303</v>
      </c>
    </row>
    <row r="161" spans="1:1" ht="26" customHeight="1">
      <c r="A161" s="16" t="s">
        <v>304</v>
      </c>
    </row>
    <row r="162" spans="1:1" ht="26" customHeight="1">
      <c r="A162" s="16" t="s">
        <v>305</v>
      </c>
    </row>
  </sheetData>
  <mergeCells count="126">
    <mergeCell ref="C103:H103"/>
    <mergeCell ref="B40:H40"/>
    <mergeCell ref="A148:H148"/>
    <mergeCell ref="B49:H49"/>
    <mergeCell ref="A157:H157"/>
    <mergeCell ref="B24:H24"/>
    <mergeCell ref="B95:H95"/>
    <mergeCell ref="A138:H138"/>
    <mergeCell ref="B33:H33"/>
    <mergeCell ref="B51:H51"/>
    <mergeCell ref="B32:H32"/>
    <mergeCell ref="B37:D37"/>
    <mergeCell ref="B26:H26"/>
    <mergeCell ref="B41:H41"/>
    <mergeCell ref="B16:H16"/>
    <mergeCell ref="E124:G124"/>
    <mergeCell ref="B25:H25"/>
    <mergeCell ref="B90:H90"/>
    <mergeCell ref="A118:H118"/>
    <mergeCell ref="B6:D6"/>
    <mergeCell ref="A158:H158"/>
    <mergeCell ref="A55:H55"/>
    <mergeCell ref="B18:H18"/>
    <mergeCell ref="B27:H27"/>
    <mergeCell ref="B52:H52"/>
    <mergeCell ref="A160:H160"/>
    <mergeCell ref="A5:H5"/>
    <mergeCell ref="B11:H11"/>
    <mergeCell ref="B42:H42"/>
    <mergeCell ref="A150:H150"/>
    <mergeCell ref="E121:G121"/>
    <mergeCell ref="A159:H159"/>
    <mergeCell ref="B125:D125"/>
    <mergeCell ref="C107:H107"/>
    <mergeCell ref="C104:H104"/>
    <mergeCell ref="B44:H44"/>
    <mergeCell ref="E126:G126"/>
    <mergeCell ref="E123:G123"/>
    <mergeCell ref="A161:H161"/>
    <mergeCell ref="B29:H29"/>
    <mergeCell ref="B15:H15"/>
    <mergeCell ref="C105:H105"/>
    <mergeCell ref="B89:H89"/>
    <mergeCell ref="A146:H146"/>
    <mergeCell ref="A99:H99"/>
    <mergeCell ref="A84:H84"/>
    <mergeCell ref="A149:H149"/>
    <mergeCell ref="B124:D124"/>
    <mergeCell ref="E125:G125"/>
    <mergeCell ref="B96:H96"/>
    <mergeCell ref="A2:H2"/>
    <mergeCell ref="B43:H43"/>
    <mergeCell ref="B126:D126"/>
    <mergeCell ref="A141:H141"/>
    <mergeCell ref="A135:H135"/>
    <mergeCell ref="E129:G129"/>
    <mergeCell ref="A144:H144"/>
    <mergeCell ref="B17:H17"/>
    <mergeCell ref="B88:H88"/>
    <mergeCell ref="A112:H112"/>
    <mergeCell ref="E131:G131"/>
    <mergeCell ref="B10:H10"/>
    <mergeCell ref="B19:H19"/>
    <mergeCell ref="B28:H28"/>
    <mergeCell ref="A114:H114"/>
    <mergeCell ref="B9:H9"/>
    <mergeCell ref="B92:H92"/>
    <mergeCell ref="B30:H30"/>
    <mergeCell ref="B20:H20"/>
    <mergeCell ref="B45:H45"/>
    <mergeCell ref="A153:H153"/>
    <mergeCell ref="B94:H94"/>
    <mergeCell ref="A162:H162"/>
    <mergeCell ref="B128:D128"/>
    <mergeCell ref="A137:H137"/>
    <mergeCell ref="B47:H47"/>
    <mergeCell ref="B31:H31"/>
    <mergeCell ref="B46:H46"/>
    <mergeCell ref="A145:H145"/>
    <mergeCell ref="A139:H139"/>
    <mergeCell ref="A154:H154"/>
    <mergeCell ref="B123:D123"/>
    <mergeCell ref="B21:H21"/>
    <mergeCell ref="C102:H102"/>
    <mergeCell ref="B48:H48"/>
    <mergeCell ref="A116:H116"/>
    <mergeCell ref="E122:G122"/>
    <mergeCell ref="B23:H23"/>
    <mergeCell ref="A140:H140"/>
    <mergeCell ref="A109:H109"/>
    <mergeCell ref="E127:G127"/>
    <mergeCell ref="B13:H13"/>
    <mergeCell ref="A115:H115"/>
    <mergeCell ref="B87:H87"/>
    <mergeCell ref="A117:H117"/>
    <mergeCell ref="B130:D130"/>
    <mergeCell ref="C100:H100"/>
    <mergeCell ref="A143:H143"/>
    <mergeCell ref="E128:G128"/>
    <mergeCell ref="B132:D132"/>
    <mergeCell ref="A142:H142"/>
    <mergeCell ref="A36:H36"/>
    <mergeCell ref="A1:H1"/>
    <mergeCell ref="B38:D38"/>
    <mergeCell ref="B50:H50"/>
    <mergeCell ref="B91:H91"/>
    <mergeCell ref="B127:D127"/>
    <mergeCell ref="C106:H106"/>
    <mergeCell ref="B22:H22"/>
    <mergeCell ref="B93:H93"/>
    <mergeCell ref="A136:H136"/>
    <mergeCell ref="A113:H113"/>
    <mergeCell ref="B12:H12"/>
    <mergeCell ref="B86:H86"/>
    <mergeCell ref="C101:H101"/>
    <mergeCell ref="B7:D7"/>
    <mergeCell ref="B129:D129"/>
    <mergeCell ref="E130:G130"/>
    <mergeCell ref="B14:H14"/>
    <mergeCell ref="B121:D121"/>
    <mergeCell ref="A147:H147"/>
    <mergeCell ref="B122:D122"/>
    <mergeCell ref="A156:H156"/>
    <mergeCell ref="B131:D131"/>
    <mergeCell ref="E132:G132"/>
    <mergeCell ref="A155:H155"/>
  </mergeCells>
  <dataValidations>
    <dataValidation type="list" operator="between" allowBlank="1" showDropDown="0" showInputMessage="0" showErrorMessage="0" sqref="B6">
      <formula1>'02-基础参数表'!$B$4:$B$429</formula1>
    </dataValidation>
    <dataValidation type="list" operator="between" allowBlank="1" showDropDown="0" showInputMessage="0" showErrorMessage="0" sqref="B37">
      <formula1>'03-指标清单'!$A$2:$A$95</formula1>
    </dataValidation>
  </dataValidations>
  <printOptions horizontalCentered="1"/>
  <pageMargins left="0.28" right="0.28" top="0.4" bottom="0.4" header="0.5" footer="0.5"/>
  <pageSetup paperSize="9" fitToWidth="1" fitToHeight="0" orientation="landscape"/>
</worksheet>
</file>

<file path=xl/worksheets/sheet2.xml><?xml version="1.0" encoding="utf-8"?>
<worksheet xmlns="http://schemas.openxmlformats.org/spreadsheetml/2006/main">
  <sheetPr>
    <tabColor rgb="FF2E75B6"/>
    <outlinePr summaryBelow="1" summaryRight="1"/>
    <pageSetUpPr fitToPage="1"/>
  </sheetPr>
  <dimension ref="Y429"/>
  <sheetViews>
    <sheetView showGridLines="1" workbookViewId="0">
      <pane xSplit="2" ySplit="3" topLeftCell="C4" activePane="bottomRight" state="frozen"/>
    </sheetView>
  </sheetViews>
  <sheetFormatPr baseColWidth="8" defaultRowHeight="15"/>
  <cols>
    <col min="1" max="1" width="5" customWidth="1"/>
    <col min="2" max="2" width="11" customWidth="1"/>
    <col min="3" max="3" width="40" customWidth="1"/>
    <col min="4" max="4" width="17" customWidth="1"/>
    <col min="5" max="5" width="13" customWidth="1"/>
    <col min="6" max="6" width="20" customWidth="1"/>
    <col min="7" max="7" width="14" customWidth="1"/>
    <col min="8" max="8" width="12" customWidth="1"/>
    <col min="9" max="9" width="11" customWidth="1"/>
    <col min="10" max="10" width="52" customWidth="1"/>
    <col min="11" max="11" width="13" customWidth="1"/>
    <col min="12" max="12" width="14" customWidth="1"/>
    <col min="13" max="13" width="6" customWidth="1"/>
    <col min="14" max="14" width="15" customWidth="1"/>
    <col min="15" max="15" width="8" customWidth="1"/>
    <col min="16" max="16" width="30" customWidth="1"/>
    <col min="17" max="17" width="34" customWidth="1"/>
    <col min="18" max="18" width="12" customWidth="1"/>
    <col min="19" max="19" width="12" customWidth="1"/>
    <col min="20" max="20" width="8" customWidth="1"/>
    <col min="21" max="21" width="20" customWidth="1"/>
    <col min="22" max="22" width="46" customWidth="1"/>
    <col min="23" max="23" width="66" customWidth="1"/>
    <col min="24" max="24" width="40" customWidth="1"/>
    <col min="25" max="25" width="60" customWidth="1"/>
  </cols>
  <sheetData>
    <row r="1" spans="1:1" ht="30" customHeight="1">
      <c r="A1" s="4" t="s">
        <v>306</v>
      </c>
    </row>
    <row r="2" spans="1:1" ht="18" customHeight="1">
      <c r="A2" s="5" t="s">
        <v>307</v>
      </c>
    </row>
    <row r="3" spans="1:25" ht="34" customHeight="1">
      <c r="A3" s="12" t="s">
        <v>308</v>
      </c>
      <c r="B3" s="12" t="s">
        <v>44</v>
      </c>
      <c r="C3" s="12" t="s">
        <v>45</v>
      </c>
      <c r="D3" s="12" t="s">
        <v>46</v>
      </c>
      <c r="E3" s="12" t="s">
        <v>47</v>
      </c>
      <c r="F3" s="12" t="s">
        <v>48</v>
      </c>
      <c r="G3" s="12" t="s">
        <v>49</v>
      </c>
      <c r="H3" s="12" t="s">
        <v>50</v>
      </c>
      <c r="I3" s="12" t="s">
        <v>51</v>
      </c>
      <c r="J3" s="12" t="s">
        <v>52</v>
      </c>
      <c r="K3" s="12" t="s">
        <v>53</v>
      </c>
      <c r="L3" s="12" t="s">
        <v>54</v>
      </c>
      <c r="M3" s="12" t="s">
        <v>55</v>
      </c>
      <c r="N3" s="12" t="s">
        <v>56</v>
      </c>
      <c r="O3" s="12" t="s">
        <v>57</v>
      </c>
      <c r="P3" s="12" t="s">
        <v>58</v>
      </c>
      <c r="Q3" s="12" t="s">
        <v>59</v>
      </c>
      <c r="R3" s="12" t="s">
        <v>60</v>
      </c>
      <c r="S3" s="12" t="s">
        <v>61</v>
      </c>
      <c r="T3" s="12" t="s">
        <v>62</v>
      </c>
      <c r="U3" s="12" t="s">
        <v>63</v>
      </c>
      <c r="V3" s="12" t="s">
        <v>64</v>
      </c>
      <c r="W3" s="12" t="s">
        <v>309</v>
      </c>
      <c r="X3" s="12" t="s">
        <v>66</v>
      </c>
      <c r="Y3" s="12" t="s">
        <v>67</v>
      </c>
    </row>
    <row r="4" spans="1:25">
      <c r="A4" s="34">
        <v>1</v>
      </c>
      <c r="B4" s="35" t="s">
        <v>310</v>
      </c>
      <c r="C4" s="36" t="s">
        <v>311</v>
      </c>
      <c r="D4" s="34" t="s">
        <v>312</v>
      </c>
      <c r="E4" s="34" t="s">
        <v>313</v>
      </c>
      <c r="F4" s="36" t="s">
        <v>314</v>
      </c>
      <c r="G4" s="36" t="s"/>
      <c r="H4" s="36" t="s"/>
      <c r="I4" s="34" t="s">
        <v>312</v>
      </c>
      <c r="J4" s="36" t="s">
        <v>315</v>
      </c>
      <c r="K4" s="34" t="s">
        <v>314</v>
      </c>
      <c r="L4" s="34" t="s">
        <v>316</v>
      </c>
      <c r="M4" s="34" t="s">
        <v>314</v>
      </c>
      <c r="N4" s="36" t="s">
        <v>317</v>
      </c>
      <c r="O4" s="34" t="s">
        <v>314</v>
      </c>
      <c r="P4" s="36" t="s">
        <v>318</v>
      </c>
      <c r="Q4" s="36" t="s">
        <v>319</v>
      </c>
      <c r="R4" s="34" t="s">
        <v>320</v>
      </c>
      <c r="S4" s="34" t="s">
        <v>321</v>
      </c>
      <c r="T4" s="34" t="s">
        <v>322</v>
      </c>
      <c r="U4" s="36" t="s">
        <v>323</v>
      </c>
      <c r="V4" s="36" t="s">
        <v>324</v>
      </c>
      <c r="W4" s="37" t="s">
        <v>314</v>
      </c>
      <c r="X4" s="36" t="s">
        <v>325</v>
      </c>
      <c r="Y4" s="36" t="s">
        <v>326</v>
      </c>
    </row>
    <row r="5" spans="1:25">
      <c r="A5" s="34">
        <v>2</v>
      </c>
      <c r="B5" s="35" t="s">
        <v>327</v>
      </c>
      <c r="C5" s="36" t="s">
        <v>328</v>
      </c>
      <c r="D5" s="34" t="s">
        <v>312</v>
      </c>
      <c r="E5" s="34" t="s">
        <v>313</v>
      </c>
      <c r="F5" s="36" t="s">
        <v>314</v>
      </c>
      <c r="G5" s="36" t="s"/>
      <c r="H5" s="36" t="s"/>
      <c r="I5" s="34" t="s">
        <v>312</v>
      </c>
      <c r="J5" s="36" t="s">
        <v>329</v>
      </c>
      <c r="K5" s="34" t="s">
        <v>314</v>
      </c>
      <c r="L5" s="34" t="s">
        <v>316</v>
      </c>
      <c r="M5" s="34" t="s">
        <v>314</v>
      </c>
      <c r="N5" s="36" t="s">
        <v>330</v>
      </c>
      <c r="O5" s="34" t="s">
        <v>314</v>
      </c>
      <c r="P5" s="36" t="s">
        <v>318</v>
      </c>
      <c r="Q5" s="36" t="s">
        <v>331</v>
      </c>
      <c r="R5" s="34" t="s">
        <v>320</v>
      </c>
      <c r="S5" s="34" t="s">
        <v>321</v>
      </c>
      <c r="T5" s="34" t="s">
        <v>322</v>
      </c>
      <c r="U5" s="36" t="s">
        <v>323</v>
      </c>
      <c r="V5" s="36" t="s">
        <v>324</v>
      </c>
      <c r="W5" s="37" t="s">
        <v>314</v>
      </c>
      <c r="X5" s="36" t="s">
        <v>332</v>
      </c>
      <c r="Y5" s="36" t="s">
        <v>314</v>
      </c>
    </row>
    <row r="6" spans="1:25">
      <c r="A6" s="34">
        <v>3</v>
      </c>
      <c r="B6" s="35" t="s">
        <v>333</v>
      </c>
      <c r="C6" s="36" t="s">
        <v>334</v>
      </c>
      <c r="D6" s="34" t="s">
        <v>312</v>
      </c>
      <c r="E6" s="34" t="s">
        <v>313</v>
      </c>
      <c r="F6" s="36" t="s">
        <v>314</v>
      </c>
      <c r="G6" s="36" t="s"/>
      <c r="H6" s="36" t="s"/>
      <c r="I6" s="34" t="s">
        <v>312</v>
      </c>
      <c r="J6" s="36" t="s">
        <v>335</v>
      </c>
      <c r="K6" s="34" t="s">
        <v>314</v>
      </c>
      <c r="L6" s="34" t="s">
        <v>316</v>
      </c>
      <c r="M6" s="34" t="s">
        <v>314</v>
      </c>
      <c r="N6" s="36" t="s">
        <v>336</v>
      </c>
      <c r="O6" s="34" t="s">
        <v>314</v>
      </c>
      <c r="P6" s="36" t="s">
        <v>318</v>
      </c>
      <c r="Q6" s="36" t="s">
        <v>337</v>
      </c>
      <c r="R6" s="34" t="s">
        <v>320</v>
      </c>
      <c r="S6" s="34" t="s">
        <v>321</v>
      </c>
      <c r="T6" s="34" t="s">
        <v>322</v>
      </c>
      <c r="U6" s="36" t="s">
        <v>338</v>
      </c>
      <c r="V6" s="36" t="s">
        <v>324</v>
      </c>
      <c r="W6" s="37" t="s">
        <v>314</v>
      </c>
      <c r="X6" s="36" t="s">
        <v>325</v>
      </c>
      <c r="Y6" s="36" t="s">
        <v>339</v>
      </c>
    </row>
    <row r="7" spans="1:25">
      <c r="A7" s="34">
        <v>4</v>
      </c>
      <c r="B7" s="35" t="s">
        <v>340</v>
      </c>
      <c r="C7" s="36" t="s">
        <v>341</v>
      </c>
      <c r="D7" s="34" t="s">
        <v>312</v>
      </c>
      <c r="E7" s="34" t="s">
        <v>313</v>
      </c>
      <c r="F7" s="36" t="s">
        <v>314</v>
      </c>
      <c r="G7" s="36" t="s"/>
      <c r="H7" s="36" t="s"/>
      <c r="I7" s="34" t="s">
        <v>312</v>
      </c>
      <c r="J7" s="36" t="s">
        <v>342</v>
      </c>
      <c r="K7" s="34" t="s">
        <v>314</v>
      </c>
      <c r="L7" s="34" t="s">
        <v>316</v>
      </c>
      <c r="M7" s="34" t="s">
        <v>314</v>
      </c>
      <c r="N7" s="36" t="s">
        <v>336</v>
      </c>
      <c r="O7" s="34" t="s">
        <v>314</v>
      </c>
      <c r="P7" s="36" t="s">
        <v>318</v>
      </c>
      <c r="Q7" s="36" t="s">
        <v>343</v>
      </c>
      <c r="R7" s="34" t="s">
        <v>320</v>
      </c>
      <c r="S7" s="34" t="s">
        <v>321</v>
      </c>
      <c r="T7" s="34" t="s">
        <v>322</v>
      </c>
      <c r="U7" s="36" t="s">
        <v>338</v>
      </c>
      <c r="V7" s="36" t="s">
        <v>324</v>
      </c>
      <c r="W7" s="37" t="s">
        <v>314</v>
      </c>
      <c r="X7" s="36" t="s">
        <v>332</v>
      </c>
      <c r="Y7" s="36" t="s">
        <v>314</v>
      </c>
    </row>
    <row r="8" spans="1:25">
      <c r="A8" s="34">
        <v>5</v>
      </c>
      <c r="B8" s="35" t="s">
        <v>344</v>
      </c>
      <c r="C8" s="36" t="s">
        <v>345</v>
      </c>
      <c r="D8" s="34" t="s">
        <v>312</v>
      </c>
      <c r="E8" s="34" t="s">
        <v>313</v>
      </c>
      <c r="F8" s="36" t="s">
        <v>314</v>
      </c>
      <c r="G8" s="36" t="s"/>
      <c r="H8" s="36" t="s"/>
      <c r="I8" s="34" t="s">
        <v>312</v>
      </c>
      <c r="J8" s="36" t="s">
        <v>346</v>
      </c>
      <c r="K8" s="34" t="s">
        <v>314</v>
      </c>
      <c r="L8" s="34" t="s">
        <v>347</v>
      </c>
      <c r="M8" s="34" t="s">
        <v>314</v>
      </c>
      <c r="N8" s="36" t="s">
        <v>348</v>
      </c>
      <c r="O8" s="34" t="s">
        <v>314</v>
      </c>
      <c r="P8" s="36" t="s">
        <v>318</v>
      </c>
      <c r="Q8" s="36" t="s">
        <v>349</v>
      </c>
      <c r="R8" s="34" t="s">
        <v>320</v>
      </c>
      <c r="S8" s="34" t="s">
        <v>321</v>
      </c>
      <c r="T8" s="34" t="s">
        <v>322</v>
      </c>
      <c r="U8" s="36" t="s">
        <v>323</v>
      </c>
      <c r="V8" s="36" t="s">
        <v>350</v>
      </c>
      <c r="W8" s="37" t="s">
        <v>314</v>
      </c>
      <c r="X8" s="36" t="s">
        <v>351</v>
      </c>
      <c r="Y8" s="36" t="s">
        <v>352</v>
      </c>
    </row>
    <row r="9" spans="1:25">
      <c r="A9" s="34">
        <v>6</v>
      </c>
      <c r="B9" s="35" t="s">
        <v>353</v>
      </c>
      <c r="C9" s="36" t="s">
        <v>354</v>
      </c>
      <c r="D9" s="34" t="s">
        <v>312</v>
      </c>
      <c r="E9" s="34" t="s">
        <v>313</v>
      </c>
      <c r="F9" s="36" t="s">
        <v>314</v>
      </c>
      <c r="G9" s="36" t="s"/>
      <c r="H9" s="36" t="s"/>
      <c r="I9" s="34" t="s">
        <v>312</v>
      </c>
      <c r="J9" s="36" t="s">
        <v>355</v>
      </c>
      <c r="K9" s="34" t="s">
        <v>314</v>
      </c>
      <c r="L9" s="34" t="s">
        <v>316</v>
      </c>
      <c r="M9" s="34" t="s">
        <v>314</v>
      </c>
      <c r="N9" s="36" t="s">
        <v>314</v>
      </c>
      <c r="O9" s="34" t="s">
        <v>314</v>
      </c>
      <c r="P9" s="36" t="s">
        <v>356</v>
      </c>
      <c r="Q9" s="36" t="s">
        <v>357</v>
      </c>
      <c r="R9" s="34" t="s">
        <v>320</v>
      </c>
      <c r="S9" s="34" t="s">
        <v>321</v>
      </c>
      <c r="T9" s="34" t="s">
        <v>322</v>
      </c>
      <c r="U9" s="36" t="s">
        <v>338</v>
      </c>
      <c r="V9" s="36" t="s">
        <v>358</v>
      </c>
      <c r="W9" s="37" t="s">
        <v>314</v>
      </c>
      <c r="X9" s="36" t="s">
        <v>359</v>
      </c>
      <c r="Y9" s="36" t="s">
        <v>360</v>
      </c>
    </row>
    <row r="10" spans="1:25">
      <c r="A10" s="34">
        <v>7</v>
      </c>
      <c r="B10" s="35" t="s">
        <v>361</v>
      </c>
      <c r="C10" s="36" t="s">
        <v>362</v>
      </c>
      <c r="D10" s="34" t="s">
        <v>312</v>
      </c>
      <c r="E10" s="34" t="s">
        <v>313</v>
      </c>
      <c r="F10" s="36" t="s">
        <v>314</v>
      </c>
      <c r="G10" s="36" t="s"/>
      <c r="H10" s="36" t="s"/>
      <c r="I10" s="34" t="s">
        <v>312</v>
      </c>
      <c r="J10" s="36" t="s">
        <v>363</v>
      </c>
      <c r="K10" s="34" t="s">
        <v>314</v>
      </c>
      <c r="L10" s="34" t="s">
        <v>316</v>
      </c>
      <c r="M10" s="34" t="s">
        <v>314</v>
      </c>
      <c r="N10" s="36" t="s">
        <v>314</v>
      </c>
      <c r="O10" s="34" t="s">
        <v>314</v>
      </c>
      <c r="P10" s="36" t="s">
        <v>364</v>
      </c>
      <c r="Q10" s="36" t="s">
        <v>365</v>
      </c>
      <c r="R10" s="34" t="s">
        <v>320</v>
      </c>
      <c r="S10" s="34" t="s">
        <v>321</v>
      </c>
      <c r="T10" s="34" t="s">
        <v>322</v>
      </c>
      <c r="U10" s="36" t="s">
        <v>338</v>
      </c>
      <c r="V10" s="36" t="s">
        <v>366</v>
      </c>
      <c r="W10" s="37" t="s">
        <v>314</v>
      </c>
      <c r="X10" s="36" t="s">
        <v>359</v>
      </c>
      <c r="Y10" s="36" t="s">
        <v>367</v>
      </c>
    </row>
    <row r="11" spans="1:25">
      <c r="A11" s="34">
        <v>8</v>
      </c>
      <c r="B11" s="35" t="s">
        <v>368</v>
      </c>
      <c r="C11" s="36" t="s">
        <v>369</v>
      </c>
      <c r="D11" s="34" t="s">
        <v>312</v>
      </c>
      <c r="E11" s="34" t="s">
        <v>313</v>
      </c>
      <c r="F11" s="36" t="s">
        <v>314</v>
      </c>
      <c r="G11" s="36" t="s"/>
      <c r="H11" s="36" t="s"/>
      <c r="I11" s="34" t="s">
        <v>312</v>
      </c>
      <c r="J11" s="36" t="s">
        <v>370</v>
      </c>
      <c r="K11" s="34" t="s">
        <v>314</v>
      </c>
      <c r="L11" s="34" t="s">
        <v>316</v>
      </c>
      <c r="M11" s="34" t="s">
        <v>314</v>
      </c>
      <c r="N11" s="36" t="s">
        <v>314</v>
      </c>
      <c r="O11" s="34" t="s">
        <v>314</v>
      </c>
      <c r="P11" s="36" t="s">
        <v>371</v>
      </c>
      <c r="Q11" s="36" t="s">
        <v>372</v>
      </c>
      <c r="R11" s="34" t="s">
        <v>373</v>
      </c>
      <c r="S11" s="34" t="s">
        <v>374</v>
      </c>
      <c r="T11" s="34" t="s">
        <v>322</v>
      </c>
      <c r="U11" s="36" t="s">
        <v>338</v>
      </c>
      <c r="V11" s="36" t="s">
        <v>375</v>
      </c>
      <c r="W11" s="37" t="s">
        <v>314</v>
      </c>
      <c r="X11" s="36" t="s">
        <v>376</v>
      </c>
      <c r="Y11" s="36" t="s">
        <v>377</v>
      </c>
    </row>
    <row r="12" spans="1:25">
      <c r="A12" s="34">
        <v>9</v>
      </c>
      <c r="B12" s="35" t="s">
        <v>378</v>
      </c>
      <c r="C12" s="36" t="s">
        <v>379</v>
      </c>
      <c r="D12" s="34" t="s">
        <v>380</v>
      </c>
      <c r="E12" s="34" t="s">
        <v>313</v>
      </c>
      <c r="F12" s="36" t="s">
        <v>314</v>
      </c>
      <c r="G12" s="36" t="s"/>
      <c r="H12" s="36" t="s"/>
      <c r="I12" s="34" t="s">
        <v>380</v>
      </c>
      <c r="J12" s="36" t="s">
        <v>381</v>
      </c>
      <c r="K12" s="34" t="s">
        <v>314</v>
      </c>
      <c r="L12" s="34" t="s">
        <v>316</v>
      </c>
      <c r="M12" s="34" t="s">
        <v>314</v>
      </c>
      <c r="N12" s="36" t="s">
        <v>314</v>
      </c>
      <c r="O12" s="34" t="s">
        <v>314</v>
      </c>
      <c r="P12" s="36" t="s">
        <v>382</v>
      </c>
      <c r="Q12" s="36" t="s">
        <v>383</v>
      </c>
      <c r="R12" s="34" t="s">
        <v>320</v>
      </c>
      <c r="S12" s="34" t="s">
        <v>321</v>
      </c>
      <c r="T12" s="34" t="s">
        <v>322</v>
      </c>
      <c r="U12" s="36" t="s">
        <v>338</v>
      </c>
      <c r="V12" s="36" t="s">
        <v>384</v>
      </c>
      <c r="W12" s="37" t="s">
        <v>314</v>
      </c>
      <c r="X12" s="36" t="s">
        <v>385</v>
      </c>
      <c r="Y12" s="36" t="s">
        <v>314</v>
      </c>
    </row>
    <row r="13" spans="1:25">
      <c r="A13" s="34">
        <v>10</v>
      </c>
      <c r="B13" s="35" t="s">
        <v>386</v>
      </c>
      <c r="C13" s="36" t="s">
        <v>387</v>
      </c>
      <c r="D13" s="34" t="s">
        <v>380</v>
      </c>
      <c r="E13" s="34" t="s">
        <v>313</v>
      </c>
      <c r="F13" s="36" t="s">
        <v>314</v>
      </c>
      <c r="G13" s="36" t="s"/>
      <c r="H13" s="36" t="s"/>
      <c r="I13" s="34" t="s">
        <v>380</v>
      </c>
      <c r="J13" s="36" t="s">
        <v>388</v>
      </c>
      <c r="K13" s="34" t="s">
        <v>314</v>
      </c>
      <c r="L13" s="34" t="s">
        <v>316</v>
      </c>
      <c r="M13" s="34" t="s">
        <v>314</v>
      </c>
      <c r="N13" s="36" t="s">
        <v>314</v>
      </c>
      <c r="O13" s="34" t="s">
        <v>314</v>
      </c>
      <c r="P13" s="36" t="s">
        <v>382</v>
      </c>
      <c r="Q13" s="36" t="s">
        <v>389</v>
      </c>
      <c r="R13" s="34" t="s">
        <v>320</v>
      </c>
      <c r="S13" s="34" t="s">
        <v>321</v>
      </c>
      <c r="T13" s="34" t="s">
        <v>322</v>
      </c>
      <c r="U13" s="36" t="s">
        <v>338</v>
      </c>
      <c r="V13" s="36" t="s">
        <v>390</v>
      </c>
      <c r="W13" s="37" t="s">
        <v>314</v>
      </c>
      <c r="X13" s="36" t="s">
        <v>385</v>
      </c>
      <c r="Y13" s="36" t="s">
        <v>314</v>
      </c>
    </row>
    <row r="14" spans="1:25">
      <c r="A14" s="34">
        <v>11</v>
      </c>
      <c r="B14" s="35" t="s">
        <v>391</v>
      </c>
      <c r="C14" s="36" t="s">
        <v>392</v>
      </c>
      <c r="D14" s="34" t="s">
        <v>380</v>
      </c>
      <c r="E14" s="34" t="s">
        <v>313</v>
      </c>
      <c r="F14" s="36" t="s">
        <v>314</v>
      </c>
      <c r="G14" s="36" t="s"/>
      <c r="H14" s="36" t="s"/>
      <c r="I14" s="34" t="s">
        <v>380</v>
      </c>
      <c r="J14" s="36" t="s">
        <v>393</v>
      </c>
      <c r="K14" s="34" t="s">
        <v>314</v>
      </c>
      <c r="L14" s="34" t="s">
        <v>316</v>
      </c>
      <c r="M14" s="34" t="s">
        <v>314</v>
      </c>
      <c r="N14" s="36" t="s">
        <v>394</v>
      </c>
      <c r="O14" s="34" t="s">
        <v>314</v>
      </c>
      <c r="P14" s="36" t="s">
        <v>395</v>
      </c>
      <c r="Q14" s="36" t="s">
        <v>396</v>
      </c>
      <c r="R14" s="34" t="s">
        <v>320</v>
      </c>
      <c r="S14" s="34" t="s">
        <v>321</v>
      </c>
      <c r="T14" s="34" t="s">
        <v>322</v>
      </c>
      <c r="U14" s="36" t="s">
        <v>338</v>
      </c>
      <c r="V14" s="36" t="s">
        <v>358</v>
      </c>
      <c r="W14" s="37" t="s">
        <v>314</v>
      </c>
      <c r="X14" s="36" t="s">
        <v>325</v>
      </c>
      <c r="Y14" s="36" t="s">
        <v>314</v>
      </c>
    </row>
    <row r="15" spans="1:25">
      <c r="A15" s="34">
        <v>12</v>
      </c>
      <c r="B15" s="35" t="s">
        <v>397</v>
      </c>
      <c r="C15" s="36" t="s">
        <v>398</v>
      </c>
      <c r="D15" s="34" t="s">
        <v>380</v>
      </c>
      <c r="E15" s="34" t="s">
        <v>313</v>
      </c>
      <c r="F15" s="36" t="s">
        <v>314</v>
      </c>
      <c r="G15" s="36" t="s"/>
      <c r="H15" s="36" t="s"/>
      <c r="I15" s="34" t="s">
        <v>380</v>
      </c>
      <c r="J15" s="36" t="s">
        <v>399</v>
      </c>
      <c r="K15" s="34" t="s">
        <v>314</v>
      </c>
      <c r="L15" s="34" t="s">
        <v>316</v>
      </c>
      <c r="M15" s="34" t="s">
        <v>314</v>
      </c>
      <c r="N15" s="36" t="s">
        <v>400</v>
      </c>
      <c r="O15" s="34" t="s">
        <v>314</v>
      </c>
      <c r="P15" s="36" t="s">
        <v>395</v>
      </c>
      <c r="Q15" s="36" t="s">
        <v>401</v>
      </c>
      <c r="R15" s="34" t="s">
        <v>320</v>
      </c>
      <c r="S15" s="34" t="s">
        <v>321</v>
      </c>
      <c r="T15" s="34" t="s">
        <v>322</v>
      </c>
      <c r="U15" s="36" t="s">
        <v>338</v>
      </c>
      <c r="V15" s="36" t="s">
        <v>375</v>
      </c>
      <c r="W15" s="37" t="s">
        <v>314</v>
      </c>
      <c r="X15" s="36" t="s">
        <v>402</v>
      </c>
      <c r="Y15" s="36" t="s">
        <v>314</v>
      </c>
    </row>
    <row r="16" spans="1:25">
      <c r="A16" s="34">
        <v>13</v>
      </c>
      <c r="B16" s="35" t="s">
        <v>403</v>
      </c>
      <c r="C16" s="36" t="s">
        <v>404</v>
      </c>
      <c r="D16" s="34" t="s">
        <v>380</v>
      </c>
      <c r="E16" s="34" t="s">
        <v>313</v>
      </c>
      <c r="F16" s="36" t="s">
        <v>314</v>
      </c>
      <c r="G16" s="36" t="s"/>
      <c r="H16" s="36" t="s"/>
      <c r="I16" s="34" t="s">
        <v>380</v>
      </c>
      <c r="J16" s="36" t="s">
        <v>405</v>
      </c>
      <c r="K16" s="34" t="s">
        <v>314</v>
      </c>
      <c r="L16" s="34" t="s">
        <v>316</v>
      </c>
      <c r="M16" s="34" t="s">
        <v>314</v>
      </c>
      <c r="N16" s="36" t="s">
        <v>314</v>
      </c>
      <c r="O16" s="34" t="s">
        <v>314</v>
      </c>
      <c r="P16" s="36" t="s">
        <v>406</v>
      </c>
      <c r="Q16" s="36" t="s">
        <v>407</v>
      </c>
      <c r="R16" s="34" t="s">
        <v>373</v>
      </c>
      <c r="S16" s="34" t="s">
        <v>374</v>
      </c>
      <c r="T16" s="34" t="s">
        <v>322</v>
      </c>
      <c r="U16" s="36" t="s">
        <v>338</v>
      </c>
      <c r="V16" s="36" t="s">
        <v>384</v>
      </c>
      <c r="W16" s="37" t="s">
        <v>314</v>
      </c>
      <c r="X16" s="36" t="s">
        <v>408</v>
      </c>
      <c r="Y16" s="36" t="s">
        <v>409</v>
      </c>
    </row>
    <row r="17" spans="1:25">
      <c r="A17" s="34">
        <v>14</v>
      </c>
      <c r="B17" s="35" t="s">
        <v>410</v>
      </c>
      <c r="C17" s="36" t="s">
        <v>411</v>
      </c>
      <c r="D17" s="34" t="s">
        <v>380</v>
      </c>
      <c r="E17" s="34" t="s">
        <v>313</v>
      </c>
      <c r="F17" s="36" t="s">
        <v>314</v>
      </c>
      <c r="G17" s="36" t="s"/>
      <c r="H17" s="36" t="s"/>
      <c r="I17" s="34" t="s">
        <v>380</v>
      </c>
      <c r="J17" s="36" t="s">
        <v>412</v>
      </c>
      <c r="K17" s="34" t="s">
        <v>314</v>
      </c>
      <c r="L17" s="34" t="s">
        <v>316</v>
      </c>
      <c r="M17" s="34" t="s">
        <v>314</v>
      </c>
      <c r="N17" s="36" t="s">
        <v>314</v>
      </c>
      <c r="O17" s="34" t="s">
        <v>314</v>
      </c>
      <c r="P17" s="36" t="s">
        <v>413</v>
      </c>
      <c r="Q17" s="36" t="s">
        <v>414</v>
      </c>
      <c r="R17" s="34" t="s">
        <v>415</v>
      </c>
      <c r="S17" s="34" t="s">
        <v>416</v>
      </c>
      <c r="T17" s="34" t="s">
        <v>322</v>
      </c>
      <c r="U17" s="36" t="s">
        <v>338</v>
      </c>
      <c r="V17" s="36" t="s">
        <v>384</v>
      </c>
      <c r="W17" s="37" t="s">
        <v>314</v>
      </c>
      <c r="X17" s="36" t="s">
        <v>417</v>
      </c>
      <c r="Y17" s="36" t="s">
        <v>418</v>
      </c>
    </row>
    <row r="18" spans="1:25">
      <c r="A18" s="34">
        <v>15</v>
      </c>
      <c r="B18" s="35" t="s">
        <v>419</v>
      </c>
      <c r="C18" s="36" t="s">
        <v>420</v>
      </c>
      <c r="D18" s="34" t="s">
        <v>380</v>
      </c>
      <c r="E18" s="34" t="s">
        <v>313</v>
      </c>
      <c r="F18" s="36" t="s">
        <v>314</v>
      </c>
      <c r="G18" s="36" t="s"/>
      <c r="H18" s="36" t="s"/>
      <c r="I18" s="34" t="s">
        <v>421</v>
      </c>
      <c r="J18" s="36" t="s">
        <v>422</v>
      </c>
      <c r="K18" s="34" t="s">
        <v>314</v>
      </c>
      <c r="L18" s="34" t="s">
        <v>316</v>
      </c>
      <c r="M18" s="34" t="s">
        <v>314</v>
      </c>
      <c r="N18" s="36" t="s">
        <v>423</v>
      </c>
      <c r="O18" s="34" t="s">
        <v>314</v>
      </c>
      <c r="P18" s="36" t="s">
        <v>395</v>
      </c>
      <c r="Q18" s="36" t="s">
        <v>424</v>
      </c>
      <c r="R18" s="34" t="s">
        <v>425</v>
      </c>
      <c r="S18" s="34" t="s">
        <v>426</v>
      </c>
      <c r="T18" s="34" t="s">
        <v>322</v>
      </c>
      <c r="U18" s="36" t="s">
        <v>427</v>
      </c>
      <c r="V18" s="36" t="s">
        <v>324</v>
      </c>
      <c r="W18" s="37" t="s">
        <v>314</v>
      </c>
      <c r="X18" s="36" t="s">
        <v>428</v>
      </c>
      <c r="Y18" s="36" t="s">
        <v>429</v>
      </c>
    </row>
    <row r="19" spans="1:25">
      <c r="A19" s="34">
        <v>16</v>
      </c>
      <c r="B19" s="35" t="s">
        <v>430</v>
      </c>
      <c r="C19" s="36" t="s">
        <v>431</v>
      </c>
      <c r="D19" s="34" t="s">
        <v>380</v>
      </c>
      <c r="E19" s="34" t="s">
        <v>313</v>
      </c>
      <c r="F19" s="36" t="s">
        <v>314</v>
      </c>
      <c r="G19" s="36" t="s"/>
      <c r="H19" s="36" t="s"/>
      <c r="I19" s="34" t="s">
        <v>421</v>
      </c>
      <c r="J19" s="36" t="s">
        <v>432</v>
      </c>
      <c r="K19" s="34" t="s">
        <v>314</v>
      </c>
      <c r="L19" s="34" t="s">
        <v>316</v>
      </c>
      <c r="M19" s="34" t="s">
        <v>314</v>
      </c>
      <c r="N19" s="36" t="s">
        <v>314</v>
      </c>
      <c r="O19" s="34" t="s">
        <v>314</v>
      </c>
      <c r="P19" s="36" t="s">
        <v>395</v>
      </c>
      <c r="Q19" s="36" t="s">
        <v>433</v>
      </c>
      <c r="R19" s="34" t="s">
        <v>425</v>
      </c>
      <c r="S19" s="34" t="s">
        <v>426</v>
      </c>
      <c r="T19" s="34" t="s">
        <v>434</v>
      </c>
      <c r="U19" s="36" t="s">
        <v>427</v>
      </c>
      <c r="V19" s="36" t="s">
        <v>324</v>
      </c>
      <c r="W19" s="37" t="s">
        <v>314</v>
      </c>
      <c r="X19" s="36" t="s">
        <v>435</v>
      </c>
      <c r="Y19" s="36" t="s">
        <v>314</v>
      </c>
    </row>
    <row r="20" spans="1:25">
      <c r="A20" s="34">
        <v>17</v>
      </c>
      <c r="B20" s="35" t="s">
        <v>436</v>
      </c>
      <c r="C20" s="36" t="s">
        <v>437</v>
      </c>
      <c r="D20" s="34" t="s">
        <v>99</v>
      </c>
      <c r="E20" s="34" t="s">
        <v>438</v>
      </c>
      <c r="F20" s="36" t="s">
        <v>439</v>
      </c>
      <c r="G20" s="36" t="s"/>
      <c r="H20" s="36" t="s"/>
      <c r="I20" s="34" t="s">
        <v>440</v>
      </c>
      <c r="J20" s="36" t="s">
        <v>441</v>
      </c>
      <c r="K20" s="34" t="s">
        <v>442</v>
      </c>
      <c r="L20" s="34" t="s">
        <v>443</v>
      </c>
      <c r="M20" s="34" t="s">
        <v>444</v>
      </c>
      <c r="N20" s="36" t="s">
        <v>445</v>
      </c>
      <c r="O20" s="34" t="s">
        <v>314</v>
      </c>
      <c r="P20" s="36" t="s">
        <v>446</v>
      </c>
      <c r="Q20" s="36" t="s">
        <v>447</v>
      </c>
      <c r="R20" s="34" t="s">
        <v>448</v>
      </c>
      <c r="S20" s="34" t="s">
        <v>449</v>
      </c>
      <c r="T20" s="34" t="s">
        <v>322</v>
      </c>
      <c r="U20" s="36" t="s">
        <v>338</v>
      </c>
      <c r="V20" s="36" t="s">
        <v>450</v>
      </c>
      <c r="W20" s="37" t="s">
        <v>314</v>
      </c>
      <c r="X20" s="36" t="s">
        <v>451</v>
      </c>
      <c r="Y20" s="36" t="s">
        <v>452</v>
      </c>
    </row>
    <row r="21" spans="1:25">
      <c r="A21" s="34">
        <v>18</v>
      </c>
      <c r="B21" s="35" t="s">
        <v>453</v>
      </c>
      <c r="C21" s="36" t="s">
        <v>454</v>
      </c>
      <c r="D21" s="34" t="s">
        <v>99</v>
      </c>
      <c r="E21" s="34" t="s">
        <v>438</v>
      </c>
      <c r="F21" s="36" t="s">
        <v>314</v>
      </c>
      <c r="G21" s="36" t="s"/>
      <c r="H21" s="36" t="s"/>
      <c r="I21" s="34" t="s">
        <v>440</v>
      </c>
      <c r="J21" s="36" t="s">
        <v>455</v>
      </c>
      <c r="K21" s="34" t="s">
        <v>442</v>
      </c>
      <c r="L21" s="34" t="s">
        <v>443</v>
      </c>
      <c r="M21" s="34" t="s">
        <v>444</v>
      </c>
      <c r="N21" s="36" t="s">
        <v>445</v>
      </c>
      <c r="O21" s="34" t="s">
        <v>314</v>
      </c>
      <c r="P21" s="36" t="s">
        <v>446</v>
      </c>
      <c r="Q21" s="36" t="s">
        <v>456</v>
      </c>
      <c r="R21" s="34" t="s">
        <v>448</v>
      </c>
      <c r="S21" s="34" t="s">
        <v>449</v>
      </c>
      <c r="T21" s="34" t="s">
        <v>322</v>
      </c>
      <c r="U21" s="36" t="s">
        <v>338</v>
      </c>
      <c r="V21" s="36" t="s">
        <v>457</v>
      </c>
      <c r="W21" s="37" t="s">
        <v>314</v>
      </c>
      <c r="X21" s="36" t="s">
        <v>445</v>
      </c>
      <c r="Y21" s="36" t="s">
        <v>458</v>
      </c>
    </row>
    <row r="22" spans="1:25">
      <c r="A22" s="34">
        <v>19</v>
      </c>
      <c r="B22" s="35" t="s">
        <v>459</v>
      </c>
      <c r="C22" s="36" t="s">
        <v>460</v>
      </c>
      <c r="D22" s="34" t="s">
        <v>99</v>
      </c>
      <c r="E22" s="34" t="s">
        <v>438</v>
      </c>
      <c r="F22" s="36" t="s">
        <v>314</v>
      </c>
      <c r="G22" s="36" t="s"/>
      <c r="H22" s="36" t="s"/>
      <c r="I22" s="34" t="s">
        <v>440</v>
      </c>
      <c r="J22" s="36" t="s">
        <v>461</v>
      </c>
      <c r="K22" s="34" t="s">
        <v>442</v>
      </c>
      <c r="L22" s="34" t="s">
        <v>443</v>
      </c>
      <c r="M22" s="34" t="s">
        <v>444</v>
      </c>
      <c r="N22" s="36" t="s">
        <v>445</v>
      </c>
      <c r="O22" s="34" t="s">
        <v>314</v>
      </c>
      <c r="P22" s="36" t="s">
        <v>462</v>
      </c>
      <c r="Q22" s="36" t="s">
        <v>463</v>
      </c>
      <c r="R22" s="34" t="s">
        <v>464</v>
      </c>
      <c r="S22" s="34" t="s">
        <v>426</v>
      </c>
      <c r="T22" s="34" t="s">
        <v>322</v>
      </c>
      <c r="U22" s="36" t="s">
        <v>338</v>
      </c>
      <c r="V22" s="36" t="s">
        <v>465</v>
      </c>
      <c r="W22" s="37" t="s">
        <v>314</v>
      </c>
      <c r="X22" s="36" t="s">
        <v>466</v>
      </c>
      <c r="Y22" s="36" t="s">
        <v>467</v>
      </c>
    </row>
    <row r="23" spans="1:25">
      <c r="A23" s="34">
        <v>20</v>
      </c>
      <c r="B23" s="35" t="s">
        <v>468</v>
      </c>
      <c r="C23" s="36" t="s">
        <v>469</v>
      </c>
      <c r="D23" s="34" t="s">
        <v>99</v>
      </c>
      <c r="E23" s="34" t="s">
        <v>438</v>
      </c>
      <c r="F23" s="36" t="s">
        <v>314</v>
      </c>
      <c r="G23" s="36" t="s"/>
      <c r="H23" s="36" t="s"/>
      <c r="I23" s="34" t="s">
        <v>440</v>
      </c>
      <c r="J23" s="36" t="s">
        <v>470</v>
      </c>
      <c r="K23" s="34" t="s">
        <v>471</v>
      </c>
      <c r="L23" s="34" t="s">
        <v>443</v>
      </c>
      <c r="M23" s="34" t="s">
        <v>444</v>
      </c>
      <c r="N23" s="36" t="s">
        <v>445</v>
      </c>
      <c r="O23" s="34" t="s">
        <v>314</v>
      </c>
      <c r="P23" s="36" t="s">
        <v>462</v>
      </c>
      <c r="Q23" s="36" t="s">
        <v>472</v>
      </c>
      <c r="R23" s="34" t="s">
        <v>464</v>
      </c>
      <c r="S23" s="34" t="s">
        <v>426</v>
      </c>
      <c r="T23" s="34" t="s">
        <v>434</v>
      </c>
      <c r="U23" s="36" t="s">
        <v>338</v>
      </c>
      <c r="V23" s="36" t="s">
        <v>473</v>
      </c>
      <c r="W23" s="37" t="s">
        <v>474</v>
      </c>
      <c r="X23" s="36" t="s">
        <v>445</v>
      </c>
      <c r="Y23" s="36" t="s">
        <v>475</v>
      </c>
    </row>
    <row r="24" spans="1:25">
      <c r="A24" s="34">
        <v>21</v>
      </c>
      <c r="B24" s="35" t="s">
        <v>476</v>
      </c>
      <c r="C24" s="36" t="s">
        <v>477</v>
      </c>
      <c r="D24" s="34" t="s">
        <v>99</v>
      </c>
      <c r="E24" s="34" t="s">
        <v>438</v>
      </c>
      <c r="F24" s="36" t="s">
        <v>478</v>
      </c>
      <c r="G24" s="36" t="s"/>
      <c r="H24" s="36" t="s"/>
      <c r="I24" s="34" t="s">
        <v>440</v>
      </c>
      <c r="J24" s="36" t="s">
        <v>479</v>
      </c>
      <c r="K24" s="34" t="s">
        <v>442</v>
      </c>
      <c r="L24" s="34" t="s">
        <v>443</v>
      </c>
      <c r="M24" s="34" t="s">
        <v>444</v>
      </c>
      <c r="N24" s="36" t="s">
        <v>445</v>
      </c>
      <c r="O24" s="34" t="s">
        <v>314</v>
      </c>
      <c r="P24" s="36" t="s">
        <v>395</v>
      </c>
      <c r="Q24" s="36" t="s">
        <v>480</v>
      </c>
      <c r="R24" s="34" t="s">
        <v>481</v>
      </c>
      <c r="S24" s="34" t="s">
        <v>426</v>
      </c>
      <c r="T24" s="34" t="s">
        <v>322</v>
      </c>
      <c r="U24" s="36" t="s">
        <v>338</v>
      </c>
      <c r="V24" s="36" t="s">
        <v>482</v>
      </c>
      <c r="W24" s="37" t="s">
        <v>314</v>
      </c>
      <c r="X24" s="36" t="s">
        <v>466</v>
      </c>
      <c r="Y24" s="36" t="s">
        <v>483</v>
      </c>
    </row>
    <row r="25" spans="1:25">
      <c r="A25" s="34">
        <v>22</v>
      </c>
      <c r="B25" s="35" t="s">
        <v>484</v>
      </c>
      <c r="C25" s="36" t="s">
        <v>485</v>
      </c>
      <c r="D25" s="34" t="s">
        <v>99</v>
      </c>
      <c r="E25" s="34" t="s">
        <v>438</v>
      </c>
      <c r="F25" s="36" t="s">
        <v>486</v>
      </c>
      <c r="G25" s="36" t="s"/>
      <c r="H25" s="36" t="s"/>
      <c r="I25" s="34" t="s">
        <v>440</v>
      </c>
      <c r="J25" s="36" t="s">
        <v>487</v>
      </c>
      <c r="K25" s="34" t="s">
        <v>488</v>
      </c>
      <c r="L25" s="34" t="s">
        <v>443</v>
      </c>
      <c r="M25" s="34" t="s">
        <v>444</v>
      </c>
      <c r="N25" s="36" t="s">
        <v>445</v>
      </c>
      <c r="O25" s="34" t="s">
        <v>314</v>
      </c>
      <c r="P25" s="36" t="s">
        <v>489</v>
      </c>
      <c r="Q25" s="36" t="s">
        <v>490</v>
      </c>
      <c r="R25" s="34" t="s">
        <v>491</v>
      </c>
      <c r="S25" s="34" t="s">
        <v>449</v>
      </c>
      <c r="T25" s="34" t="s">
        <v>322</v>
      </c>
      <c r="U25" s="36" t="s">
        <v>338</v>
      </c>
      <c r="V25" s="36" t="s">
        <v>492</v>
      </c>
      <c r="W25" s="37" t="s">
        <v>314</v>
      </c>
      <c r="X25" s="36" t="s">
        <v>445</v>
      </c>
      <c r="Y25" s="36" t="s">
        <v>493</v>
      </c>
    </row>
    <row r="26" spans="1:25">
      <c r="A26" s="34">
        <v>23</v>
      </c>
      <c r="B26" s="35" t="s">
        <v>494</v>
      </c>
      <c r="C26" s="36" t="s">
        <v>495</v>
      </c>
      <c r="D26" s="34" t="s">
        <v>99</v>
      </c>
      <c r="E26" s="34" t="s">
        <v>438</v>
      </c>
      <c r="F26" s="36" t="s">
        <v>496</v>
      </c>
      <c r="G26" s="36" t="s"/>
      <c r="H26" s="36" t="s"/>
      <c r="I26" s="34" t="s">
        <v>440</v>
      </c>
      <c r="J26" s="36" t="s">
        <v>497</v>
      </c>
      <c r="K26" s="34" t="s">
        <v>498</v>
      </c>
      <c r="L26" s="34" t="s">
        <v>499</v>
      </c>
      <c r="M26" s="34" t="s">
        <v>500</v>
      </c>
      <c r="N26" s="36" t="s">
        <v>445</v>
      </c>
      <c r="O26" s="34" t="s">
        <v>314</v>
      </c>
      <c r="P26" s="36" t="s">
        <v>501</v>
      </c>
      <c r="Q26" s="36" t="s">
        <v>502</v>
      </c>
      <c r="R26" s="34" t="s">
        <v>491</v>
      </c>
      <c r="S26" s="34" t="s">
        <v>449</v>
      </c>
      <c r="T26" s="34" t="s">
        <v>322</v>
      </c>
      <c r="U26" s="36" t="s">
        <v>338</v>
      </c>
      <c r="V26" s="36" t="s">
        <v>503</v>
      </c>
      <c r="W26" s="37" t="s">
        <v>314</v>
      </c>
      <c r="X26" s="36" t="s">
        <v>445</v>
      </c>
      <c r="Y26" s="36" t="s">
        <v>504</v>
      </c>
    </row>
    <row r="27" spans="1:25">
      <c r="A27" s="34">
        <v>24</v>
      </c>
      <c r="B27" s="35" t="s">
        <v>505</v>
      </c>
      <c r="C27" s="36" t="s">
        <v>506</v>
      </c>
      <c r="D27" s="34" t="s">
        <v>99</v>
      </c>
      <c r="E27" s="34" t="s">
        <v>438</v>
      </c>
      <c r="F27" s="36" t="s">
        <v>314</v>
      </c>
      <c r="G27" s="36" t="s"/>
      <c r="H27" s="36" t="s"/>
      <c r="I27" s="34" t="s">
        <v>440</v>
      </c>
      <c r="J27" s="36" t="s">
        <v>507</v>
      </c>
      <c r="K27" s="34" t="s">
        <v>508</v>
      </c>
      <c r="L27" s="34" t="s">
        <v>499</v>
      </c>
      <c r="M27" s="34" t="s">
        <v>500</v>
      </c>
      <c r="N27" s="36" t="s">
        <v>445</v>
      </c>
      <c r="O27" s="34" t="s">
        <v>314</v>
      </c>
      <c r="P27" s="36" t="s">
        <v>395</v>
      </c>
      <c r="Q27" s="36" t="s">
        <v>509</v>
      </c>
      <c r="R27" s="34" t="s">
        <v>510</v>
      </c>
      <c r="S27" s="34" t="s">
        <v>426</v>
      </c>
      <c r="T27" s="34" t="s">
        <v>322</v>
      </c>
      <c r="U27" s="36" t="s">
        <v>338</v>
      </c>
      <c r="V27" s="36" t="s">
        <v>511</v>
      </c>
      <c r="W27" s="37" t="s">
        <v>314</v>
      </c>
      <c r="X27" s="36" t="s">
        <v>445</v>
      </c>
      <c r="Y27" s="36" t="s">
        <v>512</v>
      </c>
    </row>
    <row r="28" spans="1:25">
      <c r="A28" s="34">
        <v>25</v>
      </c>
      <c r="B28" s="35" t="s">
        <v>513</v>
      </c>
      <c r="C28" s="36" t="s">
        <v>514</v>
      </c>
      <c r="D28" s="34" t="s">
        <v>99</v>
      </c>
      <c r="E28" s="34" t="s">
        <v>438</v>
      </c>
      <c r="F28" s="36" t="s">
        <v>314</v>
      </c>
      <c r="G28" s="36" t="s"/>
      <c r="H28" s="36" t="s"/>
      <c r="I28" s="34" t="s">
        <v>440</v>
      </c>
      <c r="J28" s="36" t="s">
        <v>515</v>
      </c>
      <c r="K28" s="34" t="s">
        <v>508</v>
      </c>
      <c r="L28" s="34" t="s">
        <v>499</v>
      </c>
      <c r="M28" s="34" t="s">
        <v>500</v>
      </c>
      <c r="N28" s="36" t="s">
        <v>445</v>
      </c>
      <c r="O28" s="34" t="s">
        <v>314</v>
      </c>
      <c r="P28" s="36" t="s">
        <v>516</v>
      </c>
      <c r="Q28" s="36" t="s">
        <v>517</v>
      </c>
      <c r="R28" s="34" t="s">
        <v>491</v>
      </c>
      <c r="S28" s="34" t="s">
        <v>426</v>
      </c>
      <c r="T28" s="34" t="s">
        <v>322</v>
      </c>
      <c r="U28" s="36" t="s">
        <v>338</v>
      </c>
      <c r="V28" s="36" t="s">
        <v>518</v>
      </c>
      <c r="W28" s="37" t="s">
        <v>314</v>
      </c>
      <c r="X28" s="36" t="s">
        <v>445</v>
      </c>
      <c r="Y28" s="36" t="s">
        <v>314</v>
      </c>
    </row>
    <row r="29" spans="1:25">
      <c r="A29" s="34">
        <v>26</v>
      </c>
      <c r="B29" s="35" t="s">
        <v>519</v>
      </c>
      <c r="C29" s="36" t="s">
        <v>520</v>
      </c>
      <c r="D29" s="34" t="s">
        <v>99</v>
      </c>
      <c r="E29" s="34" t="s">
        <v>438</v>
      </c>
      <c r="F29" s="36" t="s">
        <v>314</v>
      </c>
      <c r="G29" s="36" t="s"/>
      <c r="H29" s="36" t="s"/>
      <c r="I29" s="34" t="s">
        <v>440</v>
      </c>
      <c r="J29" s="36" t="s">
        <v>521</v>
      </c>
      <c r="K29" s="34" t="s">
        <v>498</v>
      </c>
      <c r="L29" s="34" t="s">
        <v>522</v>
      </c>
      <c r="M29" s="34" t="s">
        <v>523</v>
      </c>
      <c r="N29" s="36" t="s">
        <v>445</v>
      </c>
      <c r="O29" s="34" t="s">
        <v>314</v>
      </c>
      <c r="P29" s="36" t="s">
        <v>462</v>
      </c>
      <c r="Q29" s="36" t="s">
        <v>524</v>
      </c>
      <c r="R29" s="34" t="s">
        <v>464</v>
      </c>
      <c r="S29" s="34" t="s">
        <v>426</v>
      </c>
      <c r="T29" s="34" t="s">
        <v>322</v>
      </c>
      <c r="U29" s="36" t="s">
        <v>338</v>
      </c>
      <c r="V29" s="36" t="s">
        <v>525</v>
      </c>
      <c r="W29" s="37" t="s">
        <v>314</v>
      </c>
      <c r="X29" s="36" t="s">
        <v>445</v>
      </c>
      <c r="Y29" s="36" t="s">
        <v>314</v>
      </c>
    </row>
    <row r="30" spans="1:25">
      <c r="A30" s="34">
        <v>27</v>
      </c>
      <c r="B30" s="35" t="s">
        <v>526</v>
      </c>
      <c r="C30" s="36" t="s">
        <v>527</v>
      </c>
      <c r="D30" s="34" t="s">
        <v>99</v>
      </c>
      <c r="E30" s="34" t="s">
        <v>438</v>
      </c>
      <c r="F30" s="36" t="s">
        <v>314</v>
      </c>
      <c r="G30" s="36" t="s"/>
      <c r="H30" s="36" t="s"/>
      <c r="I30" s="34" t="s">
        <v>440</v>
      </c>
      <c r="J30" s="36" t="s">
        <v>528</v>
      </c>
      <c r="K30" s="34" t="s">
        <v>498</v>
      </c>
      <c r="L30" s="34" t="s">
        <v>522</v>
      </c>
      <c r="M30" s="34" t="s">
        <v>523</v>
      </c>
      <c r="N30" s="36" t="s">
        <v>445</v>
      </c>
      <c r="O30" s="34" t="s">
        <v>314</v>
      </c>
      <c r="P30" s="36" t="s">
        <v>462</v>
      </c>
      <c r="Q30" s="36" t="s">
        <v>524</v>
      </c>
      <c r="R30" s="34" t="s">
        <v>464</v>
      </c>
      <c r="S30" s="34" t="s">
        <v>426</v>
      </c>
      <c r="T30" s="34" t="s">
        <v>322</v>
      </c>
      <c r="U30" s="36" t="s">
        <v>338</v>
      </c>
      <c r="V30" s="36" t="s">
        <v>525</v>
      </c>
      <c r="W30" s="37" t="s">
        <v>314</v>
      </c>
      <c r="X30" s="36" t="s">
        <v>445</v>
      </c>
      <c r="Y30" s="36" t="s">
        <v>314</v>
      </c>
    </row>
    <row r="31" spans="1:25">
      <c r="A31" s="34">
        <v>28</v>
      </c>
      <c r="B31" s="35" t="s">
        <v>529</v>
      </c>
      <c r="C31" s="36" t="s">
        <v>530</v>
      </c>
      <c r="D31" s="34" t="s">
        <v>99</v>
      </c>
      <c r="E31" s="34" t="s">
        <v>438</v>
      </c>
      <c r="F31" s="36" t="s">
        <v>314</v>
      </c>
      <c r="G31" s="36" t="s"/>
      <c r="H31" s="36" t="s"/>
      <c r="I31" s="34" t="s">
        <v>440</v>
      </c>
      <c r="J31" s="36" t="s">
        <v>531</v>
      </c>
      <c r="K31" s="34" t="s">
        <v>498</v>
      </c>
      <c r="L31" s="34" t="s">
        <v>522</v>
      </c>
      <c r="M31" s="34" t="s">
        <v>523</v>
      </c>
      <c r="N31" s="36" t="s">
        <v>445</v>
      </c>
      <c r="O31" s="34" t="s">
        <v>314</v>
      </c>
      <c r="P31" s="36" t="s">
        <v>462</v>
      </c>
      <c r="Q31" s="36" t="s">
        <v>524</v>
      </c>
      <c r="R31" s="34" t="s">
        <v>464</v>
      </c>
      <c r="S31" s="34" t="s">
        <v>426</v>
      </c>
      <c r="T31" s="34" t="s">
        <v>322</v>
      </c>
      <c r="U31" s="36" t="s">
        <v>338</v>
      </c>
      <c r="V31" s="36" t="s">
        <v>525</v>
      </c>
      <c r="W31" s="37" t="s">
        <v>314</v>
      </c>
      <c r="X31" s="36" t="s">
        <v>445</v>
      </c>
      <c r="Y31" s="36" t="s">
        <v>314</v>
      </c>
    </row>
    <row r="32" spans="1:25">
      <c r="A32" s="34">
        <v>29</v>
      </c>
      <c r="B32" s="35" t="s">
        <v>532</v>
      </c>
      <c r="C32" s="36" t="s">
        <v>533</v>
      </c>
      <c r="D32" s="34" t="s">
        <v>99</v>
      </c>
      <c r="E32" s="34" t="s">
        <v>438</v>
      </c>
      <c r="F32" s="36" t="s">
        <v>534</v>
      </c>
      <c r="G32" s="36" t="s"/>
      <c r="H32" s="36" t="s"/>
      <c r="I32" s="34" t="s">
        <v>440</v>
      </c>
      <c r="J32" s="36" t="s">
        <v>535</v>
      </c>
      <c r="K32" s="34" t="s">
        <v>536</v>
      </c>
      <c r="L32" s="34" t="s">
        <v>522</v>
      </c>
      <c r="M32" s="34" t="s">
        <v>523</v>
      </c>
      <c r="N32" s="36" t="s">
        <v>445</v>
      </c>
      <c r="O32" s="34" t="s">
        <v>314</v>
      </c>
      <c r="P32" s="36" t="s">
        <v>537</v>
      </c>
      <c r="Q32" s="36" t="s">
        <v>538</v>
      </c>
      <c r="R32" s="34" t="s">
        <v>510</v>
      </c>
      <c r="S32" s="34" t="s">
        <v>426</v>
      </c>
      <c r="T32" s="34" t="s">
        <v>322</v>
      </c>
      <c r="U32" s="36" t="s">
        <v>539</v>
      </c>
      <c r="V32" s="36" t="s">
        <v>540</v>
      </c>
      <c r="W32" s="37" t="s">
        <v>541</v>
      </c>
      <c r="X32" s="36" t="s">
        <v>445</v>
      </c>
      <c r="Y32" s="36" t="s">
        <v>542</v>
      </c>
    </row>
    <row r="33" spans="1:25">
      <c r="A33" s="34">
        <v>30</v>
      </c>
      <c r="B33" s="35" t="s">
        <v>543</v>
      </c>
      <c r="C33" s="36" t="s">
        <v>544</v>
      </c>
      <c r="D33" s="34" t="s">
        <v>421</v>
      </c>
      <c r="E33" s="34" t="s">
        <v>438</v>
      </c>
      <c r="F33" s="36" t="s">
        <v>545</v>
      </c>
      <c r="G33" s="36" t="s"/>
      <c r="H33" s="36" t="s"/>
      <c r="I33" s="34" t="s">
        <v>421</v>
      </c>
      <c r="J33" s="36" t="s">
        <v>546</v>
      </c>
      <c r="K33" s="34" t="s">
        <v>547</v>
      </c>
      <c r="L33" s="34" t="s">
        <v>443</v>
      </c>
      <c r="M33" s="34" t="s">
        <v>444</v>
      </c>
      <c r="N33" s="36" t="s">
        <v>548</v>
      </c>
      <c r="O33" s="34" t="s">
        <v>314</v>
      </c>
      <c r="P33" s="36" t="s">
        <v>395</v>
      </c>
      <c r="Q33" s="36" t="s">
        <v>538</v>
      </c>
      <c r="R33" s="34" t="s">
        <v>510</v>
      </c>
      <c r="S33" s="34" t="s">
        <v>426</v>
      </c>
      <c r="T33" s="34" t="s">
        <v>322</v>
      </c>
      <c r="U33" s="36" t="s">
        <v>549</v>
      </c>
      <c r="V33" s="36" t="s">
        <v>550</v>
      </c>
      <c r="W33" s="37" t="s">
        <v>314</v>
      </c>
      <c r="X33" s="36" t="s">
        <v>551</v>
      </c>
      <c r="Y33" s="36" t="s">
        <v>552</v>
      </c>
    </row>
    <row r="34" spans="1:25">
      <c r="A34" s="34">
        <v>31</v>
      </c>
      <c r="B34" s="35" t="s">
        <v>553</v>
      </c>
      <c r="C34" s="36" t="s">
        <v>554</v>
      </c>
      <c r="D34" s="34" t="s">
        <v>99</v>
      </c>
      <c r="E34" s="34" t="s">
        <v>438</v>
      </c>
      <c r="F34" s="36" t="s">
        <v>555</v>
      </c>
      <c r="G34" s="36" t="s"/>
      <c r="H34" s="36" t="s"/>
      <c r="I34" s="34" t="s">
        <v>440</v>
      </c>
      <c r="J34" s="36" t="s">
        <v>556</v>
      </c>
      <c r="K34" s="34" t="s">
        <v>557</v>
      </c>
      <c r="L34" s="34" t="s">
        <v>499</v>
      </c>
      <c r="M34" s="34" t="s">
        <v>500</v>
      </c>
      <c r="N34" s="36" t="s">
        <v>445</v>
      </c>
      <c r="O34" s="34" t="s">
        <v>314</v>
      </c>
      <c r="P34" s="36" t="s">
        <v>395</v>
      </c>
      <c r="Q34" s="36" t="s">
        <v>558</v>
      </c>
      <c r="R34" s="34" t="s">
        <v>559</v>
      </c>
      <c r="S34" s="34" t="s">
        <v>426</v>
      </c>
      <c r="T34" s="34" t="s">
        <v>322</v>
      </c>
      <c r="U34" s="36" t="s">
        <v>338</v>
      </c>
      <c r="V34" s="36" t="s">
        <v>550</v>
      </c>
      <c r="W34" s="37" t="s">
        <v>560</v>
      </c>
      <c r="X34" s="36" t="s">
        <v>445</v>
      </c>
      <c r="Y34" s="36" t="s">
        <v>561</v>
      </c>
    </row>
    <row r="35" spans="1:25">
      <c r="A35" s="34">
        <v>32</v>
      </c>
      <c r="B35" s="35" t="s">
        <v>562</v>
      </c>
      <c r="C35" s="36" t="s">
        <v>563</v>
      </c>
      <c r="D35" s="34" t="s">
        <v>99</v>
      </c>
      <c r="E35" s="34" t="s">
        <v>438</v>
      </c>
      <c r="F35" s="36" t="s">
        <v>564</v>
      </c>
      <c r="G35" s="36" t="s"/>
      <c r="H35" s="36" t="s"/>
      <c r="I35" s="34" t="s">
        <v>565</v>
      </c>
      <c r="J35" s="36" t="s">
        <v>566</v>
      </c>
      <c r="K35" s="34" t="s">
        <v>567</v>
      </c>
      <c r="L35" s="34" t="s">
        <v>568</v>
      </c>
      <c r="M35" s="34" t="s">
        <v>569</v>
      </c>
      <c r="N35" s="36" t="s">
        <v>570</v>
      </c>
      <c r="O35" s="34" t="s">
        <v>571</v>
      </c>
      <c r="P35" s="36" t="s">
        <v>572</v>
      </c>
      <c r="Q35" s="36" t="s">
        <v>573</v>
      </c>
      <c r="R35" s="34" t="s">
        <v>574</v>
      </c>
      <c r="S35" s="34" t="s">
        <v>575</v>
      </c>
      <c r="T35" s="34" t="s">
        <v>322</v>
      </c>
      <c r="U35" s="36" t="s">
        <v>549</v>
      </c>
      <c r="V35" s="36" t="s">
        <v>550</v>
      </c>
      <c r="W35" s="37" t="s">
        <v>314</v>
      </c>
      <c r="X35" s="36" t="s">
        <v>570</v>
      </c>
      <c r="Y35" s="36" t="s">
        <v>576</v>
      </c>
    </row>
    <row r="36" spans="1:25">
      <c r="A36" s="34">
        <v>33</v>
      </c>
      <c r="B36" s="35" t="s">
        <v>577</v>
      </c>
      <c r="C36" s="36" t="s">
        <v>578</v>
      </c>
      <c r="D36" s="34" t="s">
        <v>99</v>
      </c>
      <c r="E36" s="34" t="s">
        <v>438</v>
      </c>
      <c r="F36" s="36" t="s">
        <v>579</v>
      </c>
      <c r="G36" s="36" t="s"/>
      <c r="H36" s="36" t="s"/>
      <c r="I36" s="34" t="s">
        <v>440</v>
      </c>
      <c r="J36" s="36" t="s">
        <v>580</v>
      </c>
      <c r="K36" s="34" t="s">
        <v>536</v>
      </c>
      <c r="L36" s="34" t="s">
        <v>522</v>
      </c>
      <c r="M36" s="34" t="s">
        <v>523</v>
      </c>
      <c r="N36" s="36" t="s">
        <v>445</v>
      </c>
      <c r="O36" s="34" t="s">
        <v>314</v>
      </c>
      <c r="P36" s="36" t="s">
        <v>395</v>
      </c>
      <c r="Q36" s="36" t="s">
        <v>581</v>
      </c>
      <c r="R36" s="34" t="s">
        <v>510</v>
      </c>
      <c r="S36" s="34" t="s">
        <v>426</v>
      </c>
      <c r="T36" s="34" t="s">
        <v>322</v>
      </c>
      <c r="U36" s="36" t="s">
        <v>338</v>
      </c>
      <c r="V36" s="36" t="s">
        <v>473</v>
      </c>
      <c r="W36" s="37" t="s">
        <v>582</v>
      </c>
      <c r="X36" s="36" t="s">
        <v>583</v>
      </c>
      <c r="Y36" s="36" t="s">
        <v>584</v>
      </c>
    </row>
    <row r="37" spans="1:25">
      <c r="A37" s="34">
        <v>34</v>
      </c>
      <c r="B37" s="35" t="s">
        <v>585</v>
      </c>
      <c r="C37" s="36" t="s">
        <v>586</v>
      </c>
      <c r="D37" s="34" t="s">
        <v>99</v>
      </c>
      <c r="E37" s="34" t="s">
        <v>438</v>
      </c>
      <c r="F37" s="36" t="s">
        <v>587</v>
      </c>
      <c r="G37" s="36" t="s"/>
      <c r="H37" s="36" t="s"/>
      <c r="I37" s="34" t="s">
        <v>440</v>
      </c>
      <c r="J37" s="36" t="s">
        <v>588</v>
      </c>
      <c r="K37" s="34" t="s">
        <v>536</v>
      </c>
      <c r="L37" s="34" t="s">
        <v>522</v>
      </c>
      <c r="M37" s="34" t="s">
        <v>523</v>
      </c>
      <c r="N37" s="36" t="s">
        <v>445</v>
      </c>
      <c r="O37" s="34" t="s">
        <v>314</v>
      </c>
      <c r="P37" s="36" t="s">
        <v>395</v>
      </c>
      <c r="Q37" s="36" t="s">
        <v>538</v>
      </c>
      <c r="R37" s="34" t="s">
        <v>510</v>
      </c>
      <c r="S37" s="34" t="s">
        <v>426</v>
      </c>
      <c r="T37" s="34" t="s">
        <v>322</v>
      </c>
      <c r="U37" s="36" t="s">
        <v>549</v>
      </c>
      <c r="V37" s="36" t="s">
        <v>473</v>
      </c>
      <c r="W37" s="37" t="s">
        <v>589</v>
      </c>
      <c r="X37" s="36" t="s">
        <v>445</v>
      </c>
      <c r="Y37" s="36" t="s">
        <v>590</v>
      </c>
    </row>
    <row r="38" spans="1:25">
      <c r="A38" s="34">
        <v>35</v>
      </c>
      <c r="B38" s="35" t="s">
        <v>591</v>
      </c>
      <c r="C38" s="36" t="s">
        <v>592</v>
      </c>
      <c r="D38" s="34" t="s">
        <v>99</v>
      </c>
      <c r="E38" s="34" t="s">
        <v>438</v>
      </c>
      <c r="F38" s="36" t="s">
        <v>593</v>
      </c>
      <c r="G38" s="36" t="s"/>
      <c r="H38" s="36" t="s"/>
      <c r="I38" s="34" t="s">
        <v>440</v>
      </c>
      <c r="J38" s="36" t="s">
        <v>594</v>
      </c>
      <c r="K38" s="34" t="s">
        <v>536</v>
      </c>
      <c r="L38" s="34" t="s">
        <v>522</v>
      </c>
      <c r="M38" s="34" t="s">
        <v>523</v>
      </c>
      <c r="N38" s="36" t="s">
        <v>445</v>
      </c>
      <c r="O38" s="34" t="s">
        <v>314</v>
      </c>
      <c r="P38" s="36" t="s">
        <v>395</v>
      </c>
      <c r="Q38" s="36" t="s">
        <v>538</v>
      </c>
      <c r="R38" s="34" t="s">
        <v>510</v>
      </c>
      <c r="S38" s="34" t="s">
        <v>426</v>
      </c>
      <c r="T38" s="34" t="s">
        <v>322</v>
      </c>
      <c r="U38" s="36" t="s">
        <v>549</v>
      </c>
      <c r="V38" s="36" t="s">
        <v>473</v>
      </c>
      <c r="W38" s="37" t="s">
        <v>595</v>
      </c>
      <c r="X38" s="36" t="s">
        <v>445</v>
      </c>
      <c r="Y38" s="36" t="s">
        <v>596</v>
      </c>
    </row>
    <row r="39" spans="1:25">
      <c r="A39" s="34">
        <v>36</v>
      </c>
      <c r="B39" s="35" t="s">
        <v>597</v>
      </c>
      <c r="C39" s="36" t="s">
        <v>598</v>
      </c>
      <c r="D39" s="34" t="s">
        <v>99</v>
      </c>
      <c r="E39" s="34" t="s">
        <v>438</v>
      </c>
      <c r="F39" s="36" t="s">
        <v>599</v>
      </c>
      <c r="G39" s="36" t="s"/>
      <c r="H39" s="36" t="s"/>
      <c r="I39" s="34" t="s">
        <v>440</v>
      </c>
      <c r="J39" s="36" t="s">
        <v>600</v>
      </c>
      <c r="K39" s="34" t="s">
        <v>442</v>
      </c>
      <c r="L39" s="34" t="s">
        <v>443</v>
      </c>
      <c r="M39" s="34" t="s">
        <v>444</v>
      </c>
      <c r="N39" s="36" t="s">
        <v>445</v>
      </c>
      <c r="O39" s="34" t="s">
        <v>314</v>
      </c>
      <c r="P39" s="36" t="s">
        <v>395</v>
      </c>
      <c r="Q39" s="36" t="s">
        <v>447</v>
      </c>
      <c r="R39" s="34" t="s">
        <v>448</v>
      </c>
      <c r="S39" s="34" t="s">
        <v>426</v>
      </c>
      <c r="T39" s="34" t="s">
        <v>322</v>
      </c>
      <c r="U39" s="36" t="s">
        <v>338</v>
      </c>
      <c r="V39" s="36" t="s">
        <v>482</v>
      </c>
      <c r="W39" s="37" t="s">
        <v>601</v>
      </c>
      <c r="X39" s="36" t="s">
        <v>445</v>
      </c>
      <c r="Y39" s="36" t="s">
        <v>602</v>
      </c>
    </row>
    <row r="40" spans="1:25">
      <c r="A40" s="34">
        <v>37</v>
      </c>
      <c r="B40" s="35" t="s">
        <v>603</v>
      </c>
      <c r="C40" s="36" t="s">
        <v>604</v>
      </c>
      <c r="D40" s="34" t="s">
        <v>605</v>
      </c>
      <c r="E40" s="34" t="s">
        <v>606</v>
      </c>
      <c r="F40" s="36" t="s">
        <v>607</v>
      </c>
      <c r="G40" s="36" t="s"/>
      <c r="H40" s="36" t="s"/>
      <c r="I40" s="34" t="s">
        <v>440</v>
      </c>
      <c r="J40" s="36" t="s">
        <v>608</v>
      </c>
      <c r="K40" s="34" t="s">
        <v>442</v>
      </c>
      <c r="L40" s="34" t="s">
        <v>443</v>
      </c>
      <c r="M40" s="34" t="s">
        <v>444</v>
      </c>
      <c r="N40" s="36" t="s">
        <v>445</v>
      </c>
      <c r="O40" s="34" t="s">
        <v>314</v>
      </c>
      <c r="P40" s="36" t="s">
        <v>609</v>
      </c>
      <c r="Q40" s="36" t="s">
        <v>610</v>
      </c>
      <c r="R40" s="34" t="s">
        <v>448</v>
      </c>
      <c r="S40" s="34" t="s">
        <v>449</v>
      </c>
      <c r="T40" s="34" t="s">
        <v>322</v>
      </c>
      <c r="U40" s="36" t="s">
        <v>338</v>
      </c>
      <c r="V40" s="36" t="s">
        <v>611</v>
      </c>
      <c r="W40" s="37" t="s">
        <v>612</v>
      </c>
      <c r="X40" s="36" t="s">
        <v>613</v>
      </c>
      <c r="Y40" s="36" t="s">
        <v>614</v>
      </c>
    </row>
    <row r="41" spans="1:25">
      <c r="A41" s="34">
        <v>38</v>
      </c>
      <c r="B41" s="35" t="s">
        <v>615</v>
      </c>
      <c r="C41" s="36" t="s">
        <v>616</v>
      </c>
      <c r="D41" s="34" t="s">
        <v>605</v>
      </c>
      <c r="E41" s="34" t="s">
        <v>606</v>
      </c>
      <c r="F41" s="36" t="s">
        <v>617</v>
      </c>
      <c r="G41" s="36" t="s"/>
      <c r="H41" s="36" t="s"/>
      <c r="I41" s="34" t="s">
        <v>440</v>
      </c>
      <c r="J41" s="36" t="s">
        <v>618</v>
      </c>
      <c r="K41" s="34" t="s">
        <v>619</v>
      </c>
      <c r="L41" s="34" t="s">
        <v>499</v>
      </c>
      <c r="M41" s="34" t="s">
        <v>500</v>
      </c>
      <c r="N41" s="36" t="s">
        <v>445</v>
      </c>
      <c r="O41" s="34" t="s">
        <v>314</v>
      </c>
      <c r="P41" s="36" t="s">
        <v>609</v>
      </c>
      <c r="Q41" s="36" t="s">
        <v>620</v>
      </c>
      <c r="R41" s="34" t="s">
        <v>448</v>
      </c>
      <c r="S41" s="34" t="s">
        <v>449</v>
      </c>
      <c r="T41" s="34" t="s">
        <v>434</v>
      </c>
      <c r="U41" s="36" t="s">
        <v>338</v>
      </c>
      <c r="V41" s="36" t="s">
        <v>503</v>
      </c>
      <c r="W41" s="37" t="s">
        <v>621</v>
      </c>
      <c r="X41" s="36" t="s">
        <v>445</v>
      </c>
      <c r="Y41" s="36" t="s">
        <v>622</v>
      </c>
    </row>
    <row r="42" spans="1:25">
      <c r="A42" s="34">
        <v>39</v>
      </c>
      <c r="B42" s="35" t="s">
        <v>623</v>
      </c>
      <c r="C42" s="36" t="s">
        <v>624</v>
      </c>
      <c r="D42" s="34" t="s">
        <v>605</v>
      </c>
      <c r="E42" s="34" t="s">
        <v>606</v>
      </c>
      <c r="F42" s="36" t="s">
        <v>625</v>
      </c>
      <c r="G42" s="36" t="s"/>
      <c r="H42" s="36" t="s"/>
      <c r="I42" s="34" t="s">
        <v>440</v>
      </c>
      <c r="J42" s="36" t="s">
        <v>626</v>
      </c>
      <c r="K42" s="34" t="s">
        <v>488</v>
      </c>
      <c r="L42" s="34" t="s">
        <v>443</v>
      </c>
      <c r="M42" s="34" t="s">
        <v>444</v>
      </c>
      <c r="N42" s="36" t="s">
        <v>445</v>
      </c>
      <c r="O42" s="34" t="s">
        <v>314</v>
      </c>
      <c r="P42" s="36" t="s">
        <v>609</v>
      </c>
      <c r="Q42" s="36" t="s">
        <v>627</v>
      </c>
      <c r="R42" s="34" t="s">
        <v>448</v>
      </c>
      <c r="S42" s="34" t="s">
        <v>449</v>
      </c>
      <c r="T42" s="34" t="s">
        <v>434</v>
      </c>
      <c r="U42" s="36" t="s">
        <v>338</v>
      </c>
      <c r="V42" s="36" t="s">
        <v>628</v>
      </c>
      <c r="W42" s="37" t="s">
        <v>629</v>
      </c>
      <c r="X42" s="36" t="s">
        <v>445</v>
      </c>
      <c r="Y42" s="36" t="s">
        <v>314</v>
      </c>
    </row>
    <row r="43" spans="1:25">
      <c r="A43" s="34">
        <v>40</v>
      </c>
      <c r="B43" s="35" t="s">
        <v>630</v>
      </c>
      <c r="C43" s="36" t="s">
        <v>631</v>
      </c>
      <c r="D43" s="34" t="s">
        <v>605</v>
      </c>
      <c r="E43" s="34" t="s">
        <v>606</v>
      </c>
      <c r="F43" s="36" t="s">
        <v>632</v>
      </c>
      <c r="G43" s="36" t="s"/>
      <c r="H43" s="36" t="s"/>
      <c r="I43" s="34" t="s">
        <v>440</v>
      </c>
      <c r="J43" s="36" t="s">
        <v>633</v>
      </c>
      <c r="K43" s="34" t="s">
        <v>508</v>
      </c>
      <c r="L43" s="34" t="s">
        <v>499</v>
      </c>
      <c r="M43" s="34" t="s">
        <v>500</v>
      </c>
      <c r="N43" s="36" t="s">
        <v>445</v>
      </c>
      <c r="O43" s="34" t="s">
        <v>314</v>
      </c>
      <c r="P43" s="36" t="s">
        <v>609</v>
      </c>
      <c r="Q43" s="36" t="s">
        <v>634</v>
      </c>
      <c r="R43" s="34" t="s">
        <v>448</v>
      </c>
      <c r="S43" s="34" t="s">
        <v>449</v>
      </c>
      <c r="T43" s="34" t="s">
        <v>434</v>
      </c>
      <c r="U43" s="36" t="s">
        <v>338</v>
      </c>
      <c r="V43" s="36" t="s">
        <v>635</v>
      </c>
      <c r="W43" s="37" t="s">
        <v>636</v>
      </c>
      <c r="X43" s="36" t="s">
        <v>445</v>
      </c>
      <c r="Y43" s="36" t="s">
        <v>314</v>
      </c>
    </row>
    <row r="44" spans="1:25">
      <c r="A44" s="34">
        <v>41</v>
      </c>
      <c r="B44" s="35" t="s">
        <v>637</v>
      </c>
      <c r="C44" s="36" t="s">
        <v>638</v>
      </c>
      <c r="D44" s="34" t="s">
        <v>605</v>
      </c>
      <c r="E44" s="34" t="s">
        <v>606</v>
      </c>
      <c r="F44" s="36" t="s">
        <v>639</v>
      </c>
      <c r="G44" s="36" t="s"/>
      <c r="H44" s="36" t="s"/>
      <c r="I44" s="34" t="s">
        <v>440</v>
      </c>
      <c r="J44" s="36" t="s">
        <v>640</v>
      </c>
      <c r="K44" s="34" t="s">
        <v>536</v>
      </c>
      <c r="L44" s="34" t="s">
        <v>522</v>
      </c>
      <c r="M44" s="34" t="s">
        <v>523</v>
      </c>
      <c r="N44" s="36" t="s">
        <v>445</v>
      </c>
      <c r="O44" s="34" t="s">
        <v>314</v>
      </c>
      <c r="P44" s="36" t="s">
        <v>395</v>
      </c>
      <c r="Q44" s="36" t="s">
        <v>538</v>
      </c>
      <c r="R44" s="34" t="s">
        <v>510</v>
      </c>
      <c r="S44" s="34" t="s">
        <v>426</v>
      </c>
      <c r="T44" s="34" t="s">
        <v>322</v>
      </c>
      <c r="U44" s="36" t="s">
        <v>549</v>
      </c>
      <c r="V44" s="36" t="s">
        <v>641</v>
      </c>
      <c r="W44" s="37" t="s">
        <v>642</v>
      </c>
      <c r="X44" s="36" t="s">
        <v>445</v>
      </c>
      <c r="Y44" s="36" t="s">
        <v>643</v>
      </c>
    </row>
    <row r="45" spans="1:25">
      <c r="A45" s="34">
        <v>42</v>
      </c>
      <c r="B45" s="35" t="s">
        <v>644</v>
      </c>
      <c r="C45" s="36" t="s">
        <v>645</v>
      </c>
      <c r="D45" s="34" t="s">
        <v>99</v>
      </c>
      <c r="E45" s="34" t="s">
        <v>438</v>
      </c>
      <c r="F45" s="36" t="s">
        <v>646</v>
      </c>
      <c r="G45" s="36" t="s"/>
      <c r="H45" s="36" t="s"/>
      <c r="I45" s="34" t="s">
        <v>440</v>
      </c>
      <c r="J45" s="36" t="s">
        <v>647</v>
      </c>
      <c r="K45" s="34" t="s">
        <v>498</v>
      </c>
      <c r="L45" s="34" t="s">
        <v>499</v>
      </c>
      <c r="M45" s="34" t="s">
        <v>500</v>
      </c>
      <c r="N45" s="36" t="s">
        <v>445</v>
      </c>
      <c r="O45" s="34" t="s">
        <v>314</v>
      </c>
      <c r="P45" s="36" t="s">
        <v>648</v>
      </c>
      <c r="Q45" s="36" t="s">
        <v>649</v>
      </c>
      <c r="R45" s="34" t="s">
        <v>650</v>
      </c>
      <c r="S45" s="34" t="s">
        <v>426</v>
      </c>
      <c r="T45" s="34" t="s">
        <v>322</v>
      </c>
      <c r="U45" s="36" t="s">
        <v>338</v>
      </c>
      <c r="V45" s="36" t="s">
        <v>651</v>
      </c>
      <c r="W45" s="37" t="s">
        <v>314</v>
      </c>
      <c r="X45" s="36" t="s">
        <v>445</v>
      </c>
      <c r="Y45" s="36" t="s">
        <v>652</v>
      </c>
    </row>
    <row r="46" spans="1:25">
      <c r="A46" s="34">
        <v>43</v>
      </c>
      <c r="B46" s="35" t="s">
        <v>653</v>
      </c>
      <c r="C46" s="36" t="s">
        <v>654</v>
      </c>
      <c r="D46" s="34" t="s">
        <v>99</v>
      </c>
      <c r="E46" s="34" t="s">
        <v>438</v>
      </c>
      <c r="F46" s="36" t="s">
        <v>314</v>
      </c>
      <c r="G46" s="36" t="s"/>
      <c r="H46" s="36" t="s"/>
      <c r="I46" s="34" t="s">
        <v>440</v>
      </c>
      <c r="J46" s="36" t="s">
        <v>655</v>
      </c>
      <c r="K46" s="34" t="s">
        <v>498</v>
      </c>
      <c r="L46" s="34" t="s">
        <v>499</v>
      </c>
      <c r="M46" s="34" t="s">
        <v>500</v>
      </c>
      <c r="N46" s="36" t="s">
        <v>445</v>
      </c>
      <c r="O46" s="34" t="s">
        <v>314</v>
      </c>
      <c r="P46" s="36" t="s">
        <v>462</v>
      </c>
      <c r="Q46" s="36" t="s">
        <v>656</v>
      </c>
      <c r="R46" s="34" t="s">
        <v>464</v>
      </c>
      <c r="S46" s="34" t="s">
        <v>426</v>
      </c>
      <c r="T46" s="34" t="s">
        <v>322</v>
      </c>
      <c r="U46" s="36" t="s">
        <v>338</v>
      </c>
      <c r="V46" s="36" t="s">
        <v>657</v>
      </c>
      <c r="W46" s="37" t="s">
        <v>314</v>
      </c>
      <c r="X46" s="36" t="s">
        <v>445</v>
      </c>
      <c r="Y46" s="36" t="s">
        <v>314</v>
      </c>
    </row>
    <row r="47" spans="1:25">
      <c r="A47" s="34">
        <v>44</v>
      </c>
      <c r="B47" s="35" t="s">
        <v>658</v>
      </c>
      <c r="C47" s="36" t="s">
        <v>659</v>
      </c>
      <c r="D47" s="34" t="s">
        <v>99</v>
      </c>
      <c r="E47" s="34" t="s">
        <v>438</v>
      </c>
      <c r="F47" s="36" t="s">
        <v>314</v>
      </c>
      <c r="G47" s="36" t="s"/>
      <c r="H47" s="36" t="s"/>
      <c r="I47" s="34" t="s">
        <v>440</v>
      </c>
      <c r="J47" s="36" t="s">
        <v>660</v>
      </c>
      <c r="K47" s="34" t="s">
        <v>498</v>
      </c>
      <c r="L47" s="34" t="s">
        <v>499</v>
      </c>
      <c r="M47" s="34" t="s">
        <v>500</v>
      </c>
      <c r="N47" s="36" t="s">
        <v>445</v>
      </c>
      <c r="O47" s="34" t="s">
        <v>314</v>
      </c>
      <c r="P47" s="36" t="s">
        <v>462</v>
      </c>
      <c r="Q47" s="36" t="s">
        <v>656</v>
      </c>
      <c r="R47" s="34" t="s">
        <v>464</v>
      </c>
      <c r="S47" s="34" t="s">
        <v>426</v>
      </c>
      <c r="T47" s="34" t="s">
        <v>322</v>
      </c>
      <c r="U47" s="36" t="s">
        <v>338</v>
      </c>
      <c r="V47" s="36" t="s">
        <v>657</v>
      </c>
      <c r="W47" s="37" t="s">
        <v>314</v>
      </c>
      <c r="X47" s="36" t="s">
        <v>445</v>
      </c>
      <c r="Y47" s="36" t="s">
        <v>314</v>
      </c>
    </row>
    <row r="48" spans="1:25">
      <c r="A48" s="34">
        <v>45</v>
      </c>
      <c r="B48" s="35" t="s">
        <v>661</v>
      </c>
      <c r="C48" s="36" t="s">
        <v>662</v>
      </c>
      <c r="D48" s="34" t="s">
        <v>99</v>
      </c>
      <c r="E48" s="34" t="s">
        <v>438</v>
      </c>
      <c r="F48" s="36" t="s">
        <v>314</v>
      </c>
      <c r="G48" s="36" t="s"/>
      <c r="H48" s="36" t="s"/>
      <c r="I48" s="34" t="s">
        <v>440</v>
      </c>
      <c r="J48" s="36" t="s">
        <v>663</v>
      </c>
      <c r="K48" s="34" t="s">
        <v>498</v>
      </c>
      <c r="L48" s="34" t="s">
        <v>499</v>
      </c>
      <c r="M48" s="34" t="s">
        <v>500</v>
      </c>
      <c r="N48" s="36" t="s">
        <v>445</v>
      </c>
      <c r="O48" s="34" t="s">
        <v>314</v>
      </c>
      <c r="P48" s="36" t="s">
        <v>462</v>
      </c>
      <c r="Q48" s="36" t="s">
        <v>664</v>
      </c>
      <c r="R48" s="34" t="s">
        <v>464</v>
      </c>
      <c r="S48" s="34" t="s">
        <v>426</v>
      </c>
      <c r="T48" s="34" t="s">
        <v>434</v>
      </c>
      <c r="U48" s="36" t="s">
        <v>338</v>
      </c>
      <c r="V48" s="36" t="s">
        <v>657</v>
      </c>
      <c r="W48" s="37" t="s">
        <v>314</v>
      </c>
      <c r="X48" s="36" t="s">
        <v>445</v>
      </c>
      <c r="Y48" s="36" t="s">
        <v>665</v>
      </c>
    </row>
    <row r="49" spans="1:25">
      <c r="A49" s="34">
        <v>46</v>
      </c>
      <c r="B49" s="35" t="s">
        <v>666</v>
      </c>
      <c r="C49" s="36" t="s">
        <v>667</v>
      </c>
      <c r="D49" s="34" t="s">
        <v>99</v>
      </c>
      <c r="E49" s="34" t="s">
        <v>438</v>
      </c>
      <c r="F49" s="36" t="s">
        <v>668</v>
      </c>
      <c r="G49" s="36" t="s"/>
      <c r="H49" s="36" t="s"/>
      <c r="I49" s="34" t="s">
        <v>669</v>
      </c>
      <c r="J49" s="36" t="s">
        <v>670</v>
      </c>
      <c r="K49" s="34" t="s">
        <v>671</v>
      </c>
      <c r="L49" s="34" t="s">
        <v>499</v>
      </c>
      <c r="M49" s="34" t="s">
        <v>500</v>
      </c>
      <c r="N49" s="36" t="s">
        <v>570</v>
      </c>
      <c r="O49" s="34" t="s">
        <v>314</v>
      </c>
      <c r="P49" s="36" t="s">
        <v>672</v>
      </c>
      <c r="Q49" s="36" t="s">
        <v>673</v>
      </c>
      <c r="R49" s="34" t="s">
        <v>320</v>
      </c>
      <c r="S49" s="34" t="s">
        <v>426</v>
      </c>
      <c r="T49" s="34" t="s">
        <v>322</v>
      </c>
      <c r="U49" s="36" t="s">
        <v>338</v>
      </c>
      <c r="V49" s="36" t="s">
        <v>674</v>
      </c>
      <c r="W49" s="37" t="s">
        <v>314</v>
      </c>
      <c r="X49" s="36" t="s">
        <v>675</v>
      </c>
      <c r="Y49" s="36" t="s">
        <v>676</v>
      </c>
    </row>
    <row r="50" spans="1:25">
      <c r="A50" s="34">
        <v>47</v>
      </c>
      <c r="B50" s="35" t="s">
        <v>677</v>
      </c>
      <c r="C50" s="36" t="s">
        <v>678</v>
      </c>
      <c r="D50" s="34" t="s">
        <v>99</v>
      </c>
      <c r="E50" s="34" t="s">
        <v>438</v>
      </c>
      <c r="F50" s="36" t="s">
        <v>668</v>
      </c>
      <c r="G50" s="36" t="s"/>
      <c r="H50" s="36" t="s"/>
      <c r="I50" s="34" t="s">
        <v>669</v>
      </c>
      <c r="J50" s="36" t="s">
        <v>679</v>
      </c>
      <c r="K50" s="34" t="s">
        <v>680</v>
      </c>
      <c r="L50" s="34" t="s">
        <v>499</v>
      </c>
      <c r="M50" s="34" t="s">
        <v>500</v>
      </c>
      <c r="N50" s="36" t="s">
        <v>570</v>
      </c>
      <c r="O50" s="34" t="s">
        <v>314</v>
      </c>
      <c r="P50" s="36" t="s">
        <v>672</v>
      </c>
      <c r="Q50" s="36" t="s">
        <v>681</v>
      </c>
      <c r="R50" s="34" t="s">
        <v>320</v>
      </c>
      <c r="S50" s="34" t="s">
        <v>426</v>
      </c>
      <c r="T50" s="34" t="s">
        <v>322</v>
      </c>
      <c r="U50" s="36" t="s">
        <v>338</v>
      </c>
      <c r="V50" s="36" t="s">
        <v>682</v>
      </c>
      <c r="W50" s="37" t="s">
        <v>314</v>
      </c>
      <c r="X50" s="36" t="s">
        <v>675</v>
      </c>
      <c r="Y50" s="36" t="s">
        <v>683</v>
      </c>
    </row>
    <row r="51" spans="1:25">
      <c r="A51" s="34">
        <v>48</v>
      </c>
      <c r="B51" s="35" t="s">
        <v>684</v>
      </c>
      <c r="C51" s="36" t="s">
        <v>685</v>
      </c>
      <c r="D51" s="34" t="s">
        <v>605</v>
      </c>
      <c r="E51" s="34" t="s">
        <v>606</v>
      </c>
      <c r="F51" s="36" t="s">
        <v>686</v>
      </c>
      <c r="G51" s="36" t="s"/>
      <c r="H51" s="36" t="s"/>
      <c r="I51" s="34" t="s">
        <v>669</v>
      </c>
      <c r="J51" s="36" t="s">
        <v>687</v>
      </c>
      <c r="K51" s="34" t="s">
        <v>498</v>
      </c>
      <c r="L51" s="34" t="s">
        <v>499</v>
      </c>
      <c r="M51" s="34" t="s">
        <v>500</v>
      </c>
      <c r="N51" s="36" t="s">
        <v>570</v>
      </c>
      <c r="O51" s="34" t="s">
        <v>314</v>
      </c>
      <c r="P51" s="36" t="s">
        <v>688</v>
      </c>
      <c r="Q51" s="36" t="s">
        <v>689</v>
      </c>
      <c r="R51" s="34" t="s">
        <v>320</v>
      </c>
      <c r="S51" s="34" t="s">
        <v>426</v>
      </c>
      <c r="T51" s="34" t="s">
        <v>322</v>
      </c>
      <c r="U51" s="36" t="s">
        <v>690</v>
      </c>
      <c r="V51" s="36" t="s">
        <v>691</v>
      </c>
      <c r="W51" s="37" t="s">
        <v>314</v>
      </c>
      <c r="X51" s="36" t="s">
        <v>570</v>
      </c>
      <c r="Y51" s="36" t="s">
        <v>692</v>
      </c>
    </row>
    <row r="52" spans="1:25">
      <c r="A52" s="34">
        <v>49</v>
      </c>
      <c r="B52" s="35" t="s">
        <v>693</v>
      </c>
      <c r="C52" s="36" t="s">
        <v>694</v>
      </c>
      <c r="D52" s="34" t="s">
        <v>605</v>
      </c>
      <c r="E52" s="34" t="s">
        <v>606</v>
      </c>
      <c r="F52" s="36" t="s">
        <v>695</v>
      </c>
      <c r="G52" s="36" t="s"/>
      <c r="H52" s="36" t="s"/>
      <c r="I52" s="34" t="s">
        <v>669</v>
      </c>
      <c r="J52" s="36" t="s">
        <v>696</v>
      </c>
      <c r="K52" s="34" t="s">
        <v>498</v>
      </c>
      <c r="L52" s="34" t="s">
        <v>499</v>
      </c>
      <c r="M52" s="34" t="s">
        <v>500</v>
      </c>
      <c r="N52" s="36" t="s">
        <v>570</v>
      </c>
      <c r="O52" s="34" t="s">
        <v>314</v>
      </c>
      <c r="P52" s="36" t="s">
        <v>688</v>
      </c>
      <c r="Q52" s="36" t="s">
        <v>689</v>
      </c>
      <c r="R52" s="34" t="s">
        <v>320</v>
      </c>
      <c r="S52" s="34" t="s">
        <v>426</v>
      </c>
      <c r="T52" s="34" t="s">
        <v>322</v>
      </c>
      <c r="U52" s="36" t="s">
        <v>690</v>
      </c>
      <c r="V52" s="36" t="s">
        <v>697</v>
      </c>
      <c r="W52" s="37" t="s">
        <v>314</v>
      </c>
      <c r="X52" s="36" t="s">
        <v>570</v>
      </c>
      <c r="Y52" s="36" t="s">
        <v>692</v>
      </c>
    </row>
    <row r="53" spans="1:25">
      <c r="A53" s="34">
        <v>50</v>
      </c>
      <c r="B53" s="35" t="s">
        <v>698</v>
      </c>
      <c r="C53" s="36" t="s">
        <v>699</v>
      </c>
      <c r="D53" s="34" t="s">
        <v>605</v>
      </c>
      <c r="E53" s="34" t="s">
        <v>606</v>
      </c>
      <c r="F53" s="36" t="s">
        <v>700</v>
      </c>
      <c r="G53" s="36" t="s"/>
      <c r="H53" s="36" t="s"/>
      <c r="I53" s="34" t="s">
        <v>669</v>
      </c>
      <c r="J53" s="36" t="s">
        <v>701</v>
      </c>
      <c r="K53" s="34" t="s">
        <v>498</v>
      </c>
      <c r="L53" s="34" t="s">
        <v>499</v>
      </c>
      <c r="M53" s="34" t="s">
        <v>500</v>
      </c>
      <c r="N53" s="36" t="s">
        <v>570</v>
      </c>
      <c r="O53" s="34" t="s">
        <v>314</v>
      </c>
      <c r="P53" s="36" t="s">
        <v>702</v>
      </c>
      <c r="Q53" s="36" t="s">
        <v>689</v>
      </c>
      <c r="R53" s="34" t="s">
        <v>320</v>
      </c>
      <c r="S53" s="34" t="s">
        <v>426</v>
      </c>
      <c r="T53" s="34" t="s">
        <v>322</v>
      </c>
      <c r="U53" s="36" t="s">
        <v>703</v>
      </c>
      <c r="V53" s="36" t="s">
        <v>704</v>
      </c>
      <c r="W53" s="37" t="s">
        <v>314</v>
      </c>
      <c r="X53" s="36" t="s">
        <v>570</v>
      </c>
      <c r="Y53" s="36" t="s">
        <v>314</v>
      </c>
    </row>
    <row r="54" spans="1:25">
      <c r="A54" s="34">
        <v>51</v>
      </c>
      <c r="B54" s="35" t="s">
        <v>705</v>
      </c>
      <c r="C54" s="36" t="s">
        <v>706</v>
      </c>
      <c r="D54" s="34" t="s">
        <v>605</v>
      </c>
      <c r="E54" s="34" t="s">
        <v>606</v>
      </c>
      <c r="F54" s="36" t="s">
        <v>700</v>
      </c>
      <c r="G54" s="36" t="s"/>
      <c r="H54" s="36" t="s"/>
      <c r="I54" s="34" t="s">
        <v>669</v>
      </c>
      <c r="J54" s="36" t="s">
        <v>707</v>
      </c>
      <c r="K54" s="34" t="s">
        <v>498</v>
      </c>
      <c r="L54" s="34" t="s">
        <v>499</v>
      </c>
      <c r="M54" s="34" t="s">
        <v>500</v>
      </c>
      <c r="N54" s="36" t="s">
        <v>570</v>
      </c>
      <c r="O54" s="34" t="s">
        <v>314</v>
      </c>
      <c r="P54" s="36" t="s">
        <v>702</v>
      </c>
      <c r="Q54" s="36" t="s">
        <v>689</v>
      </c>
      <c r="R54" s="34" t="s">
        <v>320</v>
      </c>
      <c r="S54" s="34" t="s">
        <v>426</v>
      </c>
      <c r="T54" s="34" t="s">
        <v>322</v>
      </c>
      <c r="U54" s="36" t="s">
        <v>703</v>
      </c>
      <c r="V54" s="36" t="s">
        <v>708</v>
      </c>
      <c r="W54" s="37" t="s">
        <v>314</v>
      </c>
      <c r="X54" s="36" t="s">
        <v>570</v>
      </c>
      <c r="Y54" s="36" t="s">
        <v>314</v>
      </c>
    </row>
    <row r="55" spans="1:25">
      <c r="A55" s="34">
        <v>52</v>
      </c>
      <c r="B55" s="35" t="s">
        <v>709</v>
      </c>
      <c r="C55" s="36" t="s">
        <v>710</v>
      </c>
      <c r="D55" s="34" t="s">
        <v>605</v>
      </c>
      <c r="E55" s="34" t="s">
        <v>606</v>
      </c>
      <c r="F55" s="36" t="s">
        <v>700</v>
      </c>
      <c r="G55" s="36" t="s"/>
      <c r="H55" s="36" t="s"/>
      <c r="I55" s="34" t="s">
        <v>669</v>
      </c>
      <c r="J55" s="36" t="s">
        <v>711</v>
      </c>
      <c r="K55" s="34" t="s">
        <v>712</v>
      </c>
      <c r="L55" s="34" t="s">
        <v>499</v>
      </c>
      <c r="M55" s="34" t="s">
        <v>500</v>
      </c>
      <c r="N55" s="36" t="s">
        <v>570</v>
      </c>
      <c r="O55" s="34" t="s">
        <v>314</v>
      </c>
      <c r="P55" s="36" t="s">
        <v>713</v>
      </c>
      <c r="Q55" s="36" t="s">
        <v>689</v>
      </c>
      <c r="R55" s="34" t="s">
        <v>714</v>
      </c>
      <c r="S55" s="34" t="s">
        <v>426</v>
      </c>
      <c r="T55" s="34" t="s">
        <v>322</v>
      </c>
      <c r="U55" s="36" t="s">
        <v>715</v>
      </c>
      <c r="V55" s="36" t="s">
        <v>716</v>
      </c>
      <c r="W55" s="37" t="s">
        <v>314</v>
      </c>
      <c r="X55" s="36" t="s">
        <v>570</v>
      </c>
      <c r="Y55" s="36" t="s">
        <v>717</v>
      </c>
    </row>
    <row r="56" spans="1:25">
      <c r="A56" s="34">
        <v>53</v>
      </c>
      <c r="B56" s="35" t="s">
        <v>718</v>
      </c>
      <c r="C56" s="36" t="s">
        <v>719</v>
      </c>
      <c r="D56" s="34" t="s">
        <v>605</v>
      </c>
      <c r="E56" s="34" t="s">
        <v>606</v>
      </c>
      <c r="F56" s="36" t="s">
        <v>668</v>
      </c>
      <c r="G56" s="36" t="s"/>
      <c r="H56" s="36" t="s"/>
      <c r="I56" s="34" t="s">
        <v>669</v>
      </c>
      <c r="J56" s="36" t="s">
        <v>720</v>
      </c>
      <c r="K56" s="34" t="s">
        <v>721</v>
      </c>
      <c r="L56" s="34" t="s">
        <v>499</v>
      </c>
      <c r="M56" s="34" t="s">
        <v>500</v>
      </c>
      <c r="N56" s="36" t="s">
        <v>570</v>
      </c>
      <c r="O56" s="34" t="s">
        <v>314</v>
      </c>
      <c r="P56" s="36" t="s">
        <v>722</v>
      </c>
      <c r="Q56" s="36" t="s">
        <v>689</v>
      </c>
      <c r="R56" s="34" t="s">
        <v>320</v>
      </c>
      <c r="S56" s="34" t="s">
        <v>426</v>
      </c>
      <c r="T56" s="34" t="s">
        <v>322</v>
      </c>
      <c r="U56" s="36" t="s">
        <v>338</v>
      </c>
      <c r="V56" s="36" t="s">
        <v>723</v>
      </c>
      <c r="W56" s="37" t="s">
        <v>724</v>
      </c>
      <c r="X56" s="36" t="s">
        <v>725</v>
      </c>
      <c r="Y56" s="36" t="s">
        <v>726</v>
      </c>
    </row>
    <row r="57" spans="1:25">
      <c r="A57" s="34">
        <v>54</v>
      </c>
      <c r="B57" s="35" t="s">
        <v>727</v>
      </c>
      <c r="C57" s="36" t="s">
        <v>728</v>
      </c>
      <c r="D57" s="34" t="s">
        <v>99</v>
      </c>
      <c r="E57" s="34" t="s">
        <v>438</v>
      </c>
      <c r="F57" s="36" t="s">
        <v>314</v>
      </c>
      <c r="G57" s="36" t="s"/>
      <c r="H57" s="36" t="s"/>
      <c r="I57" s="34" t="s">
        <v>669</v>
      </c>
      <c r="J57" s="36" t="s">
        <v>729</v>
      </c>
      <c r="K57" s="34" t="s">
        <v>730</v>
      </c>
      <c r="L57" s="34" t="s">
        <v>499</v>
      </c>
      <c r="M57" s="34" t="s">
        <v>500</v>
      </c>
      <c r="N57" s="36" t="s">
        <v>570</v>
      </c>
      <c r="O57" s="34" t="s">
        <v>314</v>
      </c>
      <c r="P57" s="36" t="s">
        <v>406</v>
      </c>
      <c r="Q57" s="36" t="s">
        <v>731</v>
      </c>
      <c r="R57" s="34" t="s">
        <v>320</v>
      </c>
      <c r="S57" s="34" t="s">
        <v>426</v>
      </c>
      <c r="T57" s="34" t="s">
        <v>322</v>
      </c>
      <c r="U57" s="36" t="s">
        <v>338</v>
      </c>
      <c r="V57" s="36" t="s">
        <v>384</v>
      </c>
      <c r="W57" s="37" t="s">
        <v>314</v>
      </c>
      <c r="X57" s="36" t="s">
        <v>570</v>
      </c>
      <c r="Y57" s="36" t="s">
        <v>732</v>
      </c>
    </row>
    <row r="58" spans="1:25">
      <c r="A58" s="34">
        <v>55</v>
      </c>
      <c r="B58" s="35" t="s">
        <v>733</v>
      </c>
      <c r="C58" s="36" t="s">
        <v>734</v>
      </c>
      <c r="D58" s="34" t="s">
        <v>99</v>
      </c>
      <c r="E58" s="34" t="s">
        <v>438</v>
      </c>
      <c r="F58" s="36" t="s">
        <v>735</v>
      </c>
      <c r="G58" s="36" t="s"/>
      <c r="H58" s="36" t="s"/>
      <c r="I58" s="34" t="s">
        <v>736</v>
      </c>
      <c r="J58" s="36" t="s">
        <v>737</v>
      </c>
      <c r="K58" s="34" t="s">
        <v>738</v>
      </c>
      <c r="L58" s="34" t="s">
        <v>499</v>
      </c>
      <c r="M58" s="34" t="s">
        <v>500</v>
      </c>
      <c r="N58" s="36" t="s">
        <v>570</v>
      </c>
      <c r="O58" s="34" t="s">
        <v>314</v>
      </c>
      <c r="P58" s="36" t="s">
        <v>462</v>
      </c>
      <c r="Q58" s="36" t="s">
        <v>739</v>
      </c>
      <c r="R58" s="34" t="s">
        <v>740</v>
      </c>
      <c r="S58" s="34" t="s">
        <v>741</v>
      </c>
      <c r="T58" s="34" t="s">
        <v>322</v>
      </c>
      <c r="U58" s="36" t="s">
        <v>338</v>
      </c>
      <c r="V58" s="36" t="s">
        <v>742</v>
      </c>
      <c r="W58" s="37" t="s">
        <v>314</v>
      </c>
      <c r="X58" s="36" t="s">
        <v>675</v>
      </c>
      <c r="Y58" s="36" t="s">
        <v>743</v>
      </c>
    </row>
    <row r="59" spans="1:25">
      <c r="A59" s="34">
        <v>56</v>
      </c>
      <c r="B59" s="35" t="s">
        <v>744</v>
      </c>
      <c r="C59" s="36" t="s">
        <v>745</v>
      </c>
      <c r="D59" s="34" t="s">
        <v>99</v>
      </c>
      <c r="E59" s="34" t="s">
        <v>438</v>
      </c>
      <c r="F59" s="36" t="s">
        <v>746</v>
      </c>
      <c r="G59" s="36" t="s"/>
      <c r="H59" s="36" t="s"/>
      <c r="I59" s="34" t="s">
        <v>736</v>
      </c>
      <c r="J59" s="36" t="s">
        <v>747</v>
      </c>
      <c r="K59" s="34" t="s">
        <v>738</v>
      </c>
      <c r="L59" s="34" t="s">
        <v>499</v>
      </c>
      <c r="M59" s="34" t="s">
        <v>500</v>
      </c>
      <c r="N59" s="36" t="s">
        <v>570</v>
      </c>
      <c r="O59" s="34" t="s">
        <v>314</v>
      </c>
      <c r="P59" s="36" t="s">
        <v>748</v>
      </c>
      <c r="Q59" s="36" t="s">
        <v>749</v>
      </c>
      <c r="R59" s="34" t="s">
        <v>320</v>
      </c>
      <c r="S59" s="34" t="s">
        <v>750</v>
      </c>
      <c r="T59" s="34" t="s">
        <v>322</v>
      </c>
      <c r="U59" s="36" t="s">
        <v>338</v>
      </c>
      <c r="V59" s="36" t="s">
        <v>751</v>
      </c>
      <c r="W59" s="37" t="s">
        <v>314</v>
      </c>
      <c r="X59" s="36" t="s">
        <v>675</v>
      </c>
      <c r="Y59" s="36" t="s">
        <v>752</v>
      </c>
    </row>
    <row r="60" spans="1:25">
      <c r="A60" s="34">
        <v>57</v>
      </c>
      <c r="B60" s="35" t="s">
        <v>753</v>
      </c>
      <c r="C60" s="36" t="s">
        <v>754</v>
      </c>
      <c r="D60" s="34" t="s">
        <v>99</v>
      </c>
      <c r="E60" s="34" t="s">
        <v>438</v>
      </c>
      <c r="F60" s="36" t="s">
        <v>314</v>
      </c>
      <c r="G60" s="36" t="s"/>
      <c r="H60" s="36" t="s"/>
      <c r="I60" s="34" t="s">
        <v>736</v>
      </c>
      <c r="J60" s="36" t="s">
        <v>755</v>
      </c>
      <c r="K60" s="34" t="s">
        <v>738</v>
      </c>
      <c r="L60" s="34" t="s">
        <v>499</v>
      </c>
      <c r="M60" s="34" t="s">
        <v>500</v>
      </c>
      <c r="N60" s="36" t="s">
        <v>570</v>
      </c>
      <c r="O60" s="34" t="s">
        <v>314</v>
      </c>
      <c r="P60" s="36" t="s">
        <v>756</v>
      </c>
      <c r="Q60" s="36" t="s">
        <v>757</v>
      </c>
      <c r="R60" s="34" t="s">
        <v>320</v>
      </c>
      <c r="S60" s="34" t="s">
        <v>758</v>
      </c>
      <c r="T60" s="34" t="s">
        <v>322</v>
      </c>
      <c r="U60" s="36" t="s">
        <v>759</v>
      </c>
      <c r="V60" s="36" t="s">
        <v>751</v>
      </c>
      <c r="W60" s="37" t="s">
        <v>314</v>
      </c>
      <c r="X60" s="36" t="s">
        <v>570</v>
      </c>
      <c r="Y60" s="36" t="s">
        <v>760</v>
      </c>
    </row>
    <row r="61" spans="1:25">
      <c r="A61" s="34">
        <v>58</v>
      </c>
      <c r="B61" s="35" t="s">
        <v>761</v>
      </c>
      <c r="C61" s="36" t="s">
        <v>762</v>
      </c>
      <c r="D61" s="34" t="s">
        <v>99</v>
      </c>
      <c r="E61" s="34" t="s">
        <v>438</v>
      </c>
      <c r="F61" s="36" t="s">
        <v>314</v>
      </c>
      <c r="G61" s="36" t="s"/>
      <c r="H61" s="36" t="s"/>
      <c r="I61" s="34" t="s">
        <v>736</v>
      </c>
      <c r="J61" s="36" t="s">
        <v>763</v>
      </c>
      <c r="K61" s="34" t="s">
        <v>738</v>
      </c>
      <c r="L61" s="34" t="s">
        <v>499</v>
      </c>
      <c r="M61" s="34" t="s">
        <v>500</v>
      </c>
      <c r="N61" s="36" t="s">
        <v>570</v>
      </c>
      <c r="O61" s="34" t="s">
        <v>314</v>
      </c>
      <c r="P61" s="36" t="s">
        <v>764</v>
      </c>
      <c r="Q61" s="36" t="s">
        <v>765</v>
      </c>
      <c r="R61" s="34" t="s">
        <v>320</v>
      </c>
      <c r="S61" s="34" t="s">
        <v>758</v>
      </c>
      <c r="T61" s="34" t="s">
        <v>322</v>
      </c>
      <c r="U61" s="36" t="s">
        <v>766</v>
      </c>
      <c r="V61" s="36" t="s">
        <v>751</v>
      </c>
      <c r="W61" s="37" t="s">
        <v>314</v>
      </c>
      <c r="X61" s="36" t="s">
        <v>570</v>
      </c>
      <c r="Y61" s="36" t="s">
        <v>314</v>
      </c>
    </row>
    <row r="62" spans="1:25">
      <c r="A62" s="34">
        <v>59</v>
      </c>
      <c r="B62" s="35" t="s">
        <v>767</v>
      </c>
      <c r="C62" s="36" t="s">
        <v>768</v>
      </c>
      <c r="D62" s="34" t="s">
        <v>99</v>
      </c>
      <c r="E62" s="34" t="s">
        <v>438</v>
      </c>
      <c r="F62" s="36" t="s">
        <v>769</v>
      </c>
      <c r="G62" s="36" t="s"/>
      <c r="H62" s="36" t="s"/>
      <c r="I62" s="34" t="s">
        <v>736</v>
      </c>
      <c r="J62" s="36" t="s">
        <v>770</v>
      </c>
      <c r="K62" s="34" t="s">
        <v>738</v>
      </c>
      <c r="L62" s="34" t="s">
        <v>499</v>
      </c>
      <c r="M62" s="34" t="s">
        <v>500</v>
      </c>
      <c r="N62" s="36" t="s">
        <v>570</v>
      </c>
      <c r="O62" s="34" t="s">
        <v>314</v>
      </c>
      <c r="P62" s="36" t="s">
        <v>771</v>
      </c>
      <c r="Q62" s="36" t="s">
        <v>772</v>
      </c>
      <c r="R62" s="34" t="s">
        <v>481</v>
      </c>
      <c r="S62" s="34" t="s">
        <v>426</v>
      </c>
      <c r="T62" s="34" t="s">
        <v>322</v>
      </c>
      <c r="U62" s="36" t="s">
        <v>773</v>
      </c>
      <c r="V62" s="36" t="s">
        <v>774</v>
      </c>
      <c r="W62" s="37" t="s">
        <v>314</v>
      </c>
      <c r="X62" s="36" t="s">
        <v>570</v>
      </c>
      <c r="Y62" s="36" t="s">
        <v>775</v>
      </c>
    </row>
    <row r="63" spans="1:25">
      <c r="A63" s="34">
        <v>60</v>
      </c>
      <c r="B63" s="35" t="s">
        <v>776</v>
      </c>
      <c r="C63" s="36" t="s">
        <v>777</v>
      </c>
      <c r="D63" s="34" t="s">
        <v>99</v>
      </c>
      <c r="E63" s="34" t="s">
        <v>438</v>
      </c>
      <c r="F63" s="36" t="s">
        <v>769</v>
      </c>
      <c r="G63" s="36" t="s"/>
      <c r="H63" s="36" t="s"/>
      <c r="I63" s="34" t="s">
        <v>736</v>
      </c>
      <c r="J63" s="36" t="s">
        <v>778</v>
      </c>
      <c r="K63" s="34" t="s">
        <v>738</v>
      </c>
      <c r="L63" s="34" t="s">
        <v>499</v>
      </c>
      <c r="M63" s="34" t="s">
        <v>500</v>
      </c>
      <c r="N63" s="36" t="s">
        <v>570</v>
      </c>
      <c r="O63" s="34" t="s">
        <v>314</v>
      </c>
      <c r="P63" s="36" t="s">
        <v>713</v>
      </c>
      <c r="Q63" s="36" t="s">
        <v>772</v>
      </c>
      <c r="R63" s="34" t="s">
        <v>740</v>
      </c>
      <c r="S63" s="34" t="s">
        <v>779</v>
      </c>
      <c r="T63" s="34" t="s">
        <v>322</v>
      </c>
      <c r="U63" s="36" t="s">
        <v>780</v>
      </c>
      <c r="V63" s="36" t="s">
        <v>781</v>
      </c>
      <c r="W63" s="37" t="s">
        <v>314</v>
      </c>
      <c r="X63" s="36" t="s">
        <v>570</v>
      </c>
      <c r="Y63" s="36" t="s">
        <v>782</v>
      </c>
    </row>
    <row r="64" spans="1:25">
      <c r="A64" s="34">
        <v>61</v>
      </c>
      <c r="B64" s="35" t="s">
        <v>783</v>
      </c>
      <c r="C64" s="36" t="s">
        <v>784</v>
      </c>
      <c r="D64" s="34" t="s">
        <v>99</v>
      </c>
      <c r="E64" s="34" t="s">
        <v>438</v>
      </c>
      <c r="F64" s="36" t="s">
        <v>769</v>
      </c>
      <c r="G64" s="36" t="s"/>
      <c r="H64" s="36" t="s"/>
      <c r="I64" s="34" t="s">
        <v>736</v>
      </c>
      <c r="J64" s="36" t="s">
        <v>785</v>
      </c>
      <c r="K64" s="34" t="s">
        <v>738</v>
      </c>
      <c r="L64" s="34" t="s">
        <v>499</v>
      </c>
      <c r="M64" s="34" t="s">
        <v>500</v>
      </c>
      <c r="N64" s="36" t="s">
        <v>570</v>
      </c>
      <c r="O64" s="34" t="s">
        <v>314</v>
      </c>
      <c r="P64" s="36" t="s">
        <v>713</v>
      </c>
      <c r="Q64" s="36" t="s">
        <v>772</v>
      </c>
      <c r="R64" s="34" t="s">
        <v>740</v>
      </c>
      <c r="S64" s="34" t="s">
        <v>779</v>
      </c>
      <c r="T64" s="34" t="s">
        <v>322</v>
      </c>
      <c r="U64" s="36" t="s">
        <v>786</v>
      </c>
      <c r="V64" s="36" t="s">
        <v>787</v>
      </c>
      <c r="W64" s="37" t="s">
        <v>314</v>
      </c>
      <c r="X64" s="36" t="s">
        <v>570</v>
      </c>
      <c r="Y64" s="36" t="s">
        <v>782</v>
      </c>
    </row>
    <row r="65" spans="1:25">
      <c r="A65" s="34">
        <v>62</v>
      </c>
      <c r="B65" s="35" t="s">
        <v>788</v>
      </c>
      <c r="C65" s="36" t="s">
        <v>789</v>
      </c>
      <c r="D65" s="34" t="s">
        <v>99</v>
      </c>
      <c r="E65" s="34" t="s">
        <v>438</v>
      </c>
      <c r="F65" s="36" t="s">
        <v>769</v>
      </c>
      <c r="G65" s="36" t="s"/>
      <c r="H65" s="36" t="s"/>
      <c r="I65" s="34" t="s">
        <v>736</v>
      </c>
      <c r="J65" s="36" t="s">
        <v>790</v>
      </c>
      <c r="K65" s="34" t="s">
        <v>738</v>
      </c>
      <c r="L65" s="34" t="s">
        <v>499</v>
      </c>
      <c r="M65" s="34" t="s">
        <v>500</v>
      </c>
      <c r="N65" s="36" t="s">
        <v>570</v>
      </c>
      <c r="O65" s="34" t="s">
        <v>314</v>
      </c>
      <c r="P65" s="36" t="s">
        <v>713</v>
      </c>
      <c r="Q65" s="36" t="s">
        <v>772</v>
      </c>
      <c r="R65" s="34" t="s">
        <v>740</v>
      </c>
      <c r="S65" s="34" t="s">
        <v>426</v>
      </c>
      <c r="T65" s="34" t="s">
        <v>322</v>
      </c>
      <c r="U65" s="36" t="s">
        <v>791</v>
      </c>
      <c r="V65" s="36" t="s">
        <v>792</v>
      </c>
      <c r="W65" s="37" t="s">
        <v>314</v>
      </c>
      <c r="X65" s="36" t="s">
        <v>570</v>
      </c>
      <c r="Y65" s="36" t="s">
        <v>314</v>
      </c>
    </row>
    <row r="66" spans="1:25">
      <c r="A66" s="34">
        <v>63</v>
      </c>
      <c r="B66" s="35" t="s">
        <v>793</v>
      </c>
      <c r="C66" s="36" t="s">
        <v>794</v>
      </c>
      <c r="D66" s="34" t="s">
        <v>99</v>
      </c>
      <c r="E66" s="34" t="s">
        <v>438</v>
      </c>
      <c r="F66" s="36" t="s">
        <v>769</v>
      </c>
      <c r="G66" s="36" t="s"/>
      <c r="H66" s="36" t="s"/>
      <c r="I66" s="34" t="s">
        <v>736</v>
      </c>
      <c r="J66" s="36" t="s">
        <v>795</v>
      </c>
      <c r="K66" s="34" t="s">
        <v>738</v>
      </c>
      <c r="L66" s="34" t="s">
        <v>499</v>
      </c>
      <c r="M66" s="34" t="s">
        <v>500</v>
      </c>
      <c r="N66" s="36" t="s">
        <v>570</v>
      </c>
      <c r="O66" s="34" t="s">
        <v>314</v>
      </c>
      <c r="P66" s="36" t="s">
        <v>713</v>
      </c>
      <c r="Q66" s="36" t="s">
        <v>772</v>
      </c>
      <c r="R66" s="34" t="s">
        <v>740</v>
      </c>
      <c r="S66" s="34" t="s">
        <v>796</v>
      </c>
      <c r="T66" s="34" t="s">
        <v>322</v>
      </c>
      <c r="U66" s="36" t="s">
        <v>715</v>
      </c>
      <c r="V66" s="36" t="s">
        <v>797</v>
      </c>
      <c r="W66" s="37" t="s">
        <v>314</v>
      </c>
      <c r="X66" s="36" t="s">
        <v>570</v>
      </c>
      <c r="Y66" s="36" t="s">
        <v>314</v>
      </c>
    </row>
    <row r="67" spans="1:25">
      <c r="A67" s="34">
        <v>64</v>
      </c>
      <c r="B67" s="35" t="s">
        <v>798</v>
      </c>
      <c r="C67" s="36" t="s">
        <v>799</v>
      </c>
      <c r="D67" s="34" t="s">
        <v>99</v>
      </c>
      <c r="E67" s="34" t="s">
        <v>438</v>
      </c>
      <c r="F67" s="36" t="s">
        <v>769</v>
      </c>
      <c r="G67" s="36" t="s"/>
      <c r="H67" s="36" t="s"/>
      <c r="I67" s="34" t="s">
        <v>736</v>
      </c>
      <c r="J67" s="36" t="s">
        <v>800</v>
      </c>
      <c r="K67" s="34" t="s">
        <v>738</v>
      </c>
      <c r="L67" s="34" t="s">
        <v>499</v>
      </c>
      <c r="M67" s="34" t="s">
        <v>500</v>
      </c>
      <c r="N67" s="36" t="s">
        <v>570</v>
      </c>
      <c r="O67" s="34" t="s">
        <v>314</v>
      </c>
      <c r="P67" s="36" t="s">
        <v>713</v>
      </c>
      <c r="Q67" s="36" t="s">
        <v>772</v>
      </c>
      <c r="R67" s="34" t="s">
        <v>740</v>
      </c>
      <c r="S67" s="34" t="s">
        <v>779</v>
      </c>
      <c r="T67" s="34" t="s">
        <v>322</v>
      </c>
      <c r="U67" s="36" t="s">
        <v>801</v>
      </c>
      <c r="V67" s="36" t="s">
        <v>802</v>
      </c>
      <c r="W67" s="37" t="s">
        <v>314</v>
      </c>
      <c r="X67" s="36" t="s">
        <v>570</v>
      </c>
      <c r="Y67" s="36" t="s">
        <v>314</v>
      </c>
    </row>
    <row r="68" spans="1:25">
      <c r="A68" s="34">
        <v>65</v>
      </c>
      <c r="B68" s="35" t="s">
        <v>803</v>
      </c>
      <c r="C68" s="36" t="s">
        <v>804</v>
      </c>
      <c r="D68" s="34" t="s">
        <v>99</v>
      </c>
      <c r="E68" s="34" t="s">
        <v>438</v>
      </c>
      <c r="F68" s="36" t="s">
        <v>769</v>
      </c>
      <c r="G68" s="36" t="s"/>
      <c r="H68" s="36" t="s"/>
      <c r="I68" s="34" t="s">
        <v>736</v>
      </c>
      <c r="J68" s="36" t="s">
        <v>805</v>
      </c>
      <c r="K68" s="34" t="s">
        <v>738</v>
      </c>
      <c r="L68" s="34" t="s">
        <v>499</v>
      </c>
      <c r="M68" s="34" t="s">
        <v>500</v>
      </c>
      <c r="N68" s="36" t="s">
        <v>570</v>
      </c>
      <c r="O68" s="34" t="s">
        <v>314</v>
      </c>
      <c r="P68" s="36" t="s">
        <v>806</v>
      </c>
      <c r="Q68" s="36" t="s">
        <v>772</v>
      </c>
      <c r="R68" s="34" t="s">
        <v>320</v>
      </c>
      <c r="S68" s="34" t="s">
        <v>426</v>
      </c>
      <c r="T68" s="34" t="s">
        <v>322</v>
      </c>
      <c r="U68" s="36" t="s">
        <v>807</v>
      </c>
      <c r="V68" s="36" t="s">
        <v>808</v>
      </c>
      <c r="W68" s="37" t="s">
        <v>314</v>
      </c>
      <c r="X68" s="36" t="s">
        <v>570</v>
      </c>
      <c r="Y68" s="36" t="s">
        <v>809</v>
      </c>
    </row>
    <row r="69" spans="1:25">
      <c r="A69" s="34">
        <v>66</v>
      </c>
      <c r="B69" s="35" t="s">
        <v>810</v>
      </c>
      <c r="C69" s="36" t="s">
        <v>811</v>
      </c>
      <c r="D69" s="34" t="s">
        <v>605</v>
      </c>
      <c r="E69" s="34" t="s">
        <v>606</v>
      </c>
      <c r="F69" s="36" t="s">
        <v>769</v>
      </c>
      <c r="G69" s="36" t="s"/>
      <c r="H69" s="36" t="s"/>
      <c r="I69" s="34" t="s">
        <v>736</v>
      </c>
      <c r="J69" s="36" t="s">
        <v>812</v>
      </c>
      <c r="K69" s="34" t="s">
        <v>738</v>
      </c>
      <c r="L69" s="34" t="s">
        <v>499</v>
      </c>
      <c r="M69" s="34" t="s">
        <v>500</v>
      </c>
      <c r="N69" s="36" t="s">
        <v>570</v>
      </c>
      <c r="O69" s="34" t="s">
        <v>314</v>
      </c>
      <c r="P69" s="36" t="s">
        <v>813</v>
      </c>
      <c r="Q69" s="36" t="s">
        <v>772</v>
      </c>
      <c r="R69" s="34" t="s">
        <v>481</v>
      </c>
      <c r="S69" s="34" t="s">
        <v>426</v>
      </c>
      <c r="T69" s="34" t="s">
        <v>322</v>
      </c>
      <c r="U69" s="36" t="s">
        <v>338</v>
      </c>
      <c r="V69" s="36" t="s">
        <v>814</v>
      </c>
      <c r="W69" s="37" t="s">
        <v>815</v>
      </c>
      <c r="X69" s="36" t="s">
        <v>725</v>
      </c>
      <c r="Y69" s="36" t="s">
        <v>726</v>
      </c>
    </row>
    <row r="70" spans="1:25">
      <c r="A70" s="34">
        <v>67</v>
      </c>
      <c r="B70" s="35" t="s">
        <v>816</v>
      </c>
      <c r="C70" s="36" t="s">
        <v>817</v>
      </c>
      <c r="D70" s="34" t="s">
        <v>99</v>
      </c>
      <c r="E70" s="34" t="s">
        <v>438</v>
      </c>
      <c r="F70" s="36" t="s">
        <v>818</v>
      </c>
      <c r="G70" s="36" t="s"/>
      <c r="H70" s="36" t="s"/>
      <c r="I70" s="34" t="s">
        <v>132</v>
      </c>
      <c r="J70" s="36" t="s">
        <v>819</v>
      </c>
      <c r="K70" s="34" t="s">
        <v>820</v>
      </c>
      <c r="L70" s="34" t="s">
        <v>522</v>
      </c>
      <c r="M70" s="34" t="s">
        <v>523</v>
      </c>
      <c r="N70" s="36" t="s">
        <v>445</v>
      </c>
      <c r="O70" s="34" t="s">
        <v>314</v>
      </c>
      <c r="P70" s="36" t="s">
        <v>537</v>
      </c>
      <c r="Q70" s="36" t="s">
        <v>538</v>
      </c>
      <c r="R70" s="34" t="s">
        <v>510</v>
      </c>
      <c r="S70" s="34" t="s">
        <v>426</v>
      </c>
      <c r="T70" s="34" t="s">
        <v>322</v>
      </c>
      <c r="U70" s="36" t="s">
        <v>549</v>
      </c>
      <c r="V70" s="36" t="s">
        <v>821</v>
      </c>
      <c r="W70" s="37" t="s">
        <v>822</v>
      </c>
      <c r="X70" s="36" t="s">
        <v>445</v>
      </c>
      <c r="Y70" s="36" t="s">
        <v>823</v>
      </c>
    </row>
    <row r="71" spans="1:25">
      <c r="A71" s="34">
        <v>68</v>
      </c>
      <c r="B71" s="35" t="s">
        <v>824</v>
      </c>
      <c r="C71" s="36" t="s">
        <v>825</v>
      </c>
      <c r="D71" s="34" t="s">
        <v>99</v>
      </c>
      <c r="E71" s="34" t="s">
        <v>438</v>
      </c>
      <c r="F71" s="36" t="s">
        <v>826</v>
      </c>
      <c r="G71" s="36" t="s"/>
      <c r="H71" s="36" t="s"/>
      <c r="I71" s="34" t="s">
        <v>132</v>
      </c>
      <c r="J71" s="36" t="s">
        <v>827</v>
      </c>
      <c r="K71" s="34" t="s">
        <v>820</v>
      </c>
      <c r="L71" s="34" t="s">
        <v>522</v>
      </c>
      <c r="M71" s="34" t="s">
        <v>523</v>
      </c>
      <c r="N71" s="36" t="s">
        <v>445</v>
      </c>
      <c r="O71" s="34" t="s">
        <v>314</v>
      </c>
      <c r="P71" s="36" t="s">
        <v>395</v>
      </c>
      <c r="Q71" s="36" t="s">
        <v>538</v>
      </c>
      <c r="R71" s="34" t="s">
        <v>510</v>
      </c>
      <c r="S71" s="34" t="s">
        <v>426</v>
      </c>
      <c r="T71" s="34" t="s">
        <v>322</v>
      </c>
      <c r="U71" s="36" t="s">
        <v>549</v>
      </c>
      <c r="V71" s="36" t="s">
        <v>828</v>
      </c>
      <c r="W71" s="37" t="s">
        <v>314</v>
      </c>
      <c r="X71" s="36" t="s">
        <v>445</v>
      </c>
      <c r="Y71" s="36" t="s">
        <v>829</v>
      </c>
    </row>
    <row r="72" spans="1:25">
      <c r="A72" s="34">
        <v>69</v>
      </c>
      <c r="B72" s="35" t="s">
        <v>830</v>
      </c>
      <c r="C72" s="36" t="s">
        <v>831</v>
      </c>
      <c r="D72" s="34" t="s">
        <v>99</v>
      </c>
      <c r="E72" s="34" t="s">
        <v>438</v>
      </c>
      <c r="F72" s="36" t="s">
        <v>832</v>
      </c>
      <c r="G72" s="36" t="s"/>
      <c r="H72" s="36" t="s"/>
      <c r="I72" s="34" t="s">
        <v>132</v>
      </c>
      <c r="J72" s="36" t="s">
        <v>833</v>
      </c>
      <c r="K72" s="34" t="s">
        <v>820</v>
      </c>
      <c r="L72" s="34" t="s">
        <v>522</v>
      </c>
      <c r="M72" s="34" t="s">
        <v>523</v>
      </c>
      <c r="N72" s="36" t="s">
        <v>445</v>
      </c>
      <c r="O72" s="34" t="s">
        <v>444</v>
      </c>
      <c r="P72" s="36" t="s">
        <v>395</v>
      </c>
      <c r="Q72" s="36" t="s">
        <v>538</v>
      </c>
      <c r="R72" s="34" t="s">
        <v>510</v>
      </c>
      <c r="S72" s="34" t="s">
        <v>426</v>
      </c>
      <c r="T72" s="34" t="s">
        <v>434</v>
      </c>
      <c r="U72" s="36" t="s">
        <v>549</v>
      </c>
      <c r="V72" s="36" t="s">
        <v>828</v>
      </c>
      <c r="W72" s="37" t="s">
        <v>314</v>
      </c>
      <c r="X72" s="36" t="s">
        <v>445</v>
      </c>
      <c r="Y72" s="36" t="s">
        <v>834</v>
      </c>
    </row>
    <row r="73" spans="1:25">
      <c r="A73" s="34">
        <v>70</v>
      </c>
      <c r="B73" s="35" t="s">
        <v>835</v>
      </c>
      <c r="C73" s="36" t="s">
        <v>836</v>
      </c>
      <c r="D73" s="34" t="s">
        <v>99</v>
      </c>
      <c r="E73" s="34" t="s">
        <v>438</v>
      </c>
      <c r="F73" s="36" t="s">
        <v>837</v>
      </c>
      <c r="G73" s="36" t="s"/>
      <c r="H73" s="36" t="s"/>
      <c r="I73" s="34" t="s">
        <v>132</v>
      </c>
      <c r="J73" s="36" t="s">
        <v>838</v>
      </c>
      <c r="K73" s="34" t="s">
        <v>820</v>
      </c>
      <c r="L73" s="34" t="s">
        <v>522</v>
      </c>
      <c r="M73" s="34" t="s">
        <v>523</v>
      </c>
      <c r="N73" s="36" t="s">
        <v>445</v>
      </c>
      <c r="O73" s="34" t="s">
        <v>314</v>
      </c>
      <c r="P73" s="36" t="s">
        <v>395</v>
      </c>
      <c r="Q73" s="36" t="s">
        <v>538</v>
      </c>
      <c r="R73" s="34" t="s">
        <v>510</v>
      </c>
      <c r="S73" s="34" t="s">
        <v>426</v>
      </c>
      <c r="T73" s="34" t="s">
        <v>322</v>
      </c>
      <c r="U73" s="36" t="s">
        <v>549</v>
      </c>
      <c r="V73" s="36" t="s">
        <v>828</v>
      </c>
      <c r="W73" s="37" t="s">
        <v>314</v>
      </c>
      <c r="X73" s="36" t="s">
        <v>445</v>
      </c>
      <c r="Y73" s="36" t="s">
        <v>839</v>
      </c>
    </row>
    <row r="74" spans="1:25">
      <c r="A74" s="34">
        <v>71</v>
      </c>
      <c r="B74" s="35" t="s">
        <v>840</v>
      </c>
      <c r="C74" s="36" t="s">
        <v>841</v>
      </c>
      <c r="D74" s="34" t="s">
        <v>99</v>
      </c>
      <c r="E74" s="34" t="s">
        <v>438</v>
      </c>
      <c r="F74" s="36" t="s">
        <v>842</v>
      </c>
      <c r="G74" s="36" t="s"/>
      <c r="H74" s="36" t="s"/>
      <c r="I74" s="34" t="s">
        <v>132</v>
      </c>
      <c r="J74" s="36" t="s">
        <v>843</v>
      </c>
      <c r="K74" s="34" t="s">
        <v>820</v>
      </c>
      <c r="L74" s="34" t="s">
        <v>522</v>
      </c>
      <c r="M74" s="34" t="s">
        <v>523</v>
      </c>
      <c r="N74" s="36" t="s">
        <v>445</v>
      </c>
      <c r="O74" s="34" t="s">
        <v>444</v>
      </c>
      <c r="P74" s="36" t="s">
        <v>395</v>
      </c>
      <c r="Q74" s="36" t="s">
        <v>538</v>
      </c>
      <c r="R74" s="34" t="s">
        <v>510</v>
      </c>
      <c r="S74" s="34" t="s">
        <v>426</v>
      </c>
      <c r="T74" s="34" t="s">
        <v>434</v>
      </c>
      <c r="U74" s="36" t="s">
        <v>549</v>
      </c>
      <c r="V74" s="36" t="s">
        <v>828</v>
      </c>
      <c r="W74" s="37" t="s">
        <v>314</v>
      </c>
      <c r="X74" s="36" t="s">
        <v>445</v>
      </c>
      <c r="Y74" s="36" t="s">
        <v>844</v>
      </c>
    </row>
    <row r="75" spans="1:25">
      <c r="A75" s="34">
        <v>72</v>
      </c>
      <c r="B75" s="35" t="s">
        <v>845</v>
      </c>
      <c r="C75" s="36" t="s">
        <v>846</v>
      </c>
      <c r="D75" s="34" t="s">
        <v>99</v>
      </c>
      <c r="E75" s="34" t="s">
        <v>438</v>
      </c>
      <c r="F75" s="36" t="s">
        <v>847</v>
      </c>
      <c r="G75" s="36" t="s"/>
      <c r="H75" s="36" t="s"/>
      <c r="I75" s="34" t="s">
        <v>132</v>
      </c>
      <c r="J75" s="36" t="s">
        <v>848</v>
      </c>
      <c r="K75" s="34" t="s">
        <v>820</v>
      </c>
      <c r="L75" s="34" t="s">
        <v>522</v>
      </c>
      <c r="M75" s="34" t="s">
        <v>523</v>
      </c>
      <c r="N75" s="36" t="s">
        <v>445</v>
      </c>
      <c r="O75" s="34" t="s">
        <v>314</v>
      </c>
      <c r="P75" s="36" t="s">
        <v>395</v>
      </c>
      <c r="Q75" s="36" t="s">
        <v>538</v>
      </c>
      <c r="R75" s="34" t="s">
        <v>510</v>
      </c>
      <c r="S75" s="34" t="s">
        <v>426</v>
      </c>
      <c r="T75" s="34" t="s">
        <v>322</v>
      </c>
      <c r="U75" s="36" t="s">
        <v>549</v>
      </c>
      <c r="V75" s="36" t="s">
        <v>828</v>
      </c>
      <c r="W75" s="37" t="s">
        <v>314</v>
      </c>
      <c r="X75" s="36" t="s">
        <v>445</v>
      </c>
      <c r="Y75" s="36" t="s">
        <v>849</v>
      </c>
    </row>
    <row r="76" spans="1:25">
      <c r="A76" s="34">
        <v>73</v>
      </c>
      <c r="B76" s="35" t="s">
        <v>850</v>
      </c>
      <c r="C76" s="36" t="s">
        <v>851</v>
      </c>
      <c r="D76" s="34" t="s">
        <v>99</v>
      </c>
      <c r="E76" s="34" t="s">
        <v>438</v>
      </c>
      <c r="F76" s="36" t="s">
        <v>852</v>
      </c>
      <c r="G76" s="36" t="s"/>
      <c r="H76" s="36" t="s"/>
      <c r="I76" s="34" t="s">
        <v>132</v>
      </c>
      <c r="J76" s="36" t="s">
        <v>853</v>
      </c>
      <c r="K76" s="34" t="s">
        <v>820</v>
      </c>
      <c r="L76" s="34" t="s">
        <v>522</v>
      </c>
      <c r="M76" s="34" t="s">
        <v>523</v>
      </c>
      <c r="N76" s="36" t="s">
        <v>445</v>
      </c>
      <c r="O76" s="34" t="s">
        <v>444</v>
      </c>
      <c r="P76" s="36" t="s">
        <v>395</v>
      </c>
      <c r="Q76" s="36" t="s">
        <v>538</v>
      </c>
      <c r="R76" s="34" t="s">
        <v>510</v>
      </c>
      <c r="S76" s="34" t="s">
        <v>426</v>
      </c>
      <c r="T76" s="34" t="s">
        <v>434</v>
      </c>
      <c r="U76" s="36" t="s">
        <v>549</v>
      </c>
      <c r="V76" s="36" t="s">
        <v>828</v>
      </c>
      <c r="W76" s="37" t="s">
        <v>314</v>
      </c>
      <c r="X76" s="36" t="s">
        <v>445</v>
      </c>
      <c r="Y76" s="36" t="s">
        <v>854</v>
      </c>
    </row>
    <row r="77" spans="1:25">
      <c r="A77" s="34">
        <v>74</v>
      </c>
      <c r="B77" s="35" t="s">
        <v>855</v>
      </c>
      <c r="C77" s="36" t="s">
        <v>856</v>
      </c>
      <c r="D77" s="34" t="s">
        <v>99</v>
      </c>
      <c r="E77" s="34" t="s">
        <v>438</v>
      </c>
      <c r="F77" s="36" t="s">
        <v>857</v>
      </c>
      <c r="G77" s="36" t="s"/>
      <c r="H77" s="36" t="s"/>
      <c r="I77" s="34" t="s">
        <v>132</v>
      </c>
      <c r="J77" s="36" t="s">
        <v>858</v>
      </c>
      <c r="K77" s="34" t="s">
        <v>820</v>
      </c>
      <c r="L77" s="34" t="s">
        <v>522</v>
      </c>
      <c r="M77" s="34" t="s">
        <v>523</v>
      </c>
      <c r="N77" s="36" t="s">
        <v>445</v>
      </c>
      <c r="O77" s="34" t="s">
        <v>444</v>
      </c>
      <c r="P77" s="36" t="s">
        <v>395</v>
      </c>
      <c r="Q77" s="36" t="s">
        <v>538</v>
      </c>
      <c r="R77" s="34" t="s">
        <v>510</v>
      </c>
      <c r="S77" s="34" t="s">
        <v>426</v>
      </c>
      <c r="T77" s="34" t="s">
        <v>434</v>
      </c>
      <c r="U77" s="36" t="s">
        <v>549</v>
      </c>
      <c r="V77" s="36" t="s">
        <v>828</v>
      </c>
      <c r="W77" s="37" t="s">
        <v>314</v>
      </c>
      <c r="X77" s="36" t="s">
        <v>445</v>
      </c>
      <c r="Y77" s="36" t="s">
        <v>834</v>
      </c>
    </row>
    <row r="78" spans="1:25">
      <c r="A78" s="34">
        <v>75</v>
      </c>
      <c r="B78" s="35" t="s">
        <v>859</v>
      </c>
      <c r="C78" s="36" t="s">
        <v>860</v>
      </c>
      <c r="D78" s="34" t="s">
        <v>99</v>
      </c>
      <c r="E78" s="34" t="s">
        <v>438</v>
      </c>
      <c r="F78" s="36" t="s">
        <v>861</v>
      </c>
      <c r="G78" s="36" t="s"/>
      <c r="H78" s="36" t="s"/>
      <c r="I78" s="34" t="s">
        <v>132</v>
      </c>
      <c r="J78" s="36" t="s">
        <v>862</v>
      </c>
      <c r="K78" s="34" t="s">
        <v>863</v>
      </c>
      <c r="L78" s="34" t="s">
        <v>568</v>
      </c>
      <c r="M78" s="34" t="s">
        <v>569</v>
      </c>
      <c r="N78" s="36" t="s">
        <v>445</v>
      </c>
      <c r="O78" s="34" t="s">
        <v>314</v>
      </c>
      <c r="P78" s="36" t="s">
        <v>371</v>
      </c>
      <c r="Q78" s="36" t="s">
        <v>864</v>
      </c>
      <c r="R78" s="34" t="s">
        <v>320</v>
      </c>
      <c r="S78" s="34" t="s">
        <v>865</v>
      </c>
      <c r="T78" s="34" t="s">
        <v>322</v>
      </c>
      <c r="U78" s="36" t="s">
        <v>338</v>
      </c>
      <c r="V78" s="36" t="s">
        <v>866</v>
      </c>
      <c r="W78" s="37" t="s">
        <v>314</v>
      </c>
      <c r="X78" s="36" t="s">
        <v>445</v>
      </c>
      <c r="Y78" s="36" t="s">
        <v>867</v>
      </c>
    </row>
    <row r="79" spans="1:25">
      <c r="A79" s="34">
        <v>76</v>
      </c>
      <c r="B79" s="35" t="s">
        <v>868</v>
      </c>
      <c r="C79" s="36" t="s">
        <v>869</v>
      </c>
      <c r="D79" s="34" t="s">
        <v>99</v>
      </c>
      <c r="E79" s="34" t="s">
        <v>438</v>
      </c>
      <c r="F79" s="36" t="s">
        <v>870</v>
      </c>
      <c r="G79" s="36" t="s"/>
      <c r="H79" s="36" t="s"/>
      <c r="I79" s="34" t="s">
        <v>132</v>
      </c>
      <c r="J79" s="36" t="s">
        <v>871</v>
      </c>
      <c r="K79" s="34" t="s">
        <v>547</v>
      </c>
      <c r="L79" s="34" t="s">
        <v>443</v>
      </c>
      <c r="M79" s="34" t="s">
        <v>444</v>
      </c>
      <c r="N79" s="36" t="s">
        <v>445</v>
      </c>
      <c r="O79" s="34" t="s">
        <v>314</v>
      </c>
      <c r="P79" s="36" t="s">
        <v>371</v>
      </c>
      <c r="Q79" s="36" t="s">
        <v>872</v>
      </c>
      <c r="R79" s="34" t="s">
        <v>320</v>
      </c>
      <c r="S79" s="34" t="s">
        <v>426</v>
      </c>
      <c r="T79" s="34" t="s">
        <v>322</v>
      </c>
      <c r="U79" s="36" t="s">
        <v>338</v>
      </c>
      <c r="V79" s="36" t="s">
        <v>873</v>
      </c>
      <c r="W79" s="37" t="s">
        <v>314</v>
      </c>
      <c r="X79" s="36" t="s">
        <v>874</v>
      </c>
      <c r="Y79" s="36" t="s">
        <v>875</v>
      </c>
    </row>
    <row r="80" spans="1:25">
      <c r="A80" s="34">
        <v>77</v>
      </c>
      <c r="B80" s="35" t="s">
        <v>876</v>
      </c>
      <c r="C80" s="36" t="s">
        <v>877</v>
      </c>
      <c r="D80" s="34" t="s">
        <v>99</v>
      </c>
      <c r="E80" s="34" t="s">
        <v>438</v>
      </c>
      <c r="F80" s="36" t="s">
        <v>878</v>
      </c>
      <c r="G80" s="36" t="s"/>
      <c r="H80" s="36" t="s"/>
      <c r="I80" s="34" t="s">
        <v>132</v>
      </c>
      <c r="J80" s="36" t="s">
        <v>879</v>
      </c>
      <c r="K80" s="34" t="s">
        <v>547</v>
      </c>
      <c r="L80" s="34" t="s">
        <v>443</v>
      </c>
      <c r="M80" s="34" t="s">
        <v>444</v>
      </c>
      <c r="N80" s="36" t="s">
        <v>570</v>
      </c>
      <c r="O80" s="34" t="s">
        <v>314</v>
      </c>
      <c r="P80" s="36" t="s">
        <v>382</v>
      </c>
      <c r="Q80" s="36" t="s">
        <v>880</v>
      </c>
      <c r="R80" s="34" t="s">
        <v>320</v>
      </c>
      <c r="S80" s="34" t="s">
        <v>426</v>
      </c>
      <c r="T80" s="34" t="s">
        <v>322</v>
      </c>
      <c r="U80" s="36" t="s">
        <v>338</v>
      </c>
      <c r="V80" s="36" t="s">
        <v>873</v>
      </c>
      <c r="W80" s="37" t="s">
        <v>314</v>
      </c>
      <c r="X80" s="36" t="s">
        <v>570</v>
      </c>
      <c r="Y80" s="36" t="s">
        <v>881</v>
      </c>
    </row>
    <row r="81" spans="1:25">
      <c r="A81" s="34">
        <v>78</v>
      </c>
      <c r="B81" s="35" t="s">
        <v>882</v>
      </c>
      <c r="C81" s="36" t="s">
        <v>883</v>
      </c>
      <c r="D81" s="34" t="s">
        <v>99</v>
      </c>
      <c r="E81" s="34" t="s">
        <v>438</v>
      </c>
      <c r="F81" s="36" t="s">
        <v>314</v>
      </c>
      <c r="G81" s="36" t="s"/>
      <c r="H81" s="36" t="s"/>
      <c r="I81" s="34" t="s">
        <v>132</v>
      </c>
      <c r="J81" s="36" t="s">
        <v>884</v>
      </c>
      <c r="K81" s="34" t="s">
        <v>885</v>
      </c>
      <c r="L81" s="34" t="s">
        <v>499</v>
      </c>
      <c r="M81" s="34" t="s">
        <v>500</v>
      </c>
      <c r="N81" s="36" t="s">
        <v>445</v>
      </c>
      <c r="O81" s="34" t="s">
        <v>314</v>
      </c>
      <c r="P81" s="36" t="s">
        <v>395</v>
      </c>
      <c r="Q81" s="36" t="s">
        <v>538</v>
      </c>
      <c r="R81" s="34" t="s">
        <v>510</v>
      </c>
      <c r="S81" s="34" t="s">
        <v>426</v>
      </c>
      <c r="T81" s="34" t="s">
        <v>322</v>
      </c>
      <c r="U81" s="36" t="s">
        <v>549</v>
      </c>
      <c r="V81" s="36" t="s">
        <v>828</v>
      </c>
      <c r="W81" s="37" t="s">
        <v>314</v>
      </c>
      <c r="X81" s="36" t="s">
        <v>445</v>
      </c>
      <c r="Y81" s="36" t="s">
        <v>314</v>
      </c>
    </row>
    <row r="82" spans="1:25">
      <c r="A82" s="34">
        <v>79</v>
      </c>
      <c r="B82" s="35" t="s">
        <v>886</v>
      </c>
      <c r="C82" s="36" t="s">
        <v>887</v>
      </c>
      <c r="D82" s="34" t="s">
        <v>99</v>
      </c>
      <c r="E82" s="34" t="s">
        <v>438</v>
      </c>
      <c r="F82" s="36" t="s">
        <v>314</v>
      </c>
      <c r="G82" s="36" t="s"/>
      <c r="H82" s="36" t="s"/>
      <c r="I82" s="34" t="s">
        <v>132</v>
      </c>
      <c r="J82" s="36" t="s">
        <v>888</v>
      </c>
      <c r="K82" s="34" t="s">
        <v>508</v>
      </c>
      <c r="L82" s="34" t="s">
        <v>499</v>
      </c>
      <c r="M82" s="34" t="s">
        <v>500</v>
      </c>
      <c r="N82" s="36" t="s">
        <v>445</v>
      </c>
      <c r="O82" s="34" t="s">
        <v>314</v>
      </c>
      <c r="P82" s="36" t="s">
        <v>395</v>
      </c>
      <c r="Q82" s="36" t="s">
        <v>538</v>
      </c>
      <c r="R82" s="34" t="s">
        <v>510</v>
      </c>
      <c r="S82" s="34" t="s">
        <v>426</v>
      </c>
      <c r="T82" s="34" t="s">
        <v>322</v>
      </c>
      <c r="U82" s="36" t="s">
        <v>549</v>
      </c>
      <c r="V82" s="36" t="s">
        <v>828</v>
      </c>
      <c r="W82" s="37" t="s">
        <v>314</v>
      </c>
      <c r="X82" s="36" t="s">
        <v>445</v>
      </c>
      <c r="Y82" s="36" t="s">
        <v>314</v>
      </c>
    </row>
    <row r="83" spans="1:25">
      <c r="A83" s="34">
        <v>80</v>
      </c>
      <c r="B83" s="35" t="s">
        <v>889</v>
      </c>
      <c r="C83" s="36" t="s">
        <v>890</v>
      </c>
      <c r="D83" s="34" t="s">
        <v>99</v>
      </c>
      <c r="E83" s="34" t="s">
        <v>438</v>
      </c>
      <c r="F83" s="36" t="s">
        <v>314</v>
      </c>
      <c r="G83" s="36" t="s"/>
      <c r="H83" s="36" t="s"/>
      <c r="I83" s="34" t="s">
        <v>132</v>
      </c>
      <c r="J83" s="36" t="s">
        <v>891</v>
      </c>
      <c r="K83" s="34" t="s">
        <v>892</v>
      </c>
      <c r="L83" s="34" t="s">
        <v>522</v>
      </c>
      <c r="M83" s="34" t="s">
        <v>523</v>
      </c>
      <c r="N83" s="36" t="s">
        <v>445</v>
      </c>
      <c r="O83" s="34" t="s">
        <v>314</v>
      </c>
      <c r="P83" s="36" t="s">
        <v>395</v>
      </c>
      <c r="Q83" s="36" t="s">
        <v>893</v>
      </c>
      <c r="R83" s="34" t="s">
        <v>559</v>
      </c>
      <c r="S83" s="34" t="s">
        <v>426</v>
      </c>
      <c r="T83" s="34" t="s">
        <v>322</v>
      </c>
      <c r="U83" s="36" t="s">
        <v>338</v>
      </c>
      <c r="V83" s="36" t="s">
        <v>828</v>
      </c>
      <c r="W83" s="37" t="s">
        <v>314</v>
      </c>
      <c r="X83" s="36" t="s">
        <v>445</v>
      </c>
      <c r="Y83" s="36" t="s">
        <v>894</v>
      </c>
    </row>
    <row r="84" spans="1:25">
      <c r="A84" s="34">
        <v>81</v>
      </c>
      <c r="B84" s="35" t="s">
        <v>895</v>
      </c>
      <c r="C84" s="36" t="s">
        <v>896</v>
      </c>
      <c r="D84" s="34" t="s">
        <v>897</v>
      </c>
      <c r="E84" s="34" t="s">
        <v>438</v>
      </c>
      <c r="F84" s="36" t="s">
        <v>898</v>
      </c>
      <c r="G84" s="36" t="s"/>
      <c r="H84" s="36" t="s"/>
      <c r="I84" s="34" t="s">
        <v>899</v>
      </c>
      <c r="J84" s="36" t="s">
        <v>900</v>
      </c>
      <c r="K84" s="34" t="s">
        <v>901</v>
      </c>
      <c r="L84" s="34" t="s">
        <v>499</v>
      </c>
      <c r="M84" s="34" t="s">
        <v>500</v>
      </c>
      <c r="N84" s="36" t="s">
        <v>445</v>
      </c>
      <c r="O84" s="34" t="s">
        <v>314</v>
      </c>
      <c r="P84" s="36" t="s">
        <v>462</v>
      </c>
      <c r="Q84" s="36" t="s">
        <v>902</v>
      </c>
      <c r="R84" s="34" t="s">
        <v>903</v>
      </c>
      <c r="S84" s="34" t="s">
        <v>904</v>
      </c>
      <c r="T84" s="34" t="s">
        <v>322</v>
      </c>
      <c r="U84" s="36" t="s">
        <v>338</v>
      </c>
      <c r="V84" s="36" t="s">
        <v>905</v>
      </c>
      <c r="W84" s="37" t="s">
        <v>314</v>
      </c>
      <c r="X84" s="36" t="s">
        <v>906</v>
      </c>
      <c r="Y84" s="36" t="s">
        <v>907</v>
      </c>
    </row>
    <row r="85" spans="1:25">
      <c r="A85" s="34">
        <v>82</v>
      </c>
      <c r="B85" s="35" t="s">
        <v>908</v>
      </c>
      <c r="C85" s="36" t="s">
        <v>909</v>
      </c>
      <c r="D85" s="34" t="s">
        <v>897</v>
      </c>
      <c r="E85" s="34" t="s">
        <v>438</v>
      </c>
      <c r="F85" s="36" t="s">
        <v>910</v>
      </c>
      <c r="G85" s="36" t="s"/>
      <c r="H85" s="36" t="s"/>
      <c r="I85" s="34" t="s">
        <v>899</v>
      </c>
      <c r="J85" s="36" t="s">
        <v>911</v>
      </c>
      <c r="K85" s="34" t="s">
        <v>901</v>
      </c>
      <c r="L85" s="34" t="s">
        <v>499</v>
      </c>
      <c r="M85" s="34" t="s">
        <v>500</v>
      </c>
      <c r="N85" s="36" t="s">
        <v>570</v>
      </c>
      <c r="O85" s="34" t="s">
        <v>314</v>
      </c>
      <c r="P85" s="36" t="s">
        <v>462</v>
      </c>
      <c r="Q85" s="36" t="s">
        <v>902</v>
      </c>
      <c r="R85" s="34" t="s">
        <v>903</v>
      </c>
      <c r="S85" s="34" t="s">
        <v>904</v>
      </c>
      <c r="T85" s="34" t="s">
        <v>322</v>
      </c>
      <c r="U85" s="36" t="s">
        <v>338</v>
      </c>
      <c r="V85" s="36" t="s">
        <v>905</v>
      </c>
      <c r="W85" s="37" t="s">
        <v>314</v>
      </c>
      <c r="X85" s="36" t="s">
        <v>675</v>
      </c>
      <c r="Y85" s="36" t="s">
        <v>314</v>
      </c>
    </row>
    <row r="86" spans="1:25">
      <c r="A86" s="34">
        <v>83</v>
      </c>
      <c r="B86" s="35" t="s">
        <v>912</v>
      </c>
      <c r="C86" s="36" t="s">
        <v>913</v>
      </c>
      <c r="D86" s="34" t="s">
        <v>897</v>
      </c>
      <c r="E86" s="34" t="s">
        <v>438</v>
      </c>
      <c r="F86" s="36" t="s">
        <v>314</v>
      </c>
      <c r="G86" s="36" t="s"/>
      <c r="H86" s="36" t="s"/>
      <c r="I86" s="34" t="s">
        <v>899</v>
      </c>
      <c r="J86" s="36" t="s">
        <v>914</v>
      </c>
      <c r="K86" s="34" t="s">
        <v>314</v>
      </c>
      <c r="L86" s="34" t="s">
        <v>316</v>
      </c>
      <c r="M86" s="34" t="s">
        <v>314</v>
      </c>
      <c r="N86" s="36" t="s">
        <v>314</v>
      </c>
      <c r="O86" s="34" t="s">
        <v>314</v>
      </c>
      <c r="P86" s="36" t="s">
        <v>462</v>
      </c>
      <c r="Q86" s="36" t="s">
        <v>902</v>
      </c>
      <c r="R86" s="34" t="s">
        <v>740</v>
      </c>
      <c r="S86" s="34" t="s">
        <v>904</v>
      </c>
      <c r="T86" s="34" t="s">
        <v>322</v>
      </c>
      <c r="U86" s="36" t="s">
        <v>338</v>
      </c>
      <c r="V86" s="36" t="s">
        <v>905</v>
      </c>
      <c r="W86" s="37" t="s">
        <v>314</v>
      </c>
      <c r="X86" s="36" t="s">
        <v>915</v>
      </c>
      <c r="Y86" s="36" t="s">
        <v>916</v>
      </c>
    </row>
    <row r="87" spans="1:25">
      <c r="A87" s="34">
        <v>84</v>
      </c>
      <c r="B87" s="35" t="s">
        <v>917</v>
      </c>
      <c r="C87" s="36" t="s">
        <v>918</v>
      </c>
      <c r="D87" s="34" t="s">
        <v>897</v>
      </c>
      <c r="E87" s="34" t="s">
        <v>438</v>
      </c>
      <c r="F87" s="36" t="s">
        <v>314</v>
      </c>
      <c r="G87" s="36" t="s"/>
      <c r="H87" s="36" t="s"/>
      <c r="I87" s="34" t="s">
        <v>899</v>
      </c>
      <c r="J87" s="36" t="s">
        <v>919</v>
      </c>
      <c r="K87" s="34" t="s">
        <v>314</v>
      </c>
      <c r="L87" s="34" t="s">
        <v>316</v>
      </c>
      <c r="M87" s="34" t="s">
        <v>314</v>
      </c>
      <c r="N87" s="36" t="s">
        <v>314</v>
      </c>
      <c r="O87" s="34" t="s">
        <v>314</v>
      </c>
      <c r="P87" s="36" t="s">
        <v>462</v>
      </c>
      <c r="Q87" s="36" t="s">
        <v>902</v>
      </c>
      <c r="R87" s="34" t="s">
        <v>740</v>
      </c>
      <c r="S87" s="34" t="s">
        <v>904</v>
      </c>
      <c r="T87" s="34" t="s">
        <v>322</v>
      </c>
      <c r="U87" s="36" t="s">
        <v>338</v>
      </c>
      <c r="V87" s="36" t="s">
        <v>905</v>
      </c>
      <c r="W87" s="37" t="s">
        <v>314</v>
      </c>
      <c r="X87" s="36" t="s">
        <v>915</v>
      </c>
      <c r="Y87" s="36" t="s">
        <v>920</v>
      </c>
    </row>
    <row r="88" spans="1:25">
      <c r="A88" s="34">
        <v>85</v>
      </c>
      <c r="B88" s="35" t="s">
        <v>921</v>
      </c>
      <c r="C88" s="36" t="s">
        <v>922</v>
      </c>
      <c r="D88" s="34" t="s">
        <v>565</v>
      </c>
      <c r="E88" s="34" t="s">
        <v>565</v>
      </c>
      <c r="F88" s="36" t="s">
        <v>314</v>
      </c>
      <c r="G88" s="36" t="s"/>
      <c r="H88" s="36" t="s"/>
      <c r="I88" s="34" t="s">
        <v>565</v>
      </c>
      <c r="J88" s="36" t="s">
        <v>923</v>
      </c>
      <c r="K88" s="34" t="s">
        <v>924</v>
      </c>
      <c r="L88" s="34" t="s">
        <v>568</v>
      </c>
      <c r="M88" s="34" t="s">
        <v>569</v>
      </c>
      <c r="N88" s="36" t="s">
        <v>570</v>
      </c>
      <c r="O88" s="34" t="s">
        <v>925</v>
      </c>
      <c r="P88" s="36" t="s">
        <v>572</v>
      </c>
      <c r="Q88" s="36" t="s">
        <v>573</v>
      </c>
      <c r="R88" s="34" t="s">
        <v>574</v>
      </c>
      <c r="S88" s="34" t="s">
        <v>575</v>
      </c>
      <c r="T88" s="34" t="s">
        <v>322</v>
      </c>
      <c r="U88" s="36" t="s">
        <v>549</v>
      </c>
      <c r="V88" s="36" t="s">
        <v>550</v>
      </c>
      <c r="W88" s="37" t="s">
        <v>314</v>
      </c>
      <c r="X88" s="36" t="s">
        <v>570</v>
      </c>
      <c r="Y88" s="36" t="s">
        <v>926</v>
      </c>
    </row>
    <row r="89" spans="1:25">
      <c r="A89" s="34">
        <v>86</v>
      </c>
      <c r="B89" s="35" t="s">
        <v>927</v>
      </c>
      <c r="C89" s="36" t="s">
        <v>928</v>
      </c>
      <c r="D89" s="34" t="s">
        <v>565</v>
      </c>
      <c r="E89" s="34" t="s">
        <v>565</v>
      </c>
      <c r="F89" s="36" t="s">
        <v>314</v>
      </c>
      <c r="G89" s="36" t="s"/>
      <c r="H89" s="36" t="s"/>
      <c r="I89" s="34" t="s">
        <v>565</v>
      </c>
      <c r="J89" s="36" t="s">
        <v>929</v>
      </c>
      <c r="K89" s="34" t="s">
        <v>924</v>
      </c>
      <c r="L89" s="34" t="s">
        <v>568</v>
      </c>
      <c r="M89" s="34" t="s">
        <v>569</v>
      </c>
      <c r="N89" s="36" t="s">
        <v>570</v>
      </c>
      <c r="O89" s="34" t="s">
        <v>930</v>
      </c>
      <c r="P89" s="36" t="s">
        <v>572</v>
      </c>
      <c r="Q89" s="36" t="s">
        <v>573</v>
      </c>
      <c r="R89" s="34" t="s">
        <v>574</v>
      </c>
      <c r="S89" s="34" t="s">
        <v>575</v>
      </c>
      <c r="T89" s="34" t="s">
        <v>322</v>
      </c>
      <c r="U89" s="36" t="s">
        <v>549</v>
      </c>
      <c r="V89" s="36" t="s">
        <v>931</v>
      </c>
      <c r="W89" s="37" t="s">
        <v>314</v>
      </c>
      <c r="X89" s="36" t="s">
        <v>570</v>
      </c>
      <c r="Y89" s="36" t="s">
        <v>932</v>
      </c>
    </row>
    <row r="90" spans="1:25">
      <c r="A90" s="34">
        <v>87</v>
      </c>
      <c r="B90" s="35" t="s">
        <v>933</v>
      </c>
      <c r="C90" s="36" t="s">
        <v>934</v>
      </c>
      <c r="D90" s="34" t="s">
        <v>565</v>
      </c>
      <c r="E90" s="34" t="s">
        <v>565</v>
      </c>
      <c r="F90" s="36" t="s">
        <v>314</v>
      </c>
      <c r="G90" s="36" t="s"/>
      <c r="H90" s="36" t="s"/>
      <c r="I90" s="34" t="s">
        <v>565</v>
      </c>
      <c r="J90" s="36" t="s">
        <v>935</v>
      </c>
      <c r="K90" s="34" t="s">
        <v>936</v>
      </c>
      <c r="L90" s="34" t="s">
        <v>568</v>
      </c>
      <c r="M90" s="34" t="s">
        <v>569</v>
      </c>
      <c r="N90" s="36" t="s">
        <v>570</v>
      </c>
      <c r="O90" s="34" t="s">
        <v>937</v>
      </c>
      <c r="P90" s="36" t="s">
        <v>572</v>
      </c>
      <c r="Q90" s="36" t="s">
        <v>573</v>
      </c>
      <c r="R90" s="34" t="s">
        <v>574</v>
      </c>
      <c r="S90" s="34" t="s">
        <v>575</v>
      </c>
      <c r="T90" s="34" t="s">
        <v>322</v>
      </c>
      <c r="U90" s="36" t="s">
        <v>549</v>
      </c>
      <c r="V90" s="36" t="s">
        <v>550</v>
      </c>
      <c r="W90" s="37" t="s">
        <v>314</v>
      </c>
      <c r="X90" s="36" t="s">
        <v>570</v>
      </c>
      <c r="Y90" s="36" t="s">
        <v>938</v>
      </c>
    </row>
    <row r="91" spans="1:25">
      <c r="A91" s="34">
        <v>88</v>
      </c>
      <c r="B91" s="35" t="s">
        <v>939</v>
      </c>
      <c r="C91" s="36" t="s">
        <v>940</v>
      </c>
      <c r="D91" s="34" t="s">
        <v>565</v>
      </c>
      <c r="E91" s="34" t="s">
        <v>565</v>
      </c>
      <c r="F91" s="36" t="s">
        <v>314</v>
      </c>
      <c r="G91" s="36" t="s"/>
      <c r="H91" s="36" t="s"/>
      <c r="I91" s="34" t="s">
        <v>565</v>
      </c>
      <c r="J91" s="36" t="s">
        <v>941</v>
      </c>
      <c r="K91" s="34" t="s">
        <v>942</v>
      </c>
      <c r="L91" s="34" t="s">
        <v>568</v>
      </c>
      <c r="M91" s="34" t="s">
        <v>569</v>
      </c>
      <c r="N91" s="36" t="s">
        <v>570</v>
      </c>
      <c r="O91" s="34" t="s">
        <v>943</v>
      </c>
      <c r="P91" s="36" t="s">
        <v>572</v>
      </c>
      <c r="Q91" s="36" t="s">
        <v>573</v>
      </c>
      <c r="R91" s="34" t="s">
        <v>574</v>
      </c>
      <c r="S91" s="34" t="s">
        <v>575</v>
      </c>
      <c r="T91" s="34" t="s">
        <v>322</v>
      </c>
      <c r="U91" s="36" t="s">
        <v>549</v>
      </c>
      <c r="V91" s="36" t="s">
        <v>511</v>
      </c>
      <c r="W91" s="37" t="s">
        <v>314</v>
      </c>
      <c r="X91" s="36" t="s">
        <v>570</v>
      </c>
      <c r="Y91" s="36" t="s">
        <v>944</v>
      </c>
    </row>
    <row r="92" spans="1:25">
      <c r="A92" s="34">
        <v>89</v>
      </c>
      <c r="B92" s="35" t="s">
        <v>945</v>
      </c>
      <c r="C92" s="36" t="s">
        <v>946</v>
      </c>
      <c r="D92" s="34" t="s">
        <v>565</v>
      </c>
      <c r="E92" s="34" t="s">
        <v>565</v>
      </c>
      <c r="F92" s="36" t="s">
        <v>314</v>
      </c>
      <c r="G92" s="36" t="s"/>
      <c r="H92" s="36" t="s"/>
      <c r="I92" s="34" t="s">
        <v>565</v>
      </c>
      <c r="J92" s="36" t="s">
        <v>947</v>
      </c>
      <c r="K92" s="34" t="s">
        <v>948</v>
      </c>
      <c r="L92" s="34" t="s">
        <v>568</v>
      </c>
      <c r="M92" s="34" t="s">
        <v>569</v>
      </c>
      <c r="N92" s="36" t="s">
        <v>570</v>
      </c>
      <c r="O92" s="34" t="s">
        <v>949</v>
      </c>
      <c r="P92" s="36" t="s">
        <v>572</v>
      </c>
      <c r="Q92" s="36" t="s">
        <v>573</v>
      </c>
      <c r="R92" s="34" t="s">
        <v>574</v>
      </c>
      <c r="S92" s="34" t="s">
        <v>575</v>
      </c>
      <c r="T92" s="34" t="s">
        <v>322</v>
      </c>
      <c r="U92" s="36" t="s">
        <v>549</v>
      </c>
      <c r="V92" s="36" t="s">
        <v>550</v>
      </c>
      <c r="W92" s="37" t="s">
        <v>314</v>
      </c>
      <c r="X92" s="36" t="s">
        <v>570</v>
      </c>
      <c r="Y92" s="36" t="s">
        <v>950</v>
      </c>
    </row>
    <row r="93" spans="1:25">
      <c r="A93" s="34">
        <v>90</v>
      </c>
      <c r="B93" s="35" t="s">
        <v>951</v>
      </c>
      <c r="C93" s="36" t="s">
        <v>952</v>
      </c>
      <c r="D93" s="34" t="s">
        <v>565</v>
      </c>
      <c r="E93" s="34" t="s">
        <v>565</v>
      </c>
      <c r="F93" s="36" t="s">
        <v>314</v>
      </c>
      <c r="G93" s="36" t="s"/>
      <c r="H93" s="36" t="s"/>
      <c r="I93" s="34" t="s">
        <v>565</v>
      </c>
      <c r="J93" s="36" t="s">
        <v>953</v>
      </c>
      <c r="K93" s="34" t="s">
        <v>954</v>
      </c>
      <c r="L93" s="34" t="s">
        <v>568</v>
      </c>
      <c r="M93" s="34" t="s">
        <v>569</v>
      </c>
      <c r="N93" s="36" t="s">
        <v>570</v>
      </c>
      <c r="O93" s="34" t="s">
        <v>955</v>
      </c>
      <c r="P93" s="36" t="s">
        <v>572</v>
      </c>
      <c r="Q93" s="36" t="s">
        <v>573</v>
      </c>
      <c r="R93" s="34" t="s">
        <v>574</v>
      </c>
      <c r="S93" s="34" t="s">
        <v>575</v>
      </c>
      <c r="T93" s="34" t="s">
        <v>322</v>
      </c>
      <c r="U93" s="36" t="s">
        <v>549</v>
      </c>
      <c r="V93" s="36" t="s">
        <v>550</v>
      </c>
      <c r="W93" s="37" t="s">
        <v>314</v>
      </c>
      <c r="X93" s="36" t="s">
        <v>570</v>
      </c>
      <c r="Y93" s="36" t="s">
        <v>956</v>
      </c>
    </row>
    <row r="94" spans="1:25">
      <c r="A94" s="34">
        <v>91</v>
      </c>
      <c r="B94" s="35" t="s">
        <v>957</v>
      </c>
      <c r="C94" s="36" t="s">
        <v>958</v>
      </c>
      <c r="D94" s="34" t="s">
        <v>565</v>
      </c>
      <c r="E94" s="34" t="s">
        <v>565</v>
      </c>
      <c r="F94" s="36" t="s">
        <v>314</v>
      </c>
      <c r="G94" s="36" t="s"/>
      <c r="H94" s="36" t="s"/>
      <c r="I94" s="34" t="s">
        <v>565</v>
      </c>
      <c r="J94" s="36" t="s">
        <v>959</v>
      </c>
      <c r="K94" s="34" t="s">
        <v>954</v>
      </c>
      <c r="L94" s="34" t="s">
        <v>568</v>
      </c>
      <c r="M94" s="34" t="s">
        <v>569</v>
      </c>
      <c r="N94" s="36" t="s">
        <v>570</v>
      </c>
      <c r="O94" s="34" t="s">
        <v>960</v>
      </c>
      <c r="P94" s="36" t="s">
        <v>572</v>
      </c>
      <c r="Q94" s="36" t="s">
        <v>573</v>
      </c>
      <c r="R94" s="34" t="s">
        <v>574</v>
      </c>
      <c r="S94" s="34" t="s">
        <v>575</v>
      </c>
      <c r="T94" s="34" t="s">
        <v>322</v>
      </c>
      <c r="U94" s="36" t="s">
        <v>549</v>
      </c>
      <c r="V94" s="36" t="s">
        <v>550</v>
      </c>
      <c r="W94" s="37" t="s">
        <v>314</v>
      </c>
      <c r="X94" s="36" t="s">
        <v>570</v>
      </c>
      <c r="Y94" s="36" t="s">
        <v>956</v>
      </c>
    </row>
    <row r="95" spans="1:25">
      <c r="A95" s="34">
        <v>92</v>
      </c>
      <c r="B95" s="35" t="s">
        <v>961</v>
      </c>
      <c r="C95" s="36" t="s">
        <v>962</v>
      </c>
      <c r="D95" s="34" t="s">
        <v>565</v>
      </c>
      <c r="E95" s="34" t="s">
        <v>565</v>
      </c>
      <c r="F95" s="36" t="s">
        <v>314</v>
      </c>
      <c r="G95" s="36" t="s"/>
      <c r="H95" s="36" t="s"/>
      <c r="I95" s="34" t="s">
        <v>565</v>
      </c>
      <c r="J95" s="36" t="s">
        <v>963</v>
      </c>
      <c r="K95" s="34" t="s">
        <v>954</v>
      </c>
      <c r="L95" s="34" t="s">
        <v>568</v>
      </c>
      <c r="M95" s="34" t="s">
        <v>569</v>
      </c>
      <c r="N95" s="36" t="s">
        <v>570</v>
      </c>
      <c r="O95" s="34" t="s">
        <v>960</v>
      </c>
      <c r="P95" s="36" t="s">
        <v>572</v>
      </c>
      <c r="Q95" s="36" t="s">
        <v>573</v>
      </c>
      <c r="R95" s="34" t="s">
        <v>574</v>
      </c>
      <c r="S95" s="34" t="s">
        <v>575</v>
      </c>
      <c r="T95" s="34" t="s">
        <v>322</v>
      </c>
      <c r="U95" s="36" t="s">
        <v>549</v>
      </c>
      <c r="V95" s="36" t="s">
        <v>550</v>
      </c>
      <c r="W95" s="37" t="s">
        <v>314</v>
      </c>
      <c r="X95" s="36" t="s">
        <v>570</v>
      </c>
      <c r="Y95" s="36" t="s">
        <v>956</v>
      </c>
    </row>
    <row r="96" spans="1:25">
      <c r="A96" s="34">
        <v>93</v>
      </c>
      <c r="B96" s="35" t="s">
        <v>964</v>
      </c>
      <c r="C96" s="36" t="s">
        <v>965</v>
      </c>
      <c r="D96" s="34" t="s">
        <v>565</v>
      </c>
      <c r="E96" s="34" t="s">
        <v>565</v>
      </c>
      <c r="F96" s="36" t="s">
        <v>314</v>
      </c>
      <c r="G96" s="36" t="s"/>
      <c r="H96" s="36" t="s"/>
      <c r="I96" s="34" t="s">
        <v>565</v>
      </c>
      <c r="J96" s="36" t="s">
        <v>966</v>
      </c>
      <c r="K96" s="34" t="s">
        <v>967</v>
      </c>
      <c r="L96" s="34" t="s">
        <v>568</v>
      </c>
      <c r="M96" s="34" t="s">
        <v>569</v>
      </c>
      <c r="N96" s="36" t="s">
        <v>570</v>
      </c>
      <c r="O96" s="34" t="s">
        <v>968</v>
      </c>
      <c r="P96" s="36" t="s">
        <v>572</v>
      </c>
      <c r="Q96" s="36" t="s">
        <v>573</v>
      </c>
      <c r="R96" s="34" t="s">
        <v>574</v>
      </c>
      <c r="S96" s="34" t="s">
        <v>575</v>
      </c>
      <c r="T96" s="34" t="s">
        <v>322</v>
      </c>
      <c r="U96" s="36" t="s">
        <v>549</v>
      </c>
      <c r="V96" s="36" t="s">
        <v>969</v>
      </c>
      <c r="W96" s="37" t="s">
        <v>314</v>
      </c>
      <c r="X96" s="36" t="s">
        <v>570</v>
      </c>
      <c r="Y96" s="36" t="s">
        <v>970</v>
      </c>
    </row>
    <row r="97" spans="1:25">
      <c r="A97" s="34">
        <v>94</v>
      </c>
      <c r="B97" s="35" t="s">
        <v>971</v>
      </c>
      <c r="C97" s="36" t="s">
        <v>972</v>
      </c>
      <c r="D97" s="34" t="s">
        <v>565</v>
      </c>
      <c r="E97" s="34" t="s">
        <v>565</v>
      </c>
      <c r="F97" s="36" t="s">
        <v>314</v>
      </c>
      <c r="G97" s="36" t="s"/>
      <c r="H97" s="36" t="s"/>
      <c r="I97" s="34" t="s">
        <v>565</v>
      </c>
      <c r="J97" s="36" t="s">
        <v>973</v>
      </c>
      <c r="K97" s="34" t="s">
        <v>974</v>
      </c>
      <c r="L97" s="34" t="s">
        <v>568</v>
      </c>
      <c r="M97" s="34" t="s">
        <v>569</v>
      </c>
      <c r="N97" s="36" t="s">
        <v>570</v>
      </c>
      <c r="O97" s="34" t="s">
        <v>975</v>
      </c>
      <c r="P97" s="36" t="s">
        <v>572</v>
      </c>
      <c r="Q97" s="36" t="s">
        <v>573</v>
      </c>
      <c r="R97" s="34" t="s">
        <v>574</v>
      </c>
      <c r="S97" s="34" t="s">
        <v>575</v>
      </c>
      <c r="T97" s="34" t="s">
        <v>322</v>
      </c>
      <c r="U97" s="36" t="s">
        <v>549</v>
      </c>
      <c r="V97" s="36" t="s">
        <v>828</v>
      </c>
      <c r="W97" s="37" t="s">
        <v>314</v>
      </c>
      <c r="X97" s="36" t="s">
        <v>570</v>
      </c>
      <c r="Y97" s="36" t="s">
        <v>976</v>
      </c>
    </row>
    <row r="98" spans="1:25">
      <c r="A98" s="34">
        <v>95</v>
      </c>
      <c r="B98" s="35" t="s">
        <v>977</v>
      </c>
      <c r="C98" s="36" t="s">
        <v>978</v>
      </c>
      <c r="D98" s="34" t="s">
        <v>565</v>
      </c>
      <c r="E98" s="34" t="s">
        <v>565</v>
      </c>
      <c r="F98" s="36" t="s">
        <v>314</v>
      </c>
      <c r="G98" s="36" t="s"/>
      <c r="H98" s="36" t="s"/>
      <c r="I98" s="34" t="s">
        <v>565</v>
      </c>
      <c r="J98" s="36" t="s">
        <v>979</v>
      </c>
      <c r="K98" s="34" t="s">
        <v>980</v>
      </c>
      <c r="L98" s="34" t="s">
        <v>568</v>
      </c>
      <c r="M98" s="34" t="s">
        <v>569</v>
      </c>
      <c r="N98" s="36" t="s">
        <v>570</v>
      </c>
      <c r="O98" s="34" t="s">
        <v>975</v>
      </c>
      <c r="P98" s="36" t="s">
        <v>572</v>
      </c>
      <c r="Q98" s="36" t="s">
        <v>573</v>
      </c>
      <c r="R98" s="34" t="s">
        <v>574</v>
      </c>
      <c r="S98" s="34" t="s">
        <v>575</v>
      </c>
      <c r="T98" s="34" t="s">
        <v>322</v>
      </c>
      <c r="U98" s="36" t="s">
        <v>549</v>
      </c>
      <c r="V98" s="36" t="s">
        <v>828</v>
      </c>
      <c r="W98" s="37" t="s">
        <v>314</v>
      </c>
      <c r="X98" s="36" t="s">
        <v>570</v>
      </c>
      <c r="Y98" s="36" t="s">
        <v>976</v>
      </c>
    </row>
    <row r="99" spans="1:25">
      <c r="A99" s="34">
        <v>96</v>
      </c>
      <c r="B99" s="35" t="s">
        <v>981</v>
      </c>
      <c r="C99" s="36" t="s">
        <v>982</v>
      </c>
      <c r="D99" s="34" t="s">
        <v>565</v>
      </c>
      <c r="E99" s="34" t="s">
        <v>565</v>
      </c>
      <c r="F99" s="36" t="s">
        <v>314</v>
      </c>
      <c r="G99" s="36" t="s"/>
      <c r="H99" s="36" t="s"/>
      <c r="I99" s="34" t="s">
        <v>565</v>
      </c>
      <c r="J99" s="36" t="s">
        <v>983</v>
      </c>
      <c r="K99" s="34" t="s">
        <v>984</v>
      </c>
      <c r="L99" s="34" t="s">
        <v>499</v>
      </c>
      <c r="M99" s="34" t="s">
        <v>500</v>
      </c>
      <c r="N99" s="36" t="s">
        <v>985</v>
      </c>
      <c r="O99" s="34" t="s">
        <v>986</v>
      </c>
      <c r="P99" s="36" t="s">
        <v>572</v>
      </c>
      <c r="Q99" s="36" t="s">
        <v>573</v>
      </c>
      <c r="R99" s="34" t="s">
        <v>574</v>
      </c>
      <c r="S99" s="34" t="s">
        <v>575</v>
      </c>
      <c r="T99" s="34" t="s">
        <v>322</v>
      </c>
      <c r="U99" s="36" t="s">
        <v>549</v>
      </c>
      <c r="V99" s="36" t="s">
        <v>828</v>
      </c>
      <c r="W99" s="37" t="s">
        <v>314</v>
      </c>
      <c r="X99" s="36" t="s">
        <v>985</v>
      </c>
      <c r="Y99" s="36" t="s">
        <v>976</v>
      </c>
    </row>
    <row r="100" spans="1:25">
      <c r="A100" s="34">
        <v>97</v>
      </c>
      <c r="B100" s="35" t="s">
        <v>987</v>
      </c>
      <c r="C100" s="36" t="s">
        <v>988</v>
      </c>
      <c r="D100" s="34" t="s">
        <v>565</v>
      </c>
      <c r="E100" s="34" t="s">
        <v>565</v>
      </c>
      <c r="F100" s="36" t="s">
        <v>314</v>
      </c>
      <c r="G100" s="36" t="s"/>
      <c r="H100" s="36" t="s"/>
      <c r="I100" s="34" t="s">
        <v>565</v>
      </c>
      <c r="J100" s="36" t="s">
        <v>989</v>
      </c>
      <c r="K100" s="34" t="s">
        <v>990</v>
      </c>
      <c r="L100" s="34" t="s">
        <v>568</v>
      </c>
      <c r="M100" s="34" t="s">
        <v>569</v>
      </c>
      <c r="N100" s="36" t="s">
        <v>570</v>
      </c>
      <c r="O100" s="34" t="s">
        <v>991</v>
      </c>
      <c r="P100" s="36" t="s">
        <v>572</v>
      </c>
      <c r="Q100" s="36" t="s">
        <v>573</v>
      </c>
      <c r="R100" s="34" t="s">
        <v>574</v>
      </c>
      <c r="S100" s="34" t="s">
        <v>575</v>
      </c>
      <c r="T100" s="34" t="s">
        <v>322</v>
      </c>
      <c r="U100" s="36" t="s">
        <v>549</v>
      </c>
      <c r="V100" s="36" t="s">
        <v>828</v>
      </c>
      <c r="W100" s="37" t="s">
        <v>314</v>
      </c>
      <c r="X100" s="36" t="s">
        <v>570</v>
      </c>
      <c r="Y100" s="36" t="s">
        <v>314</v>
      </c>
    </row>
    <row r="101" spans="1:25">
      <c r="A101" s="38">
        <v>98</v>
      </c>
      <c r="B101" s="39" t="s">
        <v>992</v>
      </c>
      <c r="C101" s="40" t="s">
        <v>993</v>
      </c>
      <c r="D101" s="38" t="s">
        <v>99</v>
      </c>
      <c r="E101" s="38" t="s">
        <v>994</v>
      </c>
      <c r="F101" s="40" t="s">
        <v>314</v>
      </c>
      <c r="G101" s="40" t="s"/>
      <c r="H101" s="40" t="s"/>
      <c r="I101" s="38" t="s">
        <v>440</v>
      </c>
      <c r="J101" s="40" t="s">
        <v>995</v>
      </c>
      <c r="K101" s="38" t="s">
        <v>498</v>
      </c>
      <c r="L101" s="38" t="s">
        <v>522</v>
      </c>
      <c r="M101" s="38" t="s">
        <v>523</v>
      </c>
      <c r="N101" s="40" t="s">
        <v>996</v>
      </c>
      <c r="O101" s="38" t="s">
        <v>444</v>
      </c>
      <c r="P101" s="40" t="s">
        <v>997</v>
      </c>
      <c r="Q101" s="40" t="s">
        <v>998</v>
      </c>
      <c r="R101" s="38" t="s">
        <v>740</v>
      </c>
      <c r="S101" s="38" t="s">
        <v>426</v>
      </c>
      <c r="T101" s="38" t="s">
        <v>434</v>
      </c>
      <c r="U101" s="40" t="s">
        <v>999</v>
      </c>
      <c r="V101" s="40" t="s">
        <v>550</v>
      </c>
      <c r="W101" s="41" t="s">
        <v>314</v>
      </c>
      <c r="X101" s="40" t="s">
        <v>1000</v>
      </c>
      <c r="Y101" s="40" t="s">
        <v>1001</v>
      </c>
    </row>
    <row r="102" spans="1:25">
      <c r="A102" s="38">
        <v>99</v>
      </c>
      <c r="B102" s="39" t="s">
        <v>1002</v>
      </c>
      <c r="C102" s="40" t="s">
        <v>1003</v>
      </c>
      <c r="D102" s="38" t="s">
        <v>99</v>
      </c>
      <c r="E102" s="38" t="s">
        <v>994</v>
      </c>
      <c r="F102" s="40" t="s">
        <v>314</v>
      </c>
      <c r="G102" s="40" t="s"/>
      <c r="H102" s="40" t="s"/>
      <c r="I102" s="38" t="s">
        <v>440</v>
      </c>
      <c r="J102" s="40" t="s">
        <v>1004</v>
      </c>
      <c r="K102" s="38" t="s">
        <v>498</v>
      </c>
      <c r="L102" s="38" t="s">
        <v>522</v>
      </c>
      <c r="M102" s="38" t="s">
        <v>523</v>
      </c>
      <c r="N102" s="40" t="s">
        <v>996</v>
      </c>
      <c r="O102" s="38" t="s">
        <v>444</v>
      </c>
      <c r="P102" s="40" t="s">
        <v>1005</v>
      </c>
      <c r="Q102" s="40" t="s">
        <v>1006</v>
      </c>
      <c r="R102" s="38" t="s">
        <v>448</v>
      </c>
      <c r="S102" s="38" t="s">
        <v>1007</v>
      </c>
      <c r="T102" s="38" t="s">
        <v>322</v>
      </c>
      <c r="U102" s="40" t="s">
        <v>999</v>
      </c>
      <c r="V102" s="40" t="s">
        <v>550</v>
      </c>
      <c r="W102" s="41" t="s">
        <v>314</v>
      </c>
      <c r="X102" s="40" t="s">
        <v>1008</v>
      </c>
      <c r="Y102" s="40" t="s">
        <v>1009</v>
      </c>
    </row>
    <row r="103" spans="1:25">
      <c r="A103" s="38">
        <v>100</v>
      </c>
      <c r="B103" s="39" t="s">
        <v>1010</v>
      </c>
      <c r="C103" s="40" t="s">
        <v>1011</v>
      </c>
      <c r="D103" s="38" t="s">
        <v>99</v>
      </c>
      <c r="E103" s="38" t="s">
        <v>994</v>
      </c>
      <c r="F103" s="40" t="s">
        <v>314</v>
      </c>
      <c r="G103" s="40" t="s"/>
      <c r="H103" s="40" t="s"/>
      <c r="I103" s="38" t="s">
        <v>440</v>
      </c>
      <c r="J103" s="40" t="s">
        <v>1012</v>
      </c>
      <c r="K103" s="38" t="s">
        <v>1013</v>
      </c>
      <c r="L103" s="38" t="s">
        <v>443</v>
      </c>
      <c r="M103" s="38" t="s">
        <v>444</v>
      </c>
      <c r="N103" s="40" t="s">
        <v>996</v>
      </c>
      <c r="O103" s="38" t="s">
        <v>444</v>
      </c>
      <c r="P103" s="40" t="s">
        <v>997</v>
      </c>
      <c r="Q103" s="40" t="s">
        <v>1014</v>
      </c>
      <c r="R103" s="38" t="s">
        <v>740</v>
      </c>
      <c r="S103" s="38" t="s">
        <v>426</v>
      </c>
      <c r="T103" s="38" t="s">
        <v>434</v>
      </c>
      <c r="U103" s="40" t="s">
        <v>999</v>
      </c>
      <c r="V103" s="40" t="s">
        <v>550</v>
      </c>
      <c r="W103" s="41" t="s">
        <v>1015</v>
      </c>
      <c r="X103" s="40" t="s">
        <v>1016</v>
      </c>
      <c r="Y103" s="40" t="s">
        <v>1017</v>
      </c>
    </row>
    <row r="104" spans="1:25">
      <c r="A104" s="38">
        <v>101</v>
      </c>
      <c r="B104" s="39" t="s">
        <v>1018</v>
      </c>
      <c r="C104" s="40" t="s">
        <v>1019</v>
      </c>
      <c r="D104" s="38" t="s">
        <v>565</v>
      </c>
      <c r="E104" s="38" t="s">
        <v>565</v>
      </c>
      <c r="F104" s="40" t="s">
        <v>314</v>
      </c>
      <c r="G104" s="40" t="s"/>
      <c r="H104" s="40" t="s"/>
      <c r="I104" s="38" t="s">
        <v>565</v>
      </c>
      <c r="J104" s="40" t="s">
        <v>1020</v>
      </c>
      <c r="K104" s="38" t="s">
        <v>942</v>
      </c>
      <c r="L104" s="38" t="s">
        <v>522</v>
      </c>
      <c r="M104" s="38" t="s">
        <v>523</v>
      </c>
      <c r="N104" s="40" t="s">
        <v>1021</v>
      </c>
      <c r="O104" s="38" t="s">
        <v>314</v>
      </c>
      <c r="P104" s="40" t="s">
        <v>572</v>
      </c>
      <c r="Q104" s="40" t="s">
        <v>1022</v>
      </c>
      <c r="R104" s="38" t="s">
        <v>510</v>
      </c>
      <c r="S104" s="38" t="s">
        <v>575</v>
      </c>
      <c r="T104" s="38" t="s">
        <v>434</v>
      </c>
      <c r="U104" s="40" t="s">
        <v>1023</v>
      </c>
      <c r="V104" s="40" t="s">
        <v>550</v>
      </c>
      <c r="W104" s="41" t="s">
        <v>314</v>
      </c>
      <c r="X104" s="40" t="s">
        <v>1024</v>
      </c>
      <c r="Y104" s="40" t="s">
        <v>1025</v>
      </c>
    </row>
    <row r="105" spans="1:25">
      <c r="A105" s="38">
        <v>102</v>
      </c>
      <c r="B105" s="39" t="s">
        <v>1026</v>
      </c>
      <c r="C105" s="40" t="s">
        <v>1027</v>
      </c>
      <c r="D105" s="38" t="s">
        <v>565</v>
      </c>
      <c r="E105" s="38" t="s">
        <v>565</v>
      </c>
      <c r="F105" s="40" t="s">
        <v>314</v>
      </c>
      <c r="G105" s="40" t="s"/>
      <c r="H105" s="40" t="s"/>
      <c r="I105" s="38" t="s">
        <v>565</v>
      </c>
      <c r="J105" s="40" t="s">
        <v>1028</v>
      </c>
      <c r="K105" s="38" t="s">
        <v>1029</v>
      </c>
      <c r="L105" s="38" t="s">
        <v>499</v>
      </c>
      <c r="M105" s="38" t="s">
        <v>500</v>
      </c>
      <c r="N105" s="40" t="s">
        <v>1030</v>
      </c>
      <c r="O105" s="38" t="s">
        <v>1031</v>
      </c>
      <c r="P105" s="40" t="s">
        <v>572</v>
      </c>
      <c r="Q105" s="40" t="s">
        <v>1032</v>
      </c>
      <c r="R105" s="38" t="s">
        <v>510</v>
      </c>
      <c r="S105" s="38" t="s">
        <v>575</v>
      </c>
      <c r="T105" s="38" t="s">
        <v>434</v>
      </c>
      <c r="U105" s="40" t="s">
        <v>1023</v>
      </c>
      <c r="V105" s="40" t="s">
        <v>550</v>
      </c>
      <c r="W105" s="41" t="s">
        <v>314</v>
      </c>
      <c r="X105" s="40" t="s">
        <v>1033</v>
      </c>
      <c r="Y105" s="40" t="s">
        <v>1034</v>
      </c>
    </row>
    <row r="106" spans="1:25">
      <c r="A106" s="38">
        <v>103</v>
      </c>
      <c r="B106" s="39" t="s">
        <v>1035</v>
      </c>
      <c r="C106" s="40" t="s">
        <v>1036</v>
      </c>
      <c r="D106" s="38" t="s">
        <v>565</v>
      </c>
      <c r="E106" s="38" t="s">
        <v>565</v>
      </c>
      <c r="F106" s="40" t="s">
        <v>314</v>
      </c>
      <c r="G106" s="40" t="s"/>
      <c r="H106" s="40" t="s"/>
      <c r="I106" s="38" t="s">
        <v>565</v>
      </c>
      <c r="J106" s="40" t="s">
        <v>1037</v>
      </c>
      <c r="K106" s="38" t="s">
        <v>1029</v>
      </c>
      <c r="L106" s="38" t="s">
        <v>499</v>
      </c>
      <c r="M106" s="38" t="s">
        <v>500</v>
      </c>
      <c r="N106" s="40" t="s">
        <v>1030</v>
      </c>
      <c r="O106" s="38" t="s">
        <v>1038</v>
      </c>
      <c r="P106" s="40" t="s">
        <v>572</v>
      </c>
      <c r="Q106" s="40" t="s">
        <v>1039</v>
      </c>
      <c r="R106" s="38" t="s">
        <v>510</v>
      </c>
      <c r="S106" s="38" t="s">
        <v>575</v>
      </c>
      <c r="T106" s="38" t="s">
        <v>434</v>
      </c>
      <c r="U106" s="40" t="s">
        <v>1023</v>
      </c>
      <c r="V106" s="40" t="s">
        <v>550</v>
      </c>
      <c r="W106" s="41" t="s">
        <v>314</v>
      </c>
      <c r="X106" s="40" t="s">
        <v>1033</v>
      </c>
      <c r="Y106" s="40" t="s">
        <v>1040</v>
      </c>
    </row>
    <row r="107" spans="1:25">
      <c r="A107" s="38">
        <v>104</v>
      </c>
      <c r="B107" s="39" t="s">
        <v>1041</v>
      </c>
      <c r="C107" s="40" t="s">
        <v>1042</v>
      </c>
      <c r="D107" s="38" t="s">
        <v>565</v>
      </c>
      <c r="E107" s="38" t="s">
        <v>565</v>
      </c>
      <c r="F107" s="40" t="s">
        <v>314</v>
      </c>
      <c r="G107" s="40" t="s"/>
      <c r="H107" s="40" t="s"/>
      <c r="I107" s="38" t="s">
        <v>565</v>
      </c>
      <c r="J107" s="40" t="s">
        <v>1043</v>
      </c>
      <c r="K107" s="38" t="s">
        <v>1029</v>
      </c>
      <c r="L107" s="38" t="s">
        <v>499</v>
      </c>
      <c r="M107" s="38" t="s">
        <v>500</v>
      </c>
      <c r="N107" s="40" t="s">
        <v>1030</v>
      </c>
      <c r="O107" s="38" t="s">
        <v>1044</v>
      </c>
      <c r="P107" s="40" t="s">
        <v>572</v>
      </c>
      <c r="Q107" s="40" t="s">
        <v>1045</v>
      </c>
      <c r="R107" s="38" t="s">
        <v>510</v>
      </c>
      <c r="S107" s="38" t="s">
        <v>575</v>
      </c>
      <c r="T107" s="38" t="s">
        <v>434</v>
      </c>
      <c r="U107" s="40" t="s">
        <v>1023</v>
      </c>
      <c r="V107" s="40" t="s">
        <v>550</v>
      </c>
      <c r="W107" s="41" t="s">
        <v>314</v>
      </c>
      <c r="X107" s="40" t="s">
        <v>1033</v>
      </c>
      <c r="Y107" s="40" t="s">
        <v>1046</v>
      </c>
    </row>
    <row r="108" spans="1:25">
      <c r="A108" s="42">
        <v>105</v>
      </c>
      <c r="B108" s="43" t="s">
        <v>1047</v>
      </c>
      <c r="C108" s="44" t="s">
        <v>1048</v>
      </c>
      <c r="D108" s="42" t="s">
        <v>147</v>
      </c>
      <c r="E108" s="42" t="s">
        <v>1049</v>
      </c>
      <c r="F108" s="44" t="s">
        <v>314</v>
      </c>
      <c r="G108" s="44" t="s"/>
      <c r="H108" s="44" t="s"/>
      <c r="I108" s="42" t="s">
        <v>1050</v>
      </c>
      <c r="J108" s="44" t="s">
        <v>1051</v>
      </c>
      <c r="K108" s="42" t="s">
        <v>1052</v>
      </c>
      <c r="L108" s="42" t="s">
        <v>522</v>
      </c>
      <c r="M108" s="42" t="s">
        <v>523</v>
      </c>
      <c r="N108" s="44" t="s">
        <v>1053</v>
      </c>
      <c r="O108" s="42" t="s">
        <v>314</v>
      </c>
      <c r="P108" s="44" t="s">
        <v>997</v>
      </c>
      <c r="Q108" s="44" t="s">
        <v>1054</v>
      </c>
      <c r="R108" s="42" t="s">
        <v>740</v>
      </c>
      <c r="S108" s="42" t="s">
        <v>1055</v>
      </c>
      <c r="T108" s="42" t="s">
        <v>322</v>
      </c>
      <c r="U108" s="44" t="s">
        <v>1056</v>
      </c>
      <c r="V108" s="44" t="s">
        <v>314</v>
      </c>
      <c r="W108" s="45" t="s">
        <v>314</v>
      </c>
      <c r="X108" s="44" t="s">
        <v>1057</v>
      </c>
      <c r="Y108" s="44" t="s">
        <v>1058</v>
      </c>
    </row>
    <row r="109" spans="1:25">
      <c r="A109" s="42">
        <v>106</v>
      </c>
      <c r="B109" s="43" t="s">
        <v>1059</v>
      </c>
      <c r="C109" s="44" t="s">
        <v>1060</v>
      </c>
      <c r="D109" s="42" t="s">
        <v>147</v>
      </c>
      <c r="E109" s="42" t="s">
        <v>1049</v>
      </c>
      <c r="F109" s="44" t="s">
        <v>314</v>
      </c>
      <c r="G109" s="44" t="s"/>
      <c r="H109" s="44" t="s"/>
      <c r="I109" s="42" t="s">
        <v>1050</v>
      </c>
      <c r="J109" s="44" t="s">
        <v>1061</v>
      </c>
      <c r="K109" s="42" t="s">
        <v>1062</v>
      </c>
      <c r="L109" s="42" t="s">
        <v>522</v>
      </c>
      <c r="M109" s="42" t="s">
        <v>523</v>
      </c>
      <c r="N109" s="44" t="s">
        <v>1053</v>
      </c>
      <c r="O109" s="42" t="s">
        <v>314</v>
      </c>
      <c r="P109" s="44" t="s">
        <v>997</v>
      </c>
      <c r="Q109" s="44" t="s">
        <v>1063</v>
      </c>
      <c r="R109" s="42" t="s">
        <v>740</v>
      </c>
      <c r="S109" s="42" t="s">
        <v>1055</v>
      </c>
      <c r="T109" s="42" t="s">
        <v>322</v>
      </c>
      <c r="U109" s="44" t="s">
        <v>1056</v>
      </c>
      <c r="V109" s="44" t="s">
        <v>314</v>
      </c>
      <c r="W109" s="45" t="s">
        <v>314</v>
      </c>
      <c r="X109" s="44" t="s">
        <v>1064</v>
      </c>
      <c r="Y109" s="44" t="s">
        <v>1065</v>
      </c>
    </row>
    <row r="110" spans="1:25">
      <c r="A110" s="42">
        <v>107</v>
      </c>
      <c r="B110" s="43" t="s">
        <v>1066</v>
      </c>
      <c r="C110" s="44" t="s">
        <v>1067</v>
      </c>
      <c r="D110" s="42" t="s">
        <v>147</v>
      </c>
      <c r="E110" s="42" t="s">
        <v>1049</v>
      </c>
      <c r="F110" s="44" t="s">
        <v>314</v>
      </c>
      <c r="G110" s="44" t="s"/>
      <c r="H110" s="44" t="s"/>
      <c r="I110" s="42" t="s">
        <v>1050</v>
      </c>
      <c r="J110" s="44" t="s">
        <v>1068</v>
      </c>
      <c r="K110" s="42" t="s">
        <v>1052</v>
      </c>
      <c r="L110" s="42" t="s">
        <v>522</v>
      </c>
      <c r="M110" s="42" t="s">
        <v>523</v>
      </c>
      <c r="N110" s="44" t="s">
        <v>1053</v>
      </c>
      <c r="O110" s="42" t="s">
        <v>314</v>
      </c>
      <c r="P110" s="44" t="s">
        <v>997</v>
      </c>
      <c r="Q110" s="44" t="s">
        <v>1069</v>
      </c>
      <c r="R110" s="42" t="s">
        <v>740</v>
      </c>
      <c r="S110" s="42" t="s">
        <v>1055</v>
      </c>
      <c r="T110" s="42" t="s">
        <v>322</v>
      </c>
      <c r="U110" s="44" t="s">
        <v>1056</v>
      </c>
      <c r="V110" s="44" t="s">
        <v>314</v>
      </c>
      <c r="W110" s="45" t="s">
        <v>314</v>
      </c>
      <c r="X110" s="44" t="s">
        <v>1070</v>
      </c>
      <c r="Y110" s="44" t="s">
        <v>1071</v>
      </c>
    </row>
    <row r="111" spans="1:25">
      <c r="A111" s="42">
        <v>108</v>
      </c>
      <c r="B111" s="43" t="s">
        <v>1072</v>
      </c>
      <c r="C111" s="44" t="s">
        <v>1073</v>
      </c>
      <c r="D111" s="42" t="s">
        <v>147</v>
      </c>
      <c r="E111" s="42" t="s">
        <v>1049</v>
      </c>
      <c r="F111" s="44" t="s">
        <v>314</v>
      </c>
      <c r="G111" s="44" t="s"/>
      <c r="H111" s="44" t="s"/>
      <c r="I111" s="42" t="s">
        <v>1050</v>
      </c>
      <c r="J111" s="44" t="s">
        <v>1074</v>
      </c>
      <c r="K111" s="42" t="s">
        <v>885</v>
      </c>
      <c r="L111" s="42" t="s">
        <v>522</v>
      </c>
      <c r="M111" s="42" t="s">
        <v>523</v>
      </c>
      <c r="N111" s="44" t="s">
        <v>1053</v>
      </c>
      <c r="O111" s="42" t="s">
        <v>314</v>
      </c>
      <c r="P111" s="44" t="s">
        <v>997</v>
      </c>
      <c r="Q111" s="44" t="s">
        <v>1075</v>
      </c>
      <c r="R111" s="42" t="s">
        <v>740</v>
      </c>
      <c r="S111" s="42" t="s">
        <v>1055</v>
      </c>
      <c r="T111" s="42" t="s">
        <v>322</v>
      </c>
      <c r="U111" s="44" t="s">
        <v>1056</v>
      </c>
      <c r="V111" s="44" t="s">
        <v>314</v>
      </c>
      <c r="W111" s="45" t="s">
        <v>314</v>
      </c>
      <c r="X111" s="44" t="s">
        <v>1076</v>
      </c>
      <c r="Y111" s="44" t="s">
        <v>1077</v>
      </c>
    </row>
    <row r="112" spans="1:25">
      <c r="A112" s="42">
        <v>109</v>
      </c>
      <c r="B112" s="43" t="s">
        <v>1078</v>
      </c>
      <c r="C112" s="44" t="s">
        <v>1079</v>
      </c>
      <c r="D112" s="42" t="s">
        <v>147</v>
      </c>
      <c r="E112" s="42" t="s">
        <v>1049</v>
      </c>
      <c r="F112" s="44" t="s">
        <v>314</v>
      </c>
      <c r="G112" s="44" t="s"/>
      <c r="H112" s="44" t="s"/>
      <c r="I112" s="42" t="s">
        <v>1050</v>
      </c>
      <c r="J112" s="44" t="s">
        <v>1080</v>
      </c>
      <c r="K112" s="42" t="s">
        <v>314</v>
      </c>
      <c r="L112" s="42" t="s">
        <v>1081</v>
      </c>
      <c r="M112" s="42" t="s">
        <v>314</v>
      </c>
      <c r="N112" s="44" t="s">
        <v>314</v>
      </c>
      <c r="O112" s="42" t="s">
        <v>314</v>
      </c>
      <c r="P112" s="44" t="s">
        <v>997</v>
      </c>
      <c r="Q112" s="44" t="s">
        <v>1082</v>
      </c>
      <c r="R112" s="42" t="s">
        <v>740</v>
      </c>
      <c r="S112" s="42" t="s">
        <v>904</v>
      </c>
      <c r="T112" s="42" t="s">
        <v>434</v>
      </c>
      <c r="U112" s="44" t="s">
        <v>1056</v>
      </c>
      <c r="V112" s="44" t="s">
        <v>314</v>
      </c>
      <c r="W112" s="45" t="s">
        <v>314</v>
      </c>
      <c r="X112" s="44" t="s">
        <v>1083</v>
      </c>
      <c r="Y112" s="44" t="s">
        <v>1084</v>
      </c>
    </row>
    <row r="113" spans="1:25">
      <c r="A113" s="42">
        <v>110</v>
      </c>
      <c r="B113" s="43" t="s">
        <v>1085</v>
      </c>
      <c r="C113" s="44" t="s">
        <v>1086</v>
      </c>
      <c r="D113" s="42" t="s">
        <v>147</v>
      </c>
      <c r="E113" s="42" t="s">
        <v>1049</v>
      </c>
      <c r="F113" s="44" t="s">
        <v>314</v>
      </c>
      <c r="G113" s="44" t="s"/>
      <c r="H113" s="44" t="s"/>
      <c r="I113" s="42" t="s">
        <v>1050</v>
      </c>
      <c r="J113" s="44" t="s">
        <v>1087</v>
      </c>
      <c r="K113" s="42" t="s">
        <v>314</v>
      </c>
      <c r="L113" s="42" t="s">
        <v>316</v>
      </c>
      <c r="M113" s="42" t="s">
        <v>314</v>
      </c>
      <c r="N113" s="44" t="s">
        <v>314</v>
      </c>
      <c r="O113" s="42" t="s">
        <v>314</v>
      </c>
      <c r="P113" s="44" t="s">
        <v>997</v>
      </c>
      <c r="Q113" s="44" t="s">
        <v>1088</v>
      </c>
      <c r="R113" s="42" t="s">
        <v>740</v>
      </c>
      <c r="S113" s="42" t="s">
        <v>904</v>
      </c>
      <c r="T113" s="42" t="s">
        <v>322</v>
      </c>
      <c r="U113" s="44" t="s">
        <v>1056</v>
      </c>
      <c r="V113" s="44" t="s">
        <v>314</v>
      </c>
      <c r="W113" s="45" t="s">
        <v>314</v>
      </c>
      <c r="X113" s="44" t="s">
        <v>1089</v>
      </c>
      <c r="Y113" s="44" t="s">
        <v>1090</v>
      </c>
    </row>
    <row r="114" spans="1:25">
      <c r="A114" s="42">
        <v>111</v>
      </c>
      <c r="B114" s="43" t="s">
        <v>1091</v>
      </c>
      <c r="C114" s="44" t="s">
        <v>1092</v>
      </c>
      <c r="D114" s="42" t="s">
        <v>147</v>
      </c>
      <c r="E114" s="42" t="s">
        <v>1049</v>
      </c>
      <c r="F114" s="44" t="s">
        <v>314</v>
      </c>
      <c r="G114" s="44" t="s"/>
      <c r="H114" s="44" t="s"/>
      <c r="I114" s="42" t="s">
        <v>1050</v>
      </c>
      <c r="J114" s="44" t="s">
        <v>1093</v>
      </c>
      <c r="K114" s="42" t="s">
        <v>314</v>
      </c>
      <c r="L114" s="42" t="s">
        <v>316</v>
      </c>
      <c r="M114" s="42" t="s">
        <v>314</v>
      </c>
      <c r="N114" s="44" t="s">
        <v>1094</v>
      </c>
      <c r="O114" s="42" t="s">
        <v>314</v>
      </c>
      <c r="P114" s="44" t="s">
        <v>997</v>
      </c>
      <c r="Q114" s="44" t="s">
        <v>1095</v>
      </c>
      <c r="R114" s="42" t="s">
        <v>740</v>
      </c>
      <c r="S114" s="42" t="s">
        <v>904</v>
      </c>
      <c r="T114" s="42" t="s">
        <v>434</v>
      </c>
      <c r="U114" s="44" t="s">
        <v>1056</v>
      </c>
      <c r="V114" s="44" t="s">
        <v>314</v>
      </c>
      <c r="W114" s="45" t="s">
        <v>314</v>
      </c>
      <c r="X114" s="44" t="s">
        <v>1096</v>
      </c>
      <c r="Y114" s="44" t="s">
        <v>1097</v>
      </c>
    </row>
    <row r="115" spans="1:25">
      <c r="A115" s="42">
        <v>112</v>
      </c>
      <c r="B115" s="43" t="s">
        <v>1098</v>
      </c>
      <c r="C115" s="44" t="s">
        <v>1099</v>
      </c>
      <c r="D115" s="42" t="s">
        <v>147</v>
      </c>
      <c r="E115" s="42" t="s">
        <v>994</v>
      </c>
      <c r="F115" s="44" t="s">
        <v>314</v>
      </c>
      <c r="G115" s="44" t="s"/>
      <c r="H115" s="44" t="s"/>
      <c r="I115" s="42" t="s">
        <v>1100</v>
      </c>
      <c r="J115" s="44" t="s">
        <v>1101</v>
      </c>
      <c r="K115" s="42" t="s">
        <v>885</v>
      </c>
      <c r="L115" s="42" t="s">
        <v>499</v>
      </c>
      <c r="M115" s="42" t="s">
        <v>500</v>
      </c>
      <c r="N115" s="44" t="s">
        <v>996</v>
      </c>
      <c r="O115" s="42" t="s">
        <v>444</v>
      </c>
      <c r="P115" s="44" t="s">
        <v>1005</v>
      </c>
      <c r="Q115" s="44" t="s">
        <v>1102</v>
      </c>
      <c r="R115" s="42" t="s">
        <v>448</v>
      </c>
      <c r="S115" s="42" t="s">
        <v>1103</v>
      </c>
      <c r="T115" s="42" t="s">
        <v>322</v>
      </c>
      <c r="U115" s="44" t="s">
        <v>999</v>
      </c>
      <c r="V115" s="44" t="s">
        <v>314</v>
      </c>
      <c r="W115" s="45" t="s">
        <v>314</v>
      </c>
      <c r="X115" s="44" t="s">
        <v>1104</v>
      </c>
      <c r="Y115" s="44" t="s">
        <v>1105</v>
      </c>
    </row>
    <row r="116" spans="1:25">
      <c r="A116" s="42">
        <v>113</v>
      </c>
      <c r="B116" s="43" t="s">
        <v>1106</v>
      </c>
      <c r="C116" s="44" t="s">
        <v>1107</v>
      </c>
      <c r="D116" s="42" t="s">
        <v>147</v>
      </c>
      <c r="E116" s="42" t="s">
        <v>994</v>
      </c>
      <c r="F116" s="44" t="s">
        <v>314</v>
      </c>
      <c r="G116" s="44" t="s"/>
      <c r="H116" s="44" t="s"/>
      <c r="I116" s="42" t="s">
        <v>1100</v>
      </c>
      <c r="J116" s="44" t="s">
        <v>1108</v>
      </c>
      <c r="K116" s="42" t="s">
        <v>885</v>
      </c>
      <c r="L116" s="42" t="s">
        <v>499</v>
      </c>
      <c r="M116" s="42" t="s">
        <v>500</v>
      </c>
      <c r="N116" s="44" t="s">
        <v>996</v>
      </c>
      <c r="O116" s="42" t="s">
        <v>444</v>
      </c>
      <c r="P116" s="44" t="s">
        <v>1005</v>
      </c>
      <c r="Q116" s="44" t="s">
        <v>1109</v>
      </c>
      <c r="R116" s="42" t="s">
        <v>448</v>
      </c>
      <c r="S116" s="42" t="s">
        <v>1103</v>
      </c>
      <c r="T116" s="42" t="s">
        <v>322</v>
      </c>
      <c r="U116" s="44" t="s">
        <v>999</v>
      </c>
      <c r="V116" s="44" t="s">
        <v>314</v>
      </c>
      <c r="W116" s="45" t="s">
        <v>314</v>
      </c>
      <c r="X116" s="44" t="s">
        <v>1110</v>
      </c>
      <c r="Y116" s="44" t="s">
        <v>1111</v>
      </c>
    </row>
    <row r="117" spans="1:25">
      <c r="A117" s="42">
        <v>114</v>
      </c>
      <c r="B117" s="43" t="s">
        <v>1112</v>
      </c>
      <c r="C117" s="44" t="s">
        <v>1113</v>
      </c>
      <c r="D117" s="42" t="s">
        <v>147</v>
      </c>
      <c r="E117" s="42" t="s">
        <v>994</v>
      </c>
      <c r="F117" s="44" t="s">
        <v>314</v>
      </c>
      <c r="G117" s="44" t="s"/>
      <c r="H117" s="44" t="s"/>
      <c r="I117" s="42" t="s">
        <v>1100</v>
      </c>
      <c r="J117" s="44" t="s">
        <v>1114</v>
      </c>
      <c r="K117" s="42" t="s">
        <v>885</v>
      </c>
      <c r="L117" s="42" t="s">
        <v>499</v>
      </c>
      <c r="M117" s="42" t="s">
        <v>500</v>
      </c>
      <c r="N117" s="44" t="s">
        <v>996</v>
      </c>
      <c r="O117" s="42" t="s">
        <v>444</v>
      </c>
      <c r="P117" s="44" t="s">
        <v>1005</v>
      </c>
      <c r="Q117" s="44" t="s">
        <v>1115</v>
      </c>
      <c r="R117" s="42" t="s">
        <v>448</v>
      </c>
      <c r="S117" s="42" t="s">
        <v>1103</v>
      </c>
      <c r="T117" s="42" t="s">
        <v>322</v>
      </c>
      <c r="U117" s="44" t="s">
        <v>999</v>
      </c>
      <c r="V117" s="44" t="s">
        <v>314</v>
      </c>
      <c r="W117" s="45" t="s">
        <v>314</v>
      </c>
      <c r="X117" s="44" t="s">
        <v>1116</v>
      </c>
      <c r="Y117" s="44" t="s">
        <v>1117</v>
      </c>
    </row>
    <row r="118" spans="1:25">
      <c r="A118" s="42">
        <v>115</v>
      </c>
      <c r="B118" s="43" t="s">
        <v>1118</v>
      </c>
      <c r="C118" s="44" t="s">
        <v>1119</v>
      </c>
      <c r="D118" s="42" t="s">
        <v>147</v>
      </c>
      <c r="E118" s="42" t="s">
        <v>994</v>
      </c>
      <c r="F118" s="44" t="s">
        <v>314</v>
      </c>
      <c r="G118" s="44" t="s"/>
      <c r="H118" s="44" t="s"/>
      <c r="I118" s="42" t="s">
        <v>1100</v>
      </c>
      <c r="J118" s="44" t="s">
        <v>1120</v>
      </c>
      <c r="K118" s="42" t="s">
        <v>901</v>
      </c>
      <c r="L118" s="42" t="s">
        <v>499</v>
      </c>
      <c r="M118" s="42" t="s">
        <v>500</v>
      </c>
      <c r="N118" s="44" t="s">
        <v>996</v>
      </c>
      <c r="O118" s="42" t="s">
        <v>444</v>
      </c>
      <c r="P118" s="44" t="s">
        <v>1005</v>
      </c>
      <c r="Q118" s="44" t="s">
        <v>1121</v>
      </c>
      <c r="R118" s="42" t="s">
        <v>448</v>
      </c>
      <c r="S118" s="42" t="s">
        <v>1103</v>
      </c>
      <c r="T118" s="42" t="s">
        <v>322</v>
      </c>
      <c r="U118" s="44" t="s">
        <v>999</v>
      </c>
      <c r="V118" s="44" t="s">
        <v>314</v>
      </c>
      <c r="W118" s="45" t="s">
        <v>314</v>
      </c>
      <c r="X118" s="44" t="s">
        <v>1122</v>
      </c>
      <c r="Y118" s="44" t="s">
        <v>1123</v>
      </c>
    </row>
    <row r="119" spans="1:25">
      <c r="A119" s="42">
        <v>116</v>
      </c>
      <c r="B119" s="43" t="s">
        <v>1124</v>
      </c>
      <c r="C119" s="44" t="s">
        <v>1125</v>
      </c>
      <c r="D119" s="42" t="s">
        <v>147</v>
      </c>
      <c r="E119" s="42" t="s">
        <v>994</v>
      </c>
      <c r="F119" s="44" t="s">
        <v>314</v>
      </c>
      <c r="G119" s="44" t="s"/>
      <c r="H119" s="44" t="s"/>
      <c r="I119" s="42" t="s">
        <v>1100</v>
      </c>
      <c r="J119" s="44" t="s">
        <v>1126</v>
      </c>
      <c r="K119" s="42" t="s">
        <v>442</v>
      </c>
      <c r="L119" s="42" t="s">
        <v>443</v>
      </c>
      <c r="M119" s="42" t="s">
        <v>444</v>
      </c>
      <c r="N119" s="44" t="s">
        <v>996</v>
      </c>
      <c r="O119" s="42" t="s">
        <v>444</v>
      </c>
      <c r="P119" s="44" t="s">
        <v>1005</v>
      </c>
      <c r="Q119" s="44" t="s">
        <v>1127</v>
      </c>
      <c r="R119" s="42" t="s">
        <v>448</v>
      </c>
      <c r="S119" s="42" t="s">
        <v>1103</v>
      </c>
      <c r="T119" s="42" t="s">
        <v>322</v>
      </c>
      <c r="U119" s="44" t="s">
        <v>999</v>
      </c>
      <c r="V119" s="44" t="s">
        <v>314</v>
      </c>
      <c r="W119" s="45" t="s">
        <v>314</v>
      </c>
      <c r="X119" s="44" t="s">
        <v>1128</v>
      </c>
      <c r="Y119" s="44" t="s">
        <v>1129</v>
      </c>
    </row>
    <row r="120" spans="1:25">
      <c r="A120" s="42">
        <v>117</v>
      </c>
      <c r="B120" s="43" t="s">
        <v>1130</v>
      </c>
      <c r="C120" s="44" t="s">
        <v>1131</v>
      </c>
      <c r="D120" s="42" t="s">
        <v>147</v>
      </c>
      <c r="E120" s="42" t="s">
        <v>994</v>
      </c>
      <c r="F120" s="44" t="s">
        <v>314</v>
      </c>
      <c r="G120" s="44" t="s"/>
      <c r="H120" s="44" t="s"/>
      <c r="I120" s="42" t="s">
        <v>1100</v>
      </c>
      <c r="J120" s="44" t="s">
        <v>1132</v>
      </c>
      <c r="K120" s="42" t="s">
        <v>442</v>
      </c>
      <c r="L120" s="42" t="s">
        <v>443</v>
      </c>
      <c r="M120" s="42" t="s">
        <v>444</v>
      </c>
      <c r="N120" s="44" t="s">
        <v>996</v>
      </c>
      <c r="O120" s="42" t="s">
        <v>444</v>
      </c>
      <c r="P120" s="44" t="s">
        <v>1005</v>
      </c>
      <c r="Q120" s="44" t="s">
        <v>1133</v>
      </c>
      <c r="R120" s="42" t="s">
        <v>448</v>
      </c>
      <c r="S120" s="42" t="s">
        <v>1103</v>
      </c>
      <c r="T120" s="42" t="s">
        <v>322</v>
      </c>
      <c r="U120" s="44" t="s">
        <v>999</v>
      </c>
      <c r="V120" s="44" t="s">
        <v>314</v>
      </c>
      <c r="W120" s="45" t="s">
        <v>314</v>
      </c>
      <c r="X120" s="44" t="s">
        <v>1134</v>
      </c>
      <c r="Y120" s="44" t="s">
        <v>1135</v>
      </c>
    </row>
    <row r="121" spans="1:25">
      <c r="A121" s="42">
        <v>118</v>
      </c>
      <c r="B121" s="43" t="s">
        <v>1136</v>
      </c>
      <c r="C121" s="44" t="s">
        <v>1137</v>
      </c>
      <c r="D121" s="42" t="s">
        <v>147</v>
      </c>
      <c r="E121" s="42" t="s">
        <v>994</v>
      </c>
      <c r="F121" s="44" t="s">
        <v>314</v>
      </c>
      <c r="G121" s="44" t="s"/>
      <c r="H121" s="44" t="s"/>
      <c r="I121" s="42" t="s">
        <v>1100</v>
      </c>
      <c r="J121" s="44" t="s">
        <v>1138</v>
      </c>
      <c r="K121" s="42" t="s">
        <v>901</v>
      </c>
      <c r="L121" s="42" t="s">
        <v>499</v>
      </c>
      <c r="M121" s="42" t="s">
        <v>500</v>
      </c>
      <c r="N121" s="44" t="s">
        <v>996</v>
      </c>
      <c r="O121" s="42" t="s">
        <v>444</v>
      </c>
      <c r="P121" s="44" t="s">
        <v>1005</v>
      </c>
      <c r="Q121" s="44" t="s">
        <v>1139</v>
      </c>
      <c r="R121" s="42" t="s">
        <v>448</v>
      </c>
      <c r="S121" s="42" t="s">
        <v>1103</v>
      </c>
      <c r="T121" s="42" t="s">
        <v>322</v>
      </c>
      <c r="U121" s="44" t="s">
        <v>999</v>
      </c>
      <c r="V121" s="44" t="s">
        <v>314</v>
      </c>
      <c r="W121" s="45" t="s">
        <v>314</v>
      </c>
      <c r="X121" s="44" t="s">
        <v>1140</v>
      </c>
      <c r="Y121" s="44" t="s">
        <v>1141</v>
      </c>
    </row>
    <row r="122" spans="1:25">
      <c r="A122" s="42">
        <v>119</v>
      </c>
      <c r="B122" s="43" t="s">
        <v>1142</v>
      </c>
      <c r="C122" s="44" t="s">
        <v>1143</v>
      </c>
      <c r="D122" s="42" t="s">
        <v>147</v>
      </c>
      <c r="E122" s="42" t="s">
        <v>994</v>
      </c>
      <c r="F122" s="44" t="s">
        <v>314</v>
      </c>
      <c r="G122" s="44" t="s"/>
      <c r="H122" s="44" t="s"/>
      <c r="I122" s="42" t="s">
        <v>1100</v>
      </c>
      <c r="J122" s="44" t="s">
        <v>1144</v>
      </c>
      <c r="K122" s="42" t="s">
        <v>901</v>
      </c>
      <c r="L122" s="42" t="s">
        <v>499</v>
      </c>
      <c r="M122" s="42" t="s">
        <v>500</v>
      </c>
      <c r="N122" s="44" t="s">
        <v>996</v>
      </c>
      <c r="O122" s="42" t="s">
        <v>444</v>
      </c>
      <c r="P122" s="44" t="s">
        <v>1005</v>
      </c>
      <c r="Q122" s="44" t="s">
        <v>1145</v>
      </c>
      <c r="R122" s="42" t="s">
        <v>448</v>
      </c>
      <c r="S122" s="42" t="s">
        <v>1103</v>
      </c>
      <c r="T122" s="42" t="s">
        <v>322</v>
      </c>
      <c r="U122" s="44" t="s">
        <v>999</v>
      </c>
      <c r="V122" s="44" t="s">
        <v>314</v>
      </c>
      <c r="W122" s="45" t="s">
        <v>314</v>
      </c>
      <c r="X122" s="44" t="s">
        <v>1146</v>
      </c>
      <c r="Y122" s="44" t="s">
        <v>1147</v>
      </c>
    </row>
    <row r="123" spans="1:25">
      <c r="A123" s="42">
        <v>120</v>
      </c>
      <c r="B123" s="43" t="s">
        <v>1148</v>
      </c>
      <c r="C123" s="44" t="s">
        <v>1149</v>
      </c>
      <c r="D123" s="42" t="s">
        <v>147</v>
      </c>
      <c r="E123" s="42" t="s">
        <v>994</v>
      </c>
      <c r="F123" s="44" t="s">
        <v>314</v>
      </c>
      <c r="G123" s="44" t="s"/>
      <c r="H123" s="44" t="s"/>
      <c r="I123" s="42" t="s">
        <v>1100</v>
      </c>
      <c r="J123" s="44" t="s">
        <v>1150</v>
      </c>
      <c r="K123" s="42" t="s">
        <v>984</v>
      </c>
      <c r="L123" s="42" t="s">
        <v>1151</v>
      </c>
      <c r="M123" s="42" t="s">
        <v>1152</v>
      </c>
      <c r="N123" s="44" t="s">
        <v>1153</v>
      </c>
      <c r="O123" s="42" t="s">
        <v>314</v>
      </c>
      <c r="P123" s="44" t="s">
        <v>1005</v>
      </c>
      <c r="Q123" s="44" t="s">
        <v>1154</v>
      </c>
      <c r="R123" s="42" t="s">
        <v>448</v>
      </c>
      <c r="S123" s="42" t="s">
        <v>1103</v>
      </c>
      <c r="T123" s="42" t="s">
        <v>322</v>
      </c>
      <c r="U123" s="44" t="s">
        <v>999</v>
      </c>
      <c r="V123" s="44" t="s">
        <v>314</v>
      </c>
      <c r="W123" s="45" t="s">
        <v>314</v>
      </c>
      <c r="X123" s="44" t="s">
        <v>1155</v>
      </c>
      <c r="Y123" s="44" t="s">
        <v>1156</v>
      </c>
    </row>
    <row r="124" spans="1:25">
      <c r="A124" s="42">
        <v>121</v>
      </c>
      <c r="B124" s="43" t="s">
        <v>1157</v>
      </c>
      <c r="C124" s="44" t="s">
        <v>1158</v>
      </c>
      <c r="D124" s="42" t="s">
        <v>147</v>
      </c>
      <c r="E124" s="42" t="s">
        <v>994</v>
      </c>
      <c r="F124" s="44" t="s">
        <v>314</v>
      </c>
      <c r="G124" s="44" t="s"/>
      <c r="H124" s="44" t="s"/>
      <c r="I124" s="42" t="s">
        <v>1100</v>
      </c>
      <c r="J124" s="44" t="s">
        <v>1159</v>
      </c>
      <c r="K124" s="42" t="s">
        <v>314</v>
      </c>
      <c r="L124" s="42" t="s">
        <v>347</v>
      </c>
      <c r="M124" s="42" t="s">
        <v>314</v>
      </c>
      <c r="N124" s="44" t="s">
        <v>1160</v>
      </c>
      <c r="O124" s="42" t="s">
        <v>314</v>
      </c>
      <c r="P124" s="44" t="s">
        <v>1005</v>
      </c>
      <c r="Q124" s="44" t="s">
        <v>1161</v>
      </c>
      <c r="R124" s="42" t="s">
        <v>448</v>
      </c>
      <c r="S124" s="42" t="s">
        <v>1103</v>
      </c>
      <c r="T124" s="42" t="s">
        <v>322</v>
      </c>
      <c r="U124" s="44" t="s">
        <v>999</v>
      </c>
      <c r="V124" s="44" t="s">
        <v>314</v>
      </c>
      <c r="W124" s="45" t="s">
        <v>314</v>
      </c>
      <c r="X124" s="44" t="s">
        <v>1162</v>
      </c>
      <c r="Y124" s="44" t="s">
        <v>1163</v>
      </c>
    </row>
    <row r="125" spans="1:25">
      <c r="A125" s="42">
        <v>122</v>
      </c>
      <c r="B125" s="43" t="s">
        <v>1164</v>
      </c>
      <c r="C125" s="44" t="s">
        <v>1165</v>
      </c>
      <c r="D125" s="42" t="s">
        <v>147</v>
      </c>
      <c r="E125" s="42" t="s">
        <v>994</v>
      </c>
      <c r="F125" s="44" t="s">
        <v>314</v>
      </c>
      <c r="G125" s="44" t="s"/>
      <c r="H125" s="44" t="s"/>
      <c r="I125" s="42" t="s">
        <v>1100</v>
      </c>
      <c r="J125" s="44" t="s">
        <v>1166</v>
      </c>
      <c r="K125" s="42" t="s">
        <v>442</v>
      </c>
      <c r="L125" s="42" t="s">
        <v>443</v>
      </c>
      <c r="M125" s="42" t="s">
        <v>444</v>
      </c>
      <c r="N125" s="44" t="s">
        <v>996</v>
      </c>
      <c r="O125" s="42" t="s">
        <v>444</v>
      </c>
      <c r="P125" s="44" t="s">
        <v>1005</v>
      </c>
      <c r="Q125" s="44" t="s">
        <v>1167</v>
      </c>
      <c r="R125" s="42" t="s">
        <v>448</v>
      </c>
      <c r="S125" s="42" t="s">
        <v>1007</v>
      </c>
      <c r="T125" s="42" t="s">
        <v>434</v>
      </c>
      <c r="U125" s="44" t="s">
        <v>999</v>
      </c>
      <c r="V125" s="44" t="s">
        <v>314</v>
      </c>
      <c r="W125" s="45" t="s">
        <v>314</v>
      </c>
      <c r="X125" s="44" t="s">
        <v>1168</v>
      </c>
      <c r="Y125" s="44" t="s">
        <v>1169</v>
      </c>
    </row>
    <row r="126" spans="1:25">
      <c r="A126" s="42">
        <v>123</v>
      </c>
      <c r="B126" s="43" t="s">
        <v>1170</v>
      </c>
      <c r="C126" s="44" t="s">
        <v>1171</v>
      </c>
      <c r="D126" s="42" t="s">
        <v>147</v>
      </c>
      <c r="E126" s="42" t="s">
        <v>994</v>
      </c>
      <c r="F126" s="44" t="s">
        <v>314</v>
      </c>
      <c r="G126" s="44" t="s"/>
      <c r="H126" s="44" t="s"/>
      <c r="I126" s="42" t="s">
        <v>1100</v>
      </c>
      <c r="J126" s="44" t="s">
        <v>1172</v>
      </c>
      <c r="K126" s="42" t="s">
        <v>442</v>
      </c>
      <c r="L126" s="42" t="s">
        <v>443</v>
      </c>
      <c r="M126" s="42" t="s">
        <v>444</v>
      </c>
      <c r="N126" s="44" t="s">
        <v>996</v>
      </c>
      <c r="O126" s="42" t="s">
        <v>444</v>
      </c>
      <c r="P126" s="44" t="s">
        <v>1005</v>
      </c>
      <c r="Q126" s="44" t="s">
        <v>1173</v>
      </c>
      <c r="R126" s="42" t="s">
        <v>448</v>
      </c>
      <c r="S126" s="42" t="s">
        <v>1007</v>
      </c>
      <c r="T126" s="42" t="s">
        <v>434</v>
      </c>
      <c r="U126" s="44" t="s">
        <v>999</v>
      </c>
      <c r="V126" s="44" t="s">
        <v>314</v>
      </c>
      <c r="W126" s="45" t="s">
        <v>314</v>
      </c>
      <c r="X126" s="44" t="s">
        <v>1168</v>
      </c>
      <c r="Y126" s="44" t="s">
        <v>1169</v>
      </c>
    </row>
    <row r="127" spans="1:25">
      <c r="A127" s="42">
        <v>124</v>
      </c>
      <c r="B127" s="43" t="s">
        <v>1174</v>
      </c>
      <c r="C127" s="44" t="s">
        <v>1175</v>
      </c>
      <c r="D127" s="42" t="s">
        <v>147</v>
      </c>
      <c r="E127" s="42" t="s">
        <v>994</v>
      </c>
      <c r="F127" s="44" t="s">
        <v>314</v>
      </c>
      <c r="G127" s="44" t="s"/>
      <c r="H127" s="44" t="s"/>
      <c r="I127" s="42" t="s">
        <v>1100</v>
      </c>
      <c r="J127" s="44" t="s">
        <v>1176</v>
      </c>
      <c r="K127" s="42" t="s">
        <v>442</v>
      </c>
      <c r="L127" s="42" t="s">
        <v>443</v>
      </c>
      <c r="M127" s="42" t="s">
        <v>444</v>
      </c>
      <c r="N127" s="44" t="s">
        <v>996</v>
      </c>
      <c r="O127" s="42" t="s">
        <v>444</v>
      </c>
      <c r="P127" s="44" t="s">
        <v>1005</v>
      </c>
      <c r="Q127" s="44" t="s">
        <v>1177</v>
      </c>
      <c r="R127" s="42" t="s">
        <v>448</v>
      </c>
      <c r="S127" s="42" t="s">
        <v>1007</v>
      </c>
      <c r="T127" s="42" t="s">
        <v>434</v>
      </c>
      <c r="U127" s="44" t="s">
        <v>999</v>
      </c>
      <c r="V127" s="44" t="s">
        <v>314</v>
      </c>
      <c r="W127" s="45" t="s">
        <v>314</v>
      </c>
      <c r="X127" s="44" t="s">
        <v>1168</v>
      </c>
      <c r="Y127" s="44" t="s">
        <v>1169</v>
      </c>
    </row>
    <row r="128" spans="1:25">
      <c r="A128" s="42">
        <v>125</v>
      </c>
      <c r="B128" s="43" t="s">
        <v>1178</v>
      </c>
      <c r="C128" s="44" t="s">
        <v>1179</v>
      </c>
      <c r="D128" s="42" t="s">
        <v>147</v>
      </c>
      <c r="E128" s="42" t="s">
        <v>994</v>
      </c>
      <c r="F128" s="44" t="s">
        <v>314</v>
      </c>
      <c r="G128" s="44" t="s"/>
      <c r="H128" s="44" t="s"/>
      <c r="I128" s="42" t="s">
        <v>1100</v>
      </c>
      <c r="J128" s="44" t="s">
        <v>1180</v>
      </c>
      <c r="K128" s="42" t="s">
        <v>442</v>
      </c>
      <c r="L128" s="42" t="s">
        <v>443</v>
      </c>
      <c r="M128" s="42" t="s">
        <v>444</v>
      </c>
      <c r="N128" s="44" t="s">
        <v>996</v>
      </c>
      <c r="O128" s="42" t="s">
        <v>444</v>
      </c>
      <c r="P128" s="44" t="s">
        <v>1005</v>
      </c>
      <c r="Q128" s="44" t="s">
        <v>1181</v>
      </c>
      <c r="R128" s="42" t="s">
        <v>448</v>
      </c>
      <c r="S128" s="42" t="s">
        <v>1007</v>
      </c>
      <c r="T128" s="42" t="s">
        <v>434</v>
      </c>
      <c r="U128" s="44" t="s">
        <v>999</v>
      </c>
      <c r="V128" s="44" t="s">
        <v>314</v>
      </c>
      <c r="W128" s="45" t="s">
        <v>314</v>
      </c>
      <c r="X128" s="44" t="s">
        <v>1168</v>
      </c>
      <c r="Y128" s="44" t="s">
        <v>1169</v>
      </c>
    </row>
    <row r="129" spans="1:25">
      <c r="A129" s="42">
        <v>126</v>
      </c>
      <c r="B129" s="43" t="s">
        <v>1182</v>
      </c>
      <c r="C129" s="44" t="s">
        <v>1183</v>
      </c>
      <c r="D129" s="42" t="s">
        <v>147</v>
      </c>
      <c r="E129" s="42" t="s">
        <v>994</v>
      </c>
      <c r="F129" s="44" t="s">
        <v>314</v>
      </c>
      <c r="G129" s="44" t="s"/>
      <c r="H129" s="44" t="s"/>
      <c r="I129" s="42" t="s">
        <v>1100</v>
      </c>
      <c r="J129" s="44" t="s">
        <v>1184</v>
      </c>
      <c r="K129" s="42" t="s">
        <v>442</v>
      </c>
      <c r="L129" s="42" t="s">
        <v>443</v>
      </c>
      <c r="M129" s="42" t="s">
        <v>444</v>
      </c>
      <c r="N129" s="44" t="s">
        <v>996</v>
      </c>
      <c r="O129" s="42" t="s">
        <v>444</v>
      </c>
      <c r="P129" s="44" t="s">
        <v>1005</v>
      </c>
      <c r="Q129" s="44" t="s">
        <v>1185</v>
      </c>
      <c r="R129" s="42" t="s">
        <v>448</v>
      </c>
      <c r="S129" s="42" t="s">
        <v>1007</v>
      </c>
      <c r="T129" s="42" t="s">
        <v>434</v>
      </c>
      <c r="U129" s="44" t="s">
        <v>999</v>
      </c>
      <c r="V129" s="44" t="s">
        <v>314</v>
      </c>
      <c r="W129" s="45" t="s">
        <v>314</v>
      </c>
      <c r="X129" s="44" t="s">
        <v>1168</v>
      </c>
      <c r="Y129" s="44" t="s">
        <v>1169</v>
      </c>
    </row>
    <row r="130" spans="1:25">
      <c r="A130" s="42">
        <v>127</v>
      </c>
      <c r="B130" s="43" t="s">
        <v>1186</v>
      </c>
      <c r="C130" s="44" t="s">
        <v>1187</v>
      </c>
      <c r="D130" s="42" t="s">
        <v>147</v>
      </c>
      <c r="E130" s="42" t="s">
        <v>994</v>
      </c>
      <c r="F130" s="44" t="s">
        <v>314</v>
      </c>
      <c r="G130" s="44" t="s"/>
      <c r="H130" s="44" t="s"/>
      <c r="I130" s="42" t="s">
        <v>1100</v>
      </c>
      <c r="J130" s="44" t="s">
        <v>1188</v>
      </c>
      <c r="K130" s="42" t="s">
        <v>442</v>
      </c>
      <c r="L130" s="42" t="s">
        <v>443</v>
      </c>
      <c r="M130" s="42" t="s">
        <v>444</v>
      </c>
      <c r="N130" s="44" t="s">
        <v>996</v>
      </c>
      <c r="O130" s="42" t="s">
        <v>444</v>
      </c>
      <c r="P130" s="44" t="s">
        <v>1005</v>
      </c>
      <c r="Q130" s="44" t="s">
        <v>1189</v>
      </c>
      <c r="R130" s="42" t="s">
        <v>448</v>
      </c>
      <c r="S130" s="42" t="s">
        <v>1007</v>
      </c>
      <c r="T130" s="42" t="s">
        <v>434</v>
      </c>
      <c r="U130" s="44" t="s">
        <v>999</v>
      </c>
      <c r="V130" s="44" t="s">
        <v>314</v>
      </c>
      <c r="W130" s="45" t="s">
        <v>314</v>
      </c>
      <c r="X130" s="44" t="s">
        <v>1190</v>
      </c>
      <c r="Y130" s="44" t="s">
        <v>1191</v>
      </c>
    </row>
    <row r="131" spans="1:25">
      <c r="A131" s="42">
        <v>128</v>
      </c>
      <c r="B131" s="43" t="s">
        <v>1192</v>
      </c>
      <c r="C131" s="44" t="s">
        <v>1193</v>
      </c>
      <c r="D131" s="42" t="s">
        <v>147</v>
      </c>
      <c r="E131" s="42" t="s">
        <v>994</v>
      </c>
      <c r="F131" s="44" t="s">
        <v>314</v>
      </c>
      <c r="G131" s="44" t="s"/>
      <c r="H131" s="44" t="s"/>
      <c r="I131" s="42" t="s">
        <v>1100</v>
      </c>
      <c r="J131" s="44" t="s">
        <v>1194</v>
      </c>
      <c r="K131" s="42" t="s">
        <v>442</v>
      </c>
      <c r="L131" s="42" t="s">
        <v>443</v>
      </c>
      <c r="M131" s="42" t="s">
        <v>444</v>
      </c>
      <c r="N131" s="44" t="s">
        <v>996</v>
      </c>
      <c r="O131" s="42" t="s">
        <v>444</v>
      </c>
      <c r="P131" s="44" t="s">
        <v>1005</v>
      </c>
      <c r="Q131" s="44" t="s">
        <v>1195</v>
      </c>
      <c r="R131" s="42" t="s">
        <v>448</v>
      </c>
      <c r="S131" s="42" t="s">
        <v>1007</v>
      </c>
      <c r="T131" s="42" t="s">
        <v>434</v>
      </c>
      <c r="U131" s="44" t="s">
        <v>999</v>
      </c>
      <c r="V131" s="44" t="s">
        <v>314</v>
      </c>
      <c r="W131" s="45" t="s">
        <v>314</v>
      </c>
      <c r="X131" s="44" t="s">
        <v>1190</v>
      </c>
      <c r="Y131" s="44" t="s">
        <v>1191</v>
      </c>
    </row>
    <row r="132" spans="1:25">
      <c r="A132" s="42">
        <v>129</v>
      </c>
      <c r="B132" s="43" t="s">
        <v>1196</v>
      </c>
      <c r="C132" s="44" t="s">
        <v>1197</v>
      </c>
      <c r="D132" s="42" t="s">
        <v>147</v>
      </c>
      <c r="E132" s="42" t="s">
        <v>994</v>
      </c>
      <c r="F132" s="44" t="s">
        <v>314</v>
      </c>
      <c r="G132" s="44" t="s"/>
      <c r="H132" s="44" t="s"/>
      <c r="I132" s="42" t="s">
        <v>1100</v>
      </c>
      <c r="J132" s="44" t="s">
        <v>1198</v>
      </c>
      <c r="K132" s="42" t="s">
        <v>442</v>
      </c>
      <c r="L132" s="42" t="s">
        <v>443</v>
      </c>
      <c r="M132" s="42" t="s">
        <v>444</v>
      </c>
      <c r="N132" s="44" t="s">
        <v>996</v>
      </c>
      <c r="O132" s="42" t="s">
        <v>444</v>
      </c>
      <c r="P132" s="44" t="s">
        <v>1005</v>
      </c>
      <c r="Q132" s="44" t="s">
        <v>1199</v>
      </c>
      <c r="R132" s="42" t="s">
        <v>448</v>
      </c>
      <c r="S132" s="42" t="s">
        <v>1007</v>
      </c>
      <c r="T132" s="42" t="s">
        <v>434</v>
      </c>
      <c r="U132" s="44" t="s">
        <v>999</v>
      </c>
      <c r="V132" s="44" t="s">
        <v>314</v>
      </c>
      <c r="W132" s="45" t="s">
        <v>314</v>
      </c>
      <c r="X132" s="44" t="s">
        <v>1190</v>
      </c>
      <c r="Y132" s="44" t="s">
        <v>1191</v>
      </c>
    </row>
    <row r="133" spans="1:25">
      <c r="A133" s="42">
        <v>130</v>
      </c>
      <c r="B133" s="43" t="s">
        <v>1200</v>
      </c>
      <c r="C133" s="44" t="s">
        <v>1201</v>
      </c>
      <c r="D133" s="42" t="s">
        <v>147</v>
      </c>
      <c r="E133" s="42" t="s">
        <v>994</v>
      </c>
      <c r="F133" s="44" t="s">
        <v>314</v>
      </c>
      <c r="G133" s="44" t="s"/>
      <c r="H133" s="44" t="s"/>
      <c r="I133" s="42" t="s">
        <v>1100</v>
      </c>
      <c r="J133" s="44" t="s">
        <v>1202</v>
      </c>
      <c r="K133" s="42" t="s">
        <v>442</v>
      </c>
      <c r="L133" s="42" t="s">
        <v>443</v>
      </c>
      <c r="M133" s="42" t="s">
        <v>444</v>
      </c>
      <c r="N133" s="44" t="s">
        <v>996</v>
      </c>
      <c r="O133" s="42" t="s">
        <v>444</v>
      </c>
      <c r="P133" s="44" t="s">
        <v>1005</v>
      </c>
      <c r="Q133" s="44" t="s">
        <v>1203</v>
      </c>
      <c r="R133" s="42" t="s">
        <v>448</v>
      </c>
      <c r="S133" s="42" t="s">
        <v>1007</v>
      </c>
      <c r="T133" s="42" t="s">
        <v>434</v>
      </c>
      <c r="U133" s="44" t="s">
        <v>999</v>
      </c>
      <c r="V133" s="44" t="s">
        <v>314</v>
      </c>
      <c r="W133" s="45" t="s">
        <v>314</v>
      </c>
      <c r="X133" s="44" t="s">
        <v>1190</v>
      </c>
      <c r="Y133" s="44" t="s">
        <v>1191</v>
      </c>
    </row>
    <row r="134" spans="1:25">
      <c r="A134" s="42">
        <v>131</v>
      </c>
      <c r="B134" s="43" t="s">
        <v>1204</v>
      </c>
      <c r="C134" s="44" t="s">
        <v>1205</v>
      </c>
      <c r="D134" s="42" t="s">
        <v>147</v>
      </c>
      <c r="E134" s="42" t="s">
        <v>994</v>
      </c>
      <c r="F134" s="44" t="s">
        <v>314</v>
      </c>
      <c r="G134" s="44" t="s"/>
      <c r="H134" s="44" t="s"/>
      <c r="I134" s="42" t="s">
        <v>1100</v>
      </c>
      <c r="J134" s="44" t="s">
        <v>1206</v>
      </c>
      <c r="K134" s="42" t="s">
        <v>442</v>
      </c>
      <c r="L134" s="42" t="s">
        <v>443</v>
      </c>
      <c r="M134" s="42" t="s">
        <v>444</v>
      </c>
      <c r="N134" s="44" t="s">
        <v>996</v>
      </c>
      <c r="O134" s="42" t="s">
        <v>444</v>
      </c>
      <c r="P134" s="44" t="s">
        <v>1005</v>
      </c>
      <c r="Q134" s="44" t="s">
        <v>1207</v>
      </c>
      <c r="R134" s="42" t="s">
        <v>448</v>
      </c>
      <c r="S134" s="42" t="s">
        <v>1007</v>
      </c>
      <c r="T134" s="42" t="s">
        <v>434</v>
      </c>
      <c r="U134" s="44" t="s">
        <v>999</v>
      </c>
      <c r="V134" s="44" t="s">
        <v>314</v>
      </c>
      <c r="W134" s="45" t="s">
        <v>314</v>
      </c>
      <c r="X134" s="44" t="s">
        <v>1190</v>
      </c>
      <c r="Y134" s="44" t="s">
        <v>1191</v>
      </c>
    </row>
    <row r="135" spans="1:25">
      <c r="A135" s="42">
        <v>132</v>
      </c>
      <c r="B135" s="43" t="s">
        <v>1208</v>
      </c>
      <c r="C135" s="44" t="s">
        <v>1209</v>
      </c>
      <c r="D135" s="42" t="s">
        <v>147</v>
      </c>
      <c r="E135" s="42" t="s">
        <v>994</v>
      </c>
      <c r="F135" s="44" t="s">
        <v>314</v>
      </c>
      <c r="G135" s="44" t="s"/>
      <c r="H135" s="44" t="s"/>
      <c r="I135" s="42" t="s">
        <v>1210</v>
      </c>
      <c r="J135" s="44" t="s">
        <v>1211</v>
      </c>
      <c r="K135" s="42" t="s">
        <v>885</v>
      </c>
      <c r="L135" s="42" t="s">
        <v>499</v>
      </c>
      <c r="M135" s="42" t="s">
        <v>500</v>
      </c>
      <c r="N135" s="44" t="s">
        <v>996</v>
      </c>
      <c r="O135" s="42" t="s">
        <v>444</v>
      </c>
      <c r="P135" s="44" t="s">
        <v>1005</v>
      </c>
      <c r="Q135" s="44" t="s">
        <v>1212</v>
      </c>
      <c r="R135" s="42" t="s">
        <v>448</v>
      </c>
      <c r="S135" s="42" t="s">
        <v>1103</v>
      </c>
      <c r="T135" s="42" t="s">
        <v>322</v>
      </c>
      <c r="U135" s="44" t="s">
        <v>999</v>
      </c>
      <c r="V135" s="44" t="s">
        <v>314</v>
      </c>
      <c r="W135" s="45" t="s">
        <v>314</v>
      </c>
      <c r="X135" s="44" t="s">
        <v>1213</v>
      </c>
      <c r="Y135" s="44" t="s">
        <v>1214</v>
      </c>
    </row>
    <row r="136" spans="1:25">
      <c r="A136" s="42">
        <v>133</v>
      </c>
      <c r="B136" s="43" t="s">
        <v>1215</v>
      </c>
      <c r="C136" s="44" t="s">
        <v>1216</v>
      </c>
      <c r="D136" s="42" t="s">
        <v>147</v>
      </c>
      <c r="E136" s="42" t="s">
        <v>994</v>
      </c>
      <c r="F136" s="44" t="s">
        <v>314</v>
      </c>
      <c r="G136" s="44" t="s"/>
      <c r="H136" s="44" t="s"/>
      <c r="I136" s="42" t="s">
        <v>1210</v>
      </c>
      <c r="J136" s="44" t="s">
        <v>1217</v>
      </c>
      <c r="K136" s="42" t="s">
        <v>885</v>
      </c>
      <c r="L136" s="42" t="s">
        <v>499</v>
      </c>
      <c r="M136" s="42" t="s">
        <v>500</v>
      </c>
      <c r="N136" s="44" t="s">
        <v>996</v>
      </c>
      <c r="O136" s="42" t="s">
        <v>444</v>
      </c>
      <c r="P136" s="44" t="s">
        <v>1005</v>
      </c>
      <c r="Q136" s="44" t="s">
        <v>1218</v>
      </c>
      <c r="R136" s="42" t="s">
        <v>448</v>
      </c>
      <c r="S136" s="42" t="s">
        <v>1103</v>
      </c>
      <c r="T136" s="42" t="s">
        <v>322</v>
      </c>
      <c r="U136" s="44" t="s">
        <v>999</v>
      </c>
      <c r="V136" s="44" t="s">
        <v>314</v>
      </c>
      <c r="W136" s="45" t="s">
        <v>314</v>
      </c>
      <c r="X136" s="44" t="s">
        <v>1219</v>
      </c>
      <c r="Y136" s="44" t="s">
        <v>1220</v>
      </c>
    </row>
    <row r="137" spans="1:25">
      <c r="A137" s="42">
        <v>134</v>
      </c>
      <c r="B137" s="43" t="s">
        <v>1221</v>
      </c>
      <c r="C137" s="44" t="s">
        <v>1222</v>
      </c>
      <c r="D137" s="42" t="s">
        <v>147</v>
      </c>
      <c r="E137" s="42" t="s">
        <v>994</v>
      </c>
      <c r="F137" s="44" t="s">
        <v>314</v>
      </c>
      <c r="G137" s="44" t="s"/>
      <c r="H137" s="44" t="s"/>
      <c r="I137" s="42" t="s">
        <v>1210</v>
      </c>
      <c r="J137" s="44" t="s">
        <v>1223</v>
      </c>
      <c r="K137" s="42" t="s">
        <v>901</v>
      </c>
      <c r="L137" s="42" t="s">
        <v>499</v>
      </c>
      <c r="M137" s="42" t="s">
        <v>500</v>
      </c>
      <c r="N137" s="44" t="s">
        <v>996</v>
      </c>
      <c r="O137" s="42" t="s">
        <v>444</v>
      </c>
      <c r="P137" s="44" t="s">
        <v>1005</v>
      </c>
      <c r="Q137" s="44" t="s">
        <v>1224</v>
      </c>
      <c r="R137" s="42" t="s">
        <v>448</v>
      </c>
      <c r="S137" s="42" t="s">
        <v>1103</v>
      </c>
      <c r="T137" s="42" t="s">
        <v>322</v>
      </c>
      <c r="U137" s="44" t="s">
        <v>999</v>
      </c>
      <c r="V137" s="44" t="s">
        <v>314</v>
      </c>
      <c r="W137" s="45" t="s">
        <v>314</v>
      </c>
      <c r="X137" s="44" t="s">
        <v>1225</v>
      </c>
      <c r="Y137" s="44" t="s">
        <v>1226</v>
      </c>
    </row>
    <row r="138" spans="1:25">
      <c r="A138" s="42">
        <v>135</v>
      </c>
      <c r="B138" s="43" t="s">
        <v>1227</v>
      </c>
      <c r="C138" s="44" t="s">
        <v>1228</v>
      </c>
      <c r="D138" s="42" t="s">
        <v>147</v>
      </c>
      <c r="E138" s="42" t="s">
        <v>994</v>
      </c>
      <c r="F138" s="44" t="s">
        <v>314</v>
      </c>
      <c r="G138" s="44" t="s"/>
      <c r="H138" s="44" t="s"/>
      <c r="I138" s="42" t="s">
        <v>1210</v>
      </c>
      <c r="J138" s="44" t="s">
        <v>1229</v>
      </c>
      <c r="K138" s="42" t="s">
        <v>901</v>
      </c>
      <c r="L138" s="42" t="s">
        <v>499</v>
      </c>
      <c r="M138" s="42" t="s">
        <v>500</v>
      </c>
      <c r="N138" s="44" t="s">
        <v>996</v>
      </c>
      <c r="O138" s="42" t="s">
        <v>444</v>
      </c>
      <c r="P138" s="44" t="s">
        <v>1005</v>
      </c>
      <c r="Q138" s="44" t="s">
        <v>1230</v>
      </c>
      <c r="R138" s="42" t="s">
        <v>448</v>
      </c>
      <c r="S138" s="42" t="s">
        <v>1103</v>
      </c>
      <c r="T138" s="42" t="s">
        <v>322</v>
      </c>
      <c r="U138" s="44" t="s">
        <v>999</v>
      </c>
      <c r="V138" s="44" t="s">
        <v>314</v>
      </c>
      <c r="W138" s="45" t="s">
        <v>314</v>
      </c>
      <c r="X138" s="44" t="s">
        <v>1231</v>
      </c>
      <c r="Y138" s="44" t="s">
        <v>1232</v>
      </c>
    </row>
    <row r="139" spans="1:25">
      <c r="A139" s="42">
        <v>136</v>
      </c>
      <c r="B139" s="43" t="s">
        <v>1233</v>
      </c>
      <c r="C139" s="44" t="s">
        <v>1234</v>
      </c>
      <c r="D139" s="42" t="s">
        <v>147</v>
      </c>
      <c r="E139" s="42" t="s">
        <v>994</v>
      </c>
      <c r="F139" s="44" t="s">
        <v>314</v>
      </c>
      <c r="G139" s="44" t="s"/>
      <c r="H139" s="44" t="s"/>
      <c r="I139" s="42" t="s">
        <v>1210</v>
      </c>
      <c r="J139" s="44" t="s">
        <v>1235</v>
      </c>
      <c r="K139" s="42" t="s">
        <v>442</v>
      </c>
      <c r="L139" s="42" t="s">
        <v>443</v>
      </c>
      <c r="M139" s="42" t="s">
        <v>444</v>
      </c>
      <c r="N139" s="44" t="s">
        <v>996</v>
      </c>
      <c r="O139" s="42" t="s">
        <v>444</v>
      </c>
      <c r="P139" s="44" t="s">
        <v>1005</v>
      </c>
      <c r="Q139" s="44" t="s">
        <v>1236</v>
      </c>
      <c r="R139" s="42" t="s">
        <v>448</v>
      </c>
      <c r="S139" s="42" t="s">
        <v>1007</v>
      </c>
      <c r="T139" s="42" t="s">
        <v>322</v>
      </c>
      <c r="U139" s="44" t="s">
        <v>999</v>
      </c>
      <c r="V139" s="44" t="s">
        <v>314</v>
      </c>
      <c r="W139" s="45" t="s">
        <v>314</v>
      </c>
      <c r="X139" s="44" t="s">
        <v>1237</v>
      </c>
      <c r="Y139" s="44" t="s">
        <v>1238</v>
      </c>
    </row>
    <row r="140" spans="1:25">
      <c r="A140" s="42">
        <v>137</v>
      </c>
      <c r="B140" s="43" t="s">
        <v>1239</v>
      </c>
      <c r="C140" s="44" t="s">
        <v>1240</v>
      </c>
      <c r="D140" s="42" t="s">
        <v>147</v>
      </c>
      <c r="E140" s="42" t="s">
        <v>994</v>
      </c>
      <c r="F140" s="44" t="s">
        <v>314</v>
      </c>
      <c r="G140" s="44" t="s"/>
      <c r="H140" s="44" t="s"/>
      <c r="I140" s="42" t="s">
        <v>1210</v>
      </c>
      <c r="J140" s="44" t="s">
        <v>1241</v>
      </c>
      <c r="K140" s="42" t="s">
        <v>442</v>
      </c>
      <c r="L140" s="42" t="s">
        <v>443</v>
      </c>
      <c r="M140" s="42" t="s">
        <v>444</v>
      </c>
      <c r="N140" s="44" t="s">
        <v>996</v>
      </c>
      <c r="O140" s="42" t="s">
        <v>444</v>
      </c>
      <c r="P140" s="44" t="s">
        <v>1005</v>
      </c>
      <c r="Q140" s="44" t="s">
        <v>1242</v>
      </c>
      <c r="R140" s="42" t="s">
        <v>448</v>
      </c>
      <c r="S140" s="42" t="s">
        <v>1007</v>
      </c>
      <c r="T140" s="42" t="s">
        <v>322</v>
      </c>
      <c r="U140" s="44" t="s">
        <v>999</v>
      </c>
      <c r="V140" s="44" t="s">
        <v>314</v>
      </c>
      <c r="W140" s="45" t="s">
        <v>314</v>
      </c>
      <c r="X140" s="44" t="s">
        <v>1237</v>
      </c>
      <c r="Y140" s="44" t="s">
        <v>1238</v>
      </c>
    </row>
    <row r="141" spans="1:25">
      <c r="A141" s="42">
        <v>138</v>
      </c>
      <c r="B141" s="43" t="s">
        <v>1243</v>
      </c>
      <c r="C141" s="44" t="s">
        <v>1244</v>
      </c>
      <c r="D141" s="42" t="s">
        <v>147</v>
      </c>
      <c r="E141" s="42" t="s">
        <v>994</v>
      </c>
      <c r="F141" s="44" t="s">
        <v>314</v>
      </c>
      <c r="G141" s="44" t="s"/>
      <c r="H141" s="44" t="s"/>
      <c r="I141" s="42" t="s">
        <v>1210</v>
      </c>
      <c r="J141" s="44" t="s">
        <v>1245</v>
      </c>
      <c r="K141" s="42" t="s">
        <v>442</v>
      </c>
      <c r="L141" s="42" t="s">
        <v>443</v>
      </c>
      <c r="M141" s="42" t="s">
        <v>444</v>
      </c>
      <c r="N141" s="44" t="s">
        <v>996</v>
      </c>
      <c r="O141" s="42" t="s">
        <v>444</v>
      </c>
      <c r="P141" s="44" t="s">
        <v>1005</v>
      </c>
      <c r="Q141" s="44" t="s">
        <v>1246</v>
      </c>
      <c r="R141" s="42" t="s">
        <v>448</v>
      </c>
      <c r="S141" s="42" t="s">
        <v>1007</v>
      </c>
      <c r="T141" s="42" t="s">
        <v>322</v>
      </c>
      <c r="U141" s="44" t="s">
        <v>999</v>
      </c>
      <c r="V141" s="44" t="s">
        <v>314</v>
      </c>
      <c r="W141" s="45" t="s">
        <v>314</v>
      </c>
      <c r="X141" s="44" t="s">
        <v>1237</v>
      </c>
      <c r="Y141" s="44" t="s">
        <v>1238</v>
      </c>
    </row>
    <row r="142" spans="1:25">
      <c r="A142" s="42">
        <v>139</v>
      </c>
      <c r="B142" s="43" t="s">
        <v>1247</v>
      </c>
      <c r="C142" s="44" t="s">
        <v>1248</v>
      </c>
      <c r="D142" s="42" t="s">
        <v>147</v>
      </c>
      <c r="E142" s="42" t="s">
        <v>994</v>
      </c>
      <c r="F142" s="44" t="s">
        <v>314</v>
      </c>
      <c r="G142" s="44" t="s"/>
      <c r="H142" s="44" t="s"/>
      <c r="I142" s="42" t="s">
        <v>1210</v>
      </c>
      <c r="J142" s="44" t="s">
        <v>1249</v>
      </c>
      <c r="K142" s="42" t="s">
        <v>442</v>
      </c>
      <c r="L142" s="42" t="s">
        <v>443</v>
      </c>
      <c r="M142" s="42" t="s">
        <v>444</v>
      </c>
      <c r="N142" s="44" t="s">
        <v>996</v>
      </c>
      <c r="O142" s="42" t="s">
        <v>444</v>
      </c>
      <c r="P142" s="44" t="s">
        <v>1005</v>
      </c>
      <c r="Q142" s="44" t="s">
        <v>1250</v>
      </c>
      <c r="R142" s="42" t="s">
        <v>448</v>
      </c>
      <c r="S142" s="42" t="s">
        <v>1007</v>
      </c>
      <c r="T142" s="42" t="s">
        <v>322</v>
      </c>
      <c r="U142" s="44" t="s">
        <v>999</v>
      </c>
      <c r="V142" s="44" t="s">
        <v>314</v>
      </c>
      <c r="W142" s="45" t="s">
        <v>314</v>
      </c>
      <c r="X142" s="44" t="s">
        <v>1237</v>
      </c>
      <c r="Y142" s="44" t="s">
        <v>1238</v>
      </c>
    </row>
    <row r="143" spans="1:25">
      <c r="A143" s="42">
        <v>140</v>
      </c>
      <c r="B143" s="43" t="s">
        <v>1251</v>
      </c>
      <c r="C143" s="44" t="s">
        <v>1252</v>
      </c>
      <c r="D143" s="42" t="s">
        <v>147</v>
      </c>
      <c r="E143" s="42" t="s">
        <v>994</v>
      </c>
      <c r="F143" s="44" t="s">
        <v>314</v>
      </c>
      <c r="G143" s="44" t="s"/>
      <c r="H143" s="44" t="s"/>
      <c r="I143" s="42" t="s">
        <v>1210</v>
      </c>
      <c r="J143" s="44" t="s">
        <v>1253</v>
      </c>
      <c r="K143" s="42" t="s">
        <v>442</v>
      </c>
      <c r="L143" s="42" t="s">
        <v>443</v>
      </c>
      <c r="M143" s="42" t="s">
        <v>444</v>
      </c>
      <c r="N143" s="44" t="s">
        <v>996</v>
      </c>
      <c r="O143" s="42" t="s">
        <v>444</v>
      </c>
      <c r="P143" s="44" t="s">
        <v>1005</v>
      </c>
      <c r="Q143" s="44" t="s">
        <v>1254</v>
      </c>
      <c r="R143" s="42" t="s">
        <v>448</v>
      </c>
      <c r="S143" s="42" t="s">
        <v>1007</v>
      </c>
      <c r="T143" s="42" t="s">
        <v>322</v>
      </c>
      <c r="U143" s="44" t="s">
        <v>999</v>
      </c>
      <c r="V143" s="44" t="s">
        <v>314</v>
      </c>
      <c r="W143" s="45" t="s">
        <v>314</v>
      </c>
      <c r="X143" s="44" t="s">
        <v>1237</v>
      </c>
      <c r="Y143" s="44" t="s">
        <v>1238</v>
      </c>
    </row>
    <row r="144" spans="1:25">
      <c r="A144" s="42">
        <v>141</v>
      </c>
      <c r="B144" s="43" t="s">
        <v>1255</v>
      </c>
      <c r="C144" s="44" t="s">
        <v>1256</v>
      </c>
      <c r="D144" s="42" t="s">
        <v>147</v>
      </c>
      <c r="E144" s="42" t="s">
        <v>1257</v>
      </c>
      <c r="F144" s="44" t="s">
        <v>314</v>
      </c>
      <c r="G144" s="44" t="s"/>
      <c r="H144" s="44" t="s"/>
      <c r="I144" s="42" t="s">
        <v>1210</v>
      </c>
      <c r="J144" s="44" t="s">
        <v>1258</v>
      </c>
      <c r="K144" s="42" t="s">
        <v>442</v>
      </c>
      <c r="L144" s="42" t="s">
        <v>443</v>
      </c>
      <c r="M144" s="42" t="s">
        <v>444</v>
      </c>
      <c r="N144" s="44" t="s">
        <v>996</v>
      </c>
      <c r="O144" s="42" t="s">
        <v>444</v>
      </c>
      <c r="P144" s="44" t="s">
        <v>537</v>
      </c>
      <c r="Q144" s="44" t="s">
        <v>1259</v>
      </c>
      <c r="R144" s="42" t="s">
        <v>510</v>
      </c>
      <c r="S144" s="42" t="s">
        <v>1007</v>
      </c>
      <c r="T144" s="42" t="s">
        <v>322</v>
      </c>
      <c r="U144" s="44" t="s">
        <v>1023</v>
      </c>
      <c r="V144" s="44" t="s">
        <v>314</v>
      </c>
      <c r="W144" s="45" t="s">
        <v>1259</v>
      </c>
      <c r="X144" s="44" t="s">
        <v>1259</v>
      </c>
      <c r="Y144" s="44" t="s">
        <v>1260</v>
      </c>
    </row>
    <row r="145" spans="1:25">
      <c r="A145" s="42">
        <v>142</v>
      </c>
      <c r="B145" s="43" t="s">
        <v>1261</v>
      </c>
      <c r="C145" s="44" t="s">
        <v>1262</v>
      </c>
      <c r="D145" s="42" t="s">
        <v>99</v>
      </c>
      <c r="E145" s="42" t="s">
        <v>994</v>
      </c>
      <c r="F145" s="44" t="s">
        <v>314</v>
      </c>
      <c r="G145" s="44" t="s"/>
      <c r="H145" s="44" t="s"/>
      <c r="I145" s="42" t="s">
        <v>1263</v>
      </c>
      <c r="J145" s="44" t="s">
        <v>1264</v>
      </c>
      <c r="K145" s="42" t="s">
        <v>885</v>
      </c>
      <c r="L145" s="42" t="s">
        <v>499</v>
      </c>
      <c r="M145" s="42" t="s">
        <v>500</v>
      </c>
      <c r="N145" s="44" t="s">
        <v>996</v>
      </c>
      <c r="O145" s="42" t="s">
        <v>444</v>
      </c>
      <c r="P145" s="44" t="s">
        <v>997</v>
      </c>
      <c r="Q145" s="44" t="s">
        <v>1265</v>
      </c>
      <c r="R145" s="42" t="s">
        <v>740</v>
      </c>
      <c r="S145" s="42" t="s">
        <v>426</v>
      </c>
      <c r="T145" s="42" t="s">
        <v>322</v>
      </c>
      <c r="U145" s="44" t="s">
        <v>999</v>
      </c>
      <c r="V145" s="44" t="s">
        <v>465</v>
      </c>
      <c r="W145" s="45" t="s">
        <v>314</v>
      </c>
      <c r="X145" s="44" t="s">
        <v>1266</v>
      </c>
      <c r="Y145" s="44" t="s">
        <v>1267</v>
      </c>
    </row>
    <row r="146" spans="1:25">
      <c r="A146" s="42">
        <v>143</v>
      </c>
      <c r="B146" s="43" t="s">
        <v>1268</v>
      </c>
      <c r="C146" s="44" t="s">
        <v>1269</v>
      </c>
      <c r="D146" s="42" t="s">
        <v>99</v>
      </c>
      <c r="E146" s="42" t="s">
        <v>994</v>
      </c>
      <c r="F146" s="44" t="s">
        <v>314</v>
      </c>
      <c r="G146" s="44" t="s"/>
      <c r="H146" s="44" t="s"/>
      <c r="I146" s="42" t="s">
        <v>1263</v>
      </c>
      <c r="J146" s="44" t="s">
        <v>1270</v>
      </c>
      <c r="K146" s="42" t="s">
        <v>1271</v>
      </c>
      <c r="L146" s="42" t="s">
        <v>443</v>
      </c>
      <c r="M146" s="42" t="s">
        <v>444</v>
      </c>
      <c r="N146" s="44" t="s">
        <v>996</v>
      </c>
      <c r="O146" s="42" t="s">
        <v>444</v>
      </c>
      <c r="P146" s="44" t="s">
        <v>997</v>
      </c>
      <c r="Q146" s="44" t="s">
        <v>1272</v>
      </c>
      <c r="R146" s="42" t="s">
        <v>740</v>
      </c>
      <c r="S146" s="42" t="s">
        <v>426</v>
      </c>
      <c r="T146" s="42" t="s">
        <v>322</v>
      </c>
      <c r="U146" s="44" t="s">
        <v>999</v>
      </c>
      <c r="V146" s="44" t="s">
        <v>465</v>
      </c>
      <c r="W146" s="45" t="s">
        <v>314</v>
      </c>
      <c r="X146" s="44" t="s">
        <v>1273</v>
      </c>
      <c r="Y146" s="44" t="s">
        <v>1274</v>
      </c>
    </row>
    <row r="147" spans="1:25">
      <c r="A147" s="42">
        <v>144</v>
      </c>
      <c r="B147" s="43" t="s">
        <v>1275</v>
      </c>
      <c r="C147" s="44" t="s">
        <v>1276</v>
      </c>
      <c r="D147" s="42" t="s">
        <v>147</v>
      </c>
      <c r="E147" s="42" t="s">
        <v>994</v>
      </c>
      <c r="F147" s="44" t="s">
        <v>314</v>
      </c>
      <c r="G147" s="44" t="s"/>
      <c r="H147" s="44" t="s"/>
      <c r="I147" s="42" t="s">
        <v>1277</v>
      </c>
      <c r="J147" s="44" t="s">
        <v>1278</v>
      </c>
      <c r="K147" s="42" t="s">
        <v>738</v>
      </c>
      <c r="L147" s="42" t="s">
        <v>499</v>
      </c>
      <c r="M147" s="42" t="s">
        <v>500</v>
      </c>
      <c r="N147" s="44" t="s">
        <v>996</v>
      </c>
      <c r="O147" s="42" t="s">
        <v>444</v>
      </c>
      <c r="P147" s="44" t="s">
        <v>1005</v>
      </c>
      <c r="Q147" s="44" t="s">
        <v>1279</v>
      </c>
      <c r="R147" s="42" t="s">
        <v>320</v>
      </c>
      <c r="S147" s="42" t="s">
        <v>1103</v>
      </c>
      <c r="T147" s="42" t="s">
        <v>434</v>
      </c>
      <c r="U147" s="44" t="s">
        <v>1280</v>
      </c>
      <c r="V147" s="44" t="s">
        <v>314</v>
      </c>
      <c r="W147" s="45" t="s">
        <v>314</v>
      </c>
      <c r="X147" s="44" t="s">
        <v>1281</v>
      </c>
      <c r="Y147" s="44" t="s">
        <v>1282</v>
      </c>
    </row>
    <row r="148" spans="1:25">
      <c r="A148" s="42">
        <v>145</v>
      </c>
      <c r="B148" s="43" t="s">
        <v>1283</v>
      </c>
      <c r="C148" s="44" t="s">
        <v>1284</v>
      </c>
      <c r="D148" s="42" t="s">
        <v>147</v>
      </c>
      <c r="E148" s="42" t="s">
        <v>994</v>
      </c>
      <c r="F148" s="44" t="s">
        <v>314</v>
      </c>
      <c r="G148" s="44" t="s"/>
      <c r="H148" s="44" t="s"/>
      <c r="I148" s="42" t="s">
        <v>1277</v>
      </c>
      <c r="J148" s="44" t="s">
        <v>1285</v>
      </c>
      <c r="K148" s="42" t="s">
        <v>738</v>
      </c>
      <c r="L148" s="42" t="s">
        <v>499</v>
      </c>
      <c r="M148" s="42" t="s">
        <v>500</v>
      </c>
      <c r="N148" s="44" t="s">
        <v>996</v>
      </c>
      <c r="O148" s="42" t="s">
        <v>444</v>
      </c>
      <c r="P148" s="44" t="s">
        <v>1005</v>
      </c>
      <c r="Q148" s="44" t="s">
        <v>1286</v>
      </c>
      <c r="R148" s="42" t="s">
        <v>320</v>
      </c>
      <c r="S148" s="42" t="s">
        <v>1103</v>
      </c>
      <c r="T148" s="42" t="s">
        <v>434</v>
      </c>
      <c r="U148" s="44" t="s">
        <v>1280</v>
      </c>
      <c r="V148" s="44" t="s">
        <v>314</v>
      </c>
      <c r="W148" s="45" t="s">
        <v>314</v>
      </c>
      <c r="X148" s="44" t="s">
        <v>1287</v>
      </c>
      <c r="Y148" s="44" t="s">
        <v>1288</v>
      </c>
    </row>
    <row r="149" spans="1:25">
      <c r="A149" s="42">
        <v>146</v>
      </c>
      <c r="B149" s="43" t="s">
        <v>1289</v>
      </c>
      <c r="C149" s="44" t="s">
        <v>1290</v>
      </c>
      <c r="D149" s="42" t="s">
        <v>147</v>
      </c>
      <c r="E149" s="42" t="s">
        <v>994</v>
      </c>
      <c r="F149" s="44" t="s">
        <v>314</v>
      </c>
      <c r="G149" s="44" t="s"/>
      <c r="H149" s="44" t="s"/>
      <c r="I149" s="42" t="s">
        <v>1277</v>
      </c>
      <c r="J149" s="44" t="s">
        <v>1291</v>
      </c>
      <c r="K149" s="42" t="s">
        <v>1292</v>
      </c>
      <c r="L149" s="42" t="s">
        <v>499</v>
      </c>
      <c r="M149" s="42" t="s">
        <v>500</v>
      </c>
      <c r="N149" s="44" t="s">
        <v>996</v>
      </c>
      <c r="O149" s="42" t="s">
        <v>444</v>
      </c>
      <c r="P149" s="44" t="s">
        <v>1005</v>
      </c>
      <c r="Q149" s="44" t="s">
        <v>1293</v>
      </c>
      <c r="R149" s="42" t="s">
        <v>448</v>
      </c>
      <c r="S149" s="42" t="s">
        <v>1103</v>
      </c>
      <c r="T149" s="42" t="s">
        <v>434</v>
      </c>
      <c r="U149" s="44" t="s">
        <v>1280</v>
      </c>
      <c r="V149" s="44" t="s">
        <v>314</v>
      </c>
      <c r="W149" s="45" t="s">
        <v>314</v>
      </c>
      <c r="X149" s="44" t="s">
        <v>996</v>
      </c>
      <c r="Y149" s="44" t="s">
        <v>1294</v>
      </c>
    </row>
    <row r="150" spans="1:25">
      <c r="A150" s="42">
        <v>147</v>
      </c>
      <c r="B150" s="43" t="s">
        <v>1295</v>
      </c>
      <c r="C150" s="44" t="s">
        <v>1296</v>
      </c>
      <c r="D150" s="42" t="s">
        <v>1297</v>
      </c>
      <c r="E150" s="42" t="s">
        <v>994</v>
      </c>
      <c r="F150" s="44" t="s">
        <v>314</v>
      </c>
      <c r="G150" s="44" t="s"/>
      <c r="H150" s="44" t="s"/>
      <c r="I150" s="42" t="s">
        <v>1298</v>
      </c>
      <c r="J150" s="44" t="s">
        <v>1299</v>
      </c>
      <c r="K150" s="42" t="s">
        <v>901</v>
      </c>
      <c r="L150" s="42" t="s">
        <v>499</v>
      </c>
      <c r="M150" s="42" t="s">
        <v>500</v>
      </c>
      <c r="N150" s="44" t="s">
        <v>996</v>
      </c>
      <c r="O150" s="42" t="s">
        <v>444</v>
      </c>
      <c r="P150" s="44" t="s">
        <v>1005</v>
      </c>
      <c r="Q150" s="44" t="s">
        <v>1300</v>
      </c>
      <c r="R150" s="42" t="s">
        <v>448</v>
      </c>
      <c r="S150" s="42" t="s">
        <v>1103</v>
      </c>
      <c r="T150" s="42" t="s">
        <v>434</v>
      </c>
      <c r="U150" s="44" t="s">
        <v>1301</v>
      </c>
      <c r="V150" s="44" t="s">
        <v>314</v>
      </c>
      <c r="W150" s="45" t="s">
        <v>314</v>
      </c>
      <c r="X150" s="44" t="s">
        <v>1302</v>
      </c>
      <c r="Y150" s="44" t="s">
        <v>1303</v>
      </c>
    </row>
    <row r="151" spans="1:25">
      <c r="A151" s="42">
        <v>148</v>
      </c>
      <c r="B151" s="43" t="s">
        <v>1304</v>
      </c>
      <c r="C151" s="44" t="s">
        <v>1305</v>
      </c>
      <c r="D151" s="42" t="s">
        <v>1297</v>
      </c>
      <c r="E151" s="42" t="s">
        <v>994</v>
      </c>
      <c r="F151" s="44" t="s">
        <v>314</v>
      </c>
      <c r="G151" s="44" t="s"/>
      <c r="H151" s="44" t="s"/>
      <c r="I151" s="42" t="s">
        <v>1298</v>
      </c>
      <c r="J151" s="44" t="s">
        <v>1306</v>
      </c>
      <c r="K151" s="42" t="s">
        <v>442</v>
      </c>
      <c r="L151" s="42" t="s">
        <v>443</v>
      </c>
      <c r="M151" s="42" t="s">
        <v>444</v>
      </c>
      <c r="N151" s="44" t="s">
        <v>996</v>
      </c>
      <c r="O151" s="42" t="s">
        <v>444</v>
      </c>
      <c r="P151" s="44" t="s">
        <v>1005</v>
      </c>
      <c r="Q151" s="44" t="s">
        <v>1307</v>
      </c>
      <c r="R151" s="42" t="s">
        <v>448</v>
      </c>
      <c r="S151" s="42" t="s">
        <v>1103</v>
      </c>
      <c r="T151" s="42" t="s">
        <v>434</v>
      </c>
      <c r="U151" s="44" t="s">
        <v>1301</v>
      </c>
      <c r="V151" s="44" t="s">
        <v>314</v>
      </c>
      <c r="W151" s="45" t="s">
        <v>314</v>
      </c>
      <c r="X151" s="44" t="s">
        <v>1308</v>
      </c>
      <c r="Y151" s="44" t="s">
        <v>1309</v>
      </c>
    </row>
    <row r="152" spans="1:25">
      <c r="A152" s="42">
        <v>149</v>
      </c>
      <c r="B152" s="43" t="s">
        <v>1310</v>
      </c>
      <c r="C152" s="44" t="s">
        <v>1311</v>
      </c>
      <c r="D152" s="42" t="s">
        <v>1297</v>
      </c>
      <c r="E152" s="42" t="s">
        <v>994</v>
      </c>
      <c r="F152" s="44" t="s">
        <v>314</v>
      </c>
      <c r="G152" s="44" t="s"/>
      <c r="H152" s="44" t="s"/>
      <c r="I152" s="42" t="s">
        <v>1298</v>
      </c>
      <c r="J152" s="44" t="s">
        <v>1312</v>
      </c>
      <c r="K152" s="42" t="s">
        <v>442</v>
      </c>
      <c r="L152" s="42" t="s">
        <v>443</v>
      </c>
      <c r="M152" s="42" t="s">
        <v>444</v>
      </c>
      <c r="N152" s="44" t="s">
        <v>996</v>
      </c>
      <c r="O152" s="42" t="s">
        <v>444</v>
      </c>
      <c r="P152" s="44" t="s">
        <v>1005</v>
      </c>
      <c r="Q152" s="44" t="s">
        <v>1313</v>
      </c>
      <c r="R152" s="42" t="s">
        <v>448</v>
      </c>
      <c r="S152" s="42" t="s">
        <v>1007</v>
      </c>
      <c r="T152" s="42" t="s">
        <v>434</v>
      </c>
      <c r="U152" s="44" t="s">
        <v>1301</v>
      </c>
      <c r="V152" s="44" t="s">
        <v>314</v>
      </c>
      <c r="W152" s="45" t="s">
        <v>314</v>
      </c>
      <c r="X152" s="44" t="s">
        <v>996</v>
      </c>
      <c r="Y152" s="44" t="s">
        <v>1314</v>
      </c>
    </row>
    <row r="153" spans="1:25">
      <c r="A153" s="42">
        <v>150</v>
      </c>
      <c r="B153" s="43" t="s">
        <v>1315</v>
      </c>
      <c r="C153" s="44" t="s">
        <v>1316</v>
      </c>
      <c r="D153" s="42" t="s">
        <v>1297</v>
      </c>
      <c r="E153" s="42" t="s">
        <v>994</v>
      </c>
      <c r="F153" s="44" t="s">
        <v>314</v>
      </c>
      <c r="G153" s="44" t="s"/>
      <c r="H153" s="44" t="s"/>
      <c r="I153" s="42" t="s">
        <v>1298</v>
      </c>
      <c r="J153" s="44" t="s">
        <v>1317</v>
      </c>
      <c r="K153" s="42" t="s">
        <v>442</v>
      </c>
      <c r="L153" s="42" t="s">
        <v>443</v>
      </c>
      <c r="M153" s="42" t="s">
        <v>444</v>
      </c>
      <c r="N153" s="44" t="s">
        <v>996</v>
      </c>
      <c r="O153" s="42" t="s">
        <v>444</v>
      </c>
      <c r="P153" s="44" t="s">
        <v>1005</v>
      </c>
      <c r="Q153" s="44" t="s">
        <v>1318</v>
      </c>
      <c r="R153" s="42" t="s">
        <v>448</v>
      </c>
      <c r="S153" s="42" t="s">
        <v>1007</v>
      </c>
      <c r="T153" s="42" t="s">
        <v>434</v>
      </c>
      <c r="U153" s="44" t="s">
        <v>1301</v>
      </c>
      <c r="V153" s="44" t="s">
        <v>314</v>
      </c>
      <c r="W153" s="45" t="s">
        <v>314</v>
      </c>
      <c r="X153" s="44" t="s">
        <v>996</v>
      </c>
      <c r="Y153" s="44" t="s">
        <v>1314</v>
      </c>
    </row>
    <row r="154" spans="1:25">
      <c r="A154" s="42">
        <v>151</v>
      </c>
      <c r="B154" s="43" t="s">
        <v>1319</v>
      </c>
      <c r="C154" s="44" t="s">
        <v>1320</v>
      </c>
      <c r="D154" s="42" t="s">
        <v>1297</v>
      </c>
      <c r="E154" s="42" t="s">
        <v>994</v>
      </c>
      <c r="F154" s="44" t="s">
        <v>314</v>
      </c>
      <c r="G154" s="44" t="s"/>
      <c r="H154" s="44" t="s"/>
      <c r="I154" s="42" t="s">
        <v>1298</v>
      </c>
      <c r="J154" s="44" t="s">
        <v>1321</v>
      </c>
      <c r="K154" s="42" t="s">
        <v>442</v>
      </c>
      <c r="L154" s="42" t="s">
        <v>443</v>
      </c>
      <c r="M154" s="42" t="s">
        <v>444</v>
      </c>
      <c r="N154" s="44" t="s">
        <v>996</v>
      </c>
      <c r="O154" s="42" t="s">
        <v>444</v>
      </c>
      <c r="P154" s="44" t="s">
        <v>1005</v>
      </c>
      <c r="Q154" s="44" t="s">
        <v>1322</v>
      </c>
      <c r="R154" s="42" t="s">
        <v>448</v>
      </c>
      <c r="S154" s="42" t="s">
        <v>1007</v>
      </c>
      <c r="T154" s="42" t="s">
        <v>434</v>
      </c>
      <c r="U154" s="44" t="s">
        <v>1301</v>
      </c>
      <c r="V154" s="44" t="s">
        <v>314</v>
      </c>
      <c r="W154" s="45" t="s">
        <v>314</v>
      </c>
      <c r="X154" s="44" t="s">
        <v>996</v>
      </c>
      <c r="Y154" s="44" t="s">
        <v>1314</v>
      </c>
    </row>
    <row r="155" spans="1:25">
      <c r="A155" s="42">
        <v>152</v>
      </c>
      <c r="B155" s="43" t="s">
        <v>1323</v>
      </c>
      <c r="C155" s="44" t="s">
        <v>1324</v>
      </c>
      <c r="D155" s="42" t="s">
        <v>1297</v>
      </c>
      <c r="E155" s="42" t="s">
        <v>994</v>
      </c>
      <c r="F155" s="44" t="s">
        <v>314</v>
      </c>
      <c r="G155" s="44" t="s"/>
      <c r="H155" s="44" t="s"/>
      <c r="I155" s="42" t="s">
        <v>1298</v>
      </c>
      <c r="J155" s="44" t="s">
        <v>1325</v>
      </c>
      <c r="K155" s="42" t="s">
        <v>442</v>
      </c>
      <c r="L155" s="42" t="s">
        <v>443</v>
      </c>
      <c r="M155" s="42" t="s">
        <v>444</v>
      </c>
      <c r="N155" s="44" t="s">
        <v>996</v>
      </c>
      <c r="O155" s="42" t="s">
        <v>444</v>
      </c>
      <c r="P155" s="44" t="s">
        <v>1005</v>
      </c>
      <c r="Q155" s="44" t="s">
        <v>1326</v>
      </c>
      <c r="R155" s="42" t="s">
        <v>448</v>
      </c>
      <c r="S155" s="42" t="s">
        <v>1007</v>
      </c>
      <c r="T155" s="42" t="s">
        <v>434</v>
      </c>
      <c r="U155" s="44" t="s">
        <v>1301</v>
      </c>
      <c r="V155" s="44" t="s">
        <v>314</v>
      </c>
      <c r="W155" s="45" t="s">
        <v>314</v>
      </c>
      <c r="X155" s="44" t="s">
        <v>996</v>
      </c>
      <c r="Y155" s="44" t="s">
        <v>1314</v>
      </c>
    </row>
    <row r="156" spans="1:25">
      <c r="A156" s="42">
        <v>153</v>
      </c>
      <c r="B156" s="43" t="s">
        <v>1327</v>
      </c>
      <c r="C156" s="44" t="s">
        <v>1328</v>
      </c>
      <c r="D156" s="42" t="s">
        <v>1297</v>
      </c>
      <c r="E156" s="42" t="s">
        <v>994</v>
      </c>
      <c r="F156" s="44" t="s">
        <v>314</v>
      </c>
      <c r="G156" s="44" t="s"/>
      <c r="H156" s="44" t="s"/>
      <c r="I156" s="42" t="s">
        <v>1298</v>
      </c>
      <c r="J156" s="44" t="s">
        <v>1329</v>
      </c>
      <c r="K156" s="42" t="s">
        <v>442</v>
      </c>
      <c r="L156" s="42" t="s">
        <v>443</v>
      </c>
      <c r="M156" s="42" t="s">
        <v>444</v>
      </c>
      <c r="N156" s="44" t="s">
        <v>996</v>
      </c>
      <c r="O156" s="42" t="s">
        <v>444</v>
      </c>
      <c r="P156" s="44" t="s">
        <v>1005</v>
      </c>
      <c r="Q156" s="44" t="s">
        <v>1330</v>
      </c>
      <c r="R156" s="42" t="s">
        <v>448</v>
      </c>
      <c r="S156" s="42" t="s">
        <v>1007</v>
      </c>
      <c r="T156" s="42" t="s">
        <v>434</v>
      </c>
      <c r="U156" s="44" t="s">
        <v>1301</v>
      </c>
      <c r="V156" s="44" t="s">
        <v>314</v>
      </c>
      <c r="W156" s="45" t="s">
        <v>314</v>
      </c>
      <c r="X156" s="44" t="s">
        <v>996</v>
      </c>
      <c r="Y156" s="44" t="s">
        <v>1314</v>
      </c>
    </row>
    <row r="157" spans="1:25">
      <c r="A157" s="42">
        <v>154</v>
      </c>
      <c r="B157" s="43" t="s">
        <v>1331</v>
      </c>
      <c r="C157" s="44" t="s">
        <v>1332</v>
      </c>
      <c r="D157" s="42" t="s">
        <v>1297</v>
      </c>
      <c r="E157" s="42" t="s">
        <v>1049</v>
      </c>
      <c r="F157" s="44" t="s">
        <v>314</v>
      </c>
      <c r="G157" s="44" t="s"/>
      <c r="H157" s="44" t="s"/>
      <c r="I157" s="42" t="s">
        <v>1298</v>
      </c>
      <c r="J157" s="44" t="s">
        <v>1333</v>
      </c>
      <c r="K157" s="42" t="s">
        <v>901</v>
      </c>
      <c r="L157" s="42" t="s">
        <v>499</v>
      </c>
      <c r="M157" s="42" t="s">
        <v>500</v>
      </c>
      <c r="N157" s="44" t="s">
        <v>1053</v>
      </c>
      <c r="O157" s="42" t="s">
        <v>314</v>
      </c>
      <c r="P157" s="44" t="s">
        <v>997</v>
      </c>
      <c r="Q157" s="44" t="s">
        <v>1334</v>
      </c>
      <c r="R157" s="42" t="s">
        <v>740</v>
      </c>
      <c r="S157" s="42" t="s">
        <v>1055</v>
      </c>
      <c r="T157" s="42" t="s">
        <v>322</v>
      </c>
      <c r="U157" s="44" t="s">
        <v>1301</v>
      </c>
      <c r="V157" s="44" t="s">
        <v>314</v>
      </c>
      <c r="W157" s="45" t="s">
        <v>314</v>
      </c>
      <c r="X157" s="44" t="s">
        <v>1335</v>
      </c>
      <c r="Y157" s="44" t="s">
        <v>1336</v>
      </c>
    </row>
    <row r="158" spans="1:25">
      <c r="A158" s="42">
        <v>155</v>
      </c>
      <c r="B158" s="43" t="s">
        <v>1337</v>
      </c>
      <c r="C158" s="44" t="s">
        <v>1338</v>
      </c>
      <c r="D158" s="42" t="s">
        <v>1297</v>
      </c>
      <c r="E158" s="42" t="s">
        <v>994</v>
      </c>
      <c r="F158" s="44" t="s">
        <v>314</v>
      </c>
      <c r="G158" s="44" t="s"/>
      <c r="H158" s="44" t="s"/>
      <c r="I158" s="42" t="s">
        <v>1298</v>
      </c>
      <c r="J158" s="44" t="s">
        <v>1339</v>
      </c>
      <c r="K158" s="42" t="s">
        <v>1340</v>
      </c>
      <c r="L158" s="42" t="s">
        <v>499</v>
      </c>
      <c r="M158" s="42" t="s">
        <v>500</v>
      </c>
      <c r="N158" s="44" t="s">
        <v>996</v>
      </c>
      <c r="O158" s="42" t="s">
        <v>444</v>
      </c>
      <c r="P158" s="44" t="s">
        <v>1005</v>
      </c>
      <c r="Q158" s="44" t="s">
        <v>1341</v>
      </c>
      <c r="R158" s="42" t="s">
        <v>448</v>
      </c>
      <c r="S158" s="42" t="s">
        <v>1103</v>
      </c>
      <c r="T158" s="42" t="s">
        <v>434</v>
      </c>
      <c r="U158" s="44" t="s">
        <v>1301</v>
      </c>
      <c r="V158" s="44" t="s">
        <v>314</v>
      </c>
      <c r="W158" s="45" t="s">
        <v>314</v>
      </c>
      <c r="X158" s="44" t="s">
        <v>996</v>
      </c>
      <c r="Y158" s="44" t="s">
        <v>1342</v>
      </c>
    </row>
    <row r="159" spans="1:25">
      <c r="A159" s="42">
        <v>156</v>
      </c>
      <c r="B159" s="43" t="s">
        <v>1343</v>
      </c>
      <c r="C159" s="44" t="s">
        <v>1344</v>
      </c>
      <c r="D159" s="42" t="s">
        <v>1297</v>
      </c>
      <c r="E159" s="42" t="s">
        <v>994</v>
      </c>
      <c r="F159" s="44" t="s">
        <v>314</v>
      </c>
      <c r="G159" s="44" t="s"/>
      <c r="H159" s="44" t="s"/>
      <c r="I159" s="42" t="s">
        <v>1298</v>
      </c>
      <c r="J159" s="44" t="s">
        <v>1345</v>
      </c>
      <c r="K159" s="42" t="s">
        <v>498</v>
      </c>
      <c r="L159" s="42" t="s">
        <v>522</v>
      </c>
      <c r="M159" s="42" t="s">
        <v>523</v>
      </c>
      <c r="N159" s="44" t="s">
        <v>996</v>
      </c>
      <c r="O159" s="42" t="s">
        <v>444</v>
      </c>
      <c r="P159" s="44" t="s">
        <v>1005</v>
      </c>
      <c r="Q159" s="44" t="s">
        <v>1346</v>
      </c>
      <c r="R159" s="42" t="s">
        <v>448</v>
      </c>
      <c r="S159" s="42" t="s">
        <v>1103</v>
      </c>
      <c r="T159" s="42" t="s">
        <v>434</v>
      </c>
      <c r="U159" s="44" t="s">
        <v>1301</v>
      </c>
      <c r="V159" s="44" t="s">
        <v>314</v>
      </c>
      <c r="W159" s="45" t="s">
        <v>314</v>
      </c>
      <c r="X159" s="44" t="s">
        <v>1347</v>
      </c>
      <c r="Y159" s="44" t="s">
        <v>1348</v>
      </c>
    </row>
    <row r="160" spans="1:25">
      <c r="A160" s="42">
        <v>157</v>
      </c>
      <c r="B160" s="43" t="s">
        <v>1349</v>
      </c>
      <c r="C160" s="44" t="s">
        <v>1350</v>
      </c>
      <c r="D160" s="42" t="s">
        <v>163</v>
      </c>
      <c r="E160" s="42" t="s">
        <v>994</v>
      </c>
      <c r="F160" s="44" t="s">
        <v>314</v>
      </c>
      <c r="G160" s="44" t="s"/>
      <c r="H160" s="44" t="s"/>
      <c r="I160" s="42" t="s">
        <v>1351</v>
      </c>
      <c r="J160" s="44" t="s">
        <v>1352</v>
      </c>
      <c r="K160" s="42" t="s">
        <v>314</v>
      </c>
      <c r="L160" s="42" t="s">
        <v>347</v>
      </c>
      <c r="M160" s="42" t="s">
        <v>314</v>
      </c>
      <c r="N160" s="44" t="s">
        <v>1353</v>
      </c>
      <c r="O160" s="42" t="s">
        <v>314</v>
      </c>
      <c r="P160" s="44" t="s">
        <v>1005</v>
      </c>
      <c r="Q160" s="44" t="s">
        <v>1354</v>
      </c>
      <c r="R160" s="42" t="s">
        <v>510</v>
      </c>
      <c r="S160" s="42" t="s">
        <v>1103</v>
      </c>
      <c r="T160" s="42" t="s">
        <v>434</v>
      </c>
      <c r="U160" s="44" t="s">
        <v>1301</v>
      </c>
      <c r="V160" s="44" t="s">
        <v>314</v>
      </c>
      <c r="W160" s="45" t="s">
        <v>314</v>
      </c>
      <c r="X160" s="44" t="s">
        <v>1355</v>
      </c>
      <c r="Y160" s="44" t="s">
        <v>1356</v>
      </c>
    </row>
    <row r="161" spans="1:25">
      <c r="A161" s="42">
        <v>158</v>
      </c>
      <c r="B161" s="43" t="s">
        <v>1357</v>
      </c>
      <c r="C161" s="44" t="s">
        <v>1358</v>
      </c>
      <c r="D161" s="42" t="s">
        <v>163</v>
      </c>
      <c r="E161" s="42" t="s">
        <v>994</v>
      </c>
      <c r="F161" s="44" t="s">
        <v>314</v>
      </c>
      <c r="G161" s="44" t="s"/>
      <c r="H161" s="44" t="s"/>
      <c r="I161" s="42" t="s">
        <v>1351</v>
      </c>
      <c r="J161" s="44" t="s">
        <v>1359</v>
      </c>
      <c r="K161" s="42" t="s">
        <v>1360</v>
      </c>
      <c r="L161" s="42" t="s">
        <v>499</v>
      </c>
      <c r="M161" s="42" t="s">
        <v>500</v>
      </c>
      <c r="N161" s="44" t="s">
        <v>1361</v>
      </c>
      <c r="O161" s="42" t="s">
        <v>314</v>
      </c>
      <c r="P161" s="44" t="s">
        <v>1005</v>
      </c>
      <c r="Q161" s="44" t="s">
        <v>1362</v>
      </c>
      <c r="R161" s="42" t="s">
        <v>448</v>
      </c>
      <c r="S161" s="42" t="s">
        <v>1103</v>
      </c>
      <c r="T161" s="42" t="s">
        <v>434</v>
      </c>
      <c r="U161" s="44" t="s">
        <v>1301</v>
      </c>
      <c r="V161" s="44" t="s">
        <v>314</v>
      </c>
      <c r="W161" s="45" t="s">
        <v>314</v>
      </c>
      <c r="X161" s="44" t="s">
        <v>1363</v>
      </c>
      <c r="Y161" s="44" t="s">
        <v>1364</v>
      </c>
    </row>
    <row r="162" spans="1:25">
      <c r="A162" s="42">
        <v>159</v>
      </c>
      <c r="B162" s="43" t="s">
        <v>1365</v>
      </c>
      <c r="C162" s="44" t="s">
        <v>1366</v>
      </c>
      <c r="D162" s="42" t="s">
        <v>163</v>
      </c>
      <c r="E162" s="42" t="s">
        <v>994</v>
      </c>
      <c r="F162" s="44" t="s">
        <v>314</v>
      </c>
      <c r="G162" s="44" t="s"/>
      <c r="H162" s="44" t="s"/>
      <c r="I162" s="42" t="s">
        <v>1351</v>
      </c>
      <c r="J162" s="44" t="s">
        <v>1367</v>
      </c>
      <c r="K162" s="42" t="s">
        <v>1360</v>
      </c>
      <c r="L162" s="42" t="s">
        <v>499</v>
      </c>
      <c r="M162" s="42" t="s">
        <v>500</v>
      </c>
      <c r="N162" s="44" t="s">
        <v>1368</v>
      </c>
      <c r="O162" s="42" t="s">
        <v>314</v>
      </c>
      <c r="P162" s="44" t="s">
        <v>1005</v>
      </c>
      <c r="Q162" s="44" t="s">
        <v>1369</v>
      </c>
      <c r="R162" s="42" t="s">
        <v>448</v>
      </c>
      <c r="S162" s="42" t="s">
        <v>1103</v>
      </c>
      <c r="T162" s="42" t="s">
        <v>434</v>
      </c>
      <c r="U162" s="44" t="s">
        <v>1301</v>
      </c>
      <c r="V162" s="44" t="s">
        <v>314</v>
      </c>
      <c r="W162" s="45" t="s">
        <v>314</v>
      </c>
      <c r="X162" s="44" t="s">
        <v>1370</v>
      </c>
      <c r="Y162" s="44" t="s">
        <v>1371</v>
      </c>
    </row>
    <row r="163" spans="1:25">
      <c r="A163" s="42">
        <v>160</v>
      </c>
      <c r="B163" s="43" t="s">
        <v>1372</v>
      </c>
      <c r="C163" s="44" t="s">
        <v>1373</v>
      </c>
      <c r="D163" s="42" t="s">
        <v>163</v>
      </c>
      <c r="E163" s="42" t="s">
        <v>994</v>
      </c>
      <c r="F163" s="44" t="s">
        <v>314</v>
      </c>
      <c r="G163" s="44" t="s"/>
      <c r="H163" s="44" t="s"/>
      <c r="I163" s="42" t="s">
        <v>1351</v>
      </c>
      <c r="J163" s="44" t="s">
        <v>1374</v>
      </c>
      <c r="K163" s="42" t="s">
        <v>508</v>
      </c>
      <c r="L163" s="42" t="s">
        <v>522</v>
      </c>
      <c r="M163" s="42" t="s">
        <v>523</v>
      </c>
      <c r="N163" s="44" t="s">
        <v>996</v>
      </c>
      <c r="O163" s="42" t="s">
        <v>444</v>
      </c>
      <c r="P163" s="44" t="s">
        <v>1005</v>
      </c>
      <c r="Q163" s="44" t="s">
        <v>1375</v>
      </c>
      <c r="R163" s="42" t="s">
        <v>448</v>
      </c>
      <c r="S163" s="42" t="s">
        <v>1103</v>
      </c>
      <c r="T163" s="42" t="s">
        <v>434</v>
      </c>
      <c r="U163" s="44" t="s">
        <v>1301</v>
      </c>
      <c r="V163" s="44" t="s">
        <v>314</v>
      </c>
      <c r="W163" s="45" t="s">
        <v>314</v>
      </c>
      <c r="X163" s="44" t="s">
        <v>1376</v>
      </c>
      <c r="Y163" s="44" t="s">
        <v>1377</v>
      </c>
    </row>
    <row r="164" spans="1:25">
      <c r="A164" s="42">
        <v>161</v>
      </c>
      <c r="B164" s="43" t="s">
        <v>1378</v>
      </c>
      <c r="C164" s="44" t="s">
        <v>1379</v>
      </c>
      <c r="D164" s="42" t="s">
        <v>163</v>
      </c>
      <c r="E164" s="42" t="s">
        <v>994</v>
      </c>
      <c r="F164" s="44" t="s">
        <v>314</v>
      </c>
      <c r="G164" s="44" t="s"/>
      <c r="H164" s="44" t="s"/>
      <c r="I164" s="42" t="s">
        <v>1351</v>
      </c>
      <c r="J164" s="44" t="s">
        <v>1380</v>
      </c>
      <c r="K164" s="42" t="s">
        <v>442</v>
      </c>
      <c r="L164" s="42" t="s">
        <v>443</v>
      </c>
      <c r="M164" s="42" t="s">
        <v>444</v>
      </c>
      <c r="N164" s="44" t="s">
        <v>996</v>
      </c>
      <c r="O164" s="42" t="s">
        <v>444</v>
      </c>
      <c r="P164" s="44" t="s">
        <v>1005</v>
      </c>
      <c r="Q164" s="44" t="s">
        <v>1381</v>
      </c>
      <c r="R164" s="42" t="s">
        <v>448</v>
      </c>
      <c r="S164" s="42" t="s">
        <v>1103</v>
      </c>
      <c r="T164" s="42" t="s">
        <v>434</v>
      </c>
      <c r="U164" s="44" t="s">
        <v>1301</v>
      </c>
      <c r="V164" s="44" t="s">
        <v>314</v>
      </c>
      <c r="W164" s="45" t="s">
        <v>314</v>
      </c>
      <c r="X164" s="44" t="s">
        <v>1382</v>
      </c>
      <c r="Y164" s="44" t="s">
        <v>1383</v>
      </c>
    </row>
    <row r="165" spans="1:25">
      <c r="A165" s="42">
        <v>162</v>
      </c>
      <c r="B165" s="43" t="s">
        <v>1384</v>
      </c>
      <c r="C165" s="44" t="s">
        <v>1385</v>
      </c>
      <c r="D165" s="42" t="s">
        <v>163</v>
      </c>
      <c r="E165" s="42" t="s">
        <v>994</v>
      </c>
      <c r="F165" s="44" t="s">
        <v>314</v>
      </c>
      <c r="G165" s="44" t="s"/>
      <c r="H165" s="44" t="s"/>
      <c r="I165" s="42" t="s">
        <v>1351</v>
      </c>
      <c r="J165" s="44" t="s">
        <v>1386</v>
      </c>
      <c r="K165" s="42" t="s">
        <v>1387</v>
      </c>
      <c r="L165" s="42" t="s">
        <v>499</v>
      </c>
      <c r="M165" s="42" t="s">
        <v>500</v>
      </c>
      <c r="N165" s="44" t="s">
        <v>1388</v>
      </c>
      <c r="O165" s="42" t="s">
        <v>314</v>
      </c>
      <c r="P165" s="44" t="s">
        <v>1005</v>
      </c>
      <c r="Q165" s="44" t="s">
        <v>1389</v>
      </c>
      <c r="R165" s="42" t="s">
        <v>448</v>
      </c>
      <c r="S165" s="42" t="s">
        <v>1103</v>
      </c>
      <c r="T165" s="42" t="s">
        <v>434</v>
      </c>
      <c r="U165" s="44" t="s">
        <v>1301</v>
      </c>
      <c r="V165" s="44" t="s">
        <v>314</v>
      </c>
      <c r="W165" s="45" t="s">
        <v>314</v>
      </c>
      <c r="X165" s="44" t="s">
        <v>1390</v>
      </c>
      <c r="Y165" s="44" t="s">
        <v>1391</v>
      </c>
    </row>
    <row r="166" spans="1:25">
      <c r="A166" s="42">
        <v>163</v>
      </c>
      <c r="B166" s="43" t="s">
        <v>1392</v>
      </c>
      <c r="C166" s="44" t="s">
        <v>1393</v>
      </c>
      <c r="D166" s="42" t="s">
        <v>163</v>
      </c>
      <c r="E166" s="42" t="s">
        <v>994</v>
      </c>
      <c r="F166" s="44" t="s">
        <v>314</v>
      </c>
      <c r="G166" s="44" t="s"/>
      <c r="H166" s="44" t="s"/>
      <c r="I166" s="42" t="s">
        <v>1351</v>
      </c>
      <c r="J166" s="44" t="s">
        <v>1394</v>
      </c>
      <c r="K166" s="42" t="s">
        <v>901</v>
      </c>
      <c r="L166" s="42" t="s">
        <v>499</v>
      </c>
      <c r="M166" s="42" t="s">
        <v>500</v>
      </c>
      <c r="N166" s="44" t="s">
        <v>996</v>
      </c>
      <c r="O166" s="42" t="s">
        <v>444</v>
      </c>
      <c r="P166" s="44" t="s">
        <v>1005</v>
      </c>
      <c r="Q166" s="44" t="s">
        <v>1395</v>
      </c>
      <c r="R166" s="42" t="s">
        <v>448</v>
      </c>
      <c r="S166" s="42" t="s">
        <v>1103</v>
      </c>
      <c r="T166" s="42" t="s">
        <v>434</v>
      </c>
      <c r="U166" s="44" t="s">
        <v>1301</v>
      </c>
      <c r="V166" s="44" t="s">
        <v>314</v>
      </c>
      <c r="W166" s="45" t="s">
        <v>314</v>
      </c>
      <c r="X166" s="44" t="s">
        <v>1396</v>
      </c>
      <c r="Y166" s="44" t="s">
        <v>1397</v>
      </c>
    </row>
    <row r="167" spans="1:25">
      <c r="A167" s="42">
        <v>164</v>
      </c>
      <c r="B167" s="43" t="s">
        <v>1398</v>
      </c>
      <c r="C167" s="44" t="s">
        <v>1399</v>
      </c>
      <c r="D167" s="42" t="s">
        <v>163</v>
      </c>
      <c r="E167" s="42" t="s">
        <v>994</v>
      </c>
      <c r="F167" s="44" t="s">
        <v>314</v>
      </c>
      <c r="G167" s="44" t="s"/>
      <c r="H167" s="44" t="s"/>
      <c r="I167" s="42" t="s">
        <v>1351</v>
      </c>
      <c r="J167" s="44" t="s">
        <v>1400</v>
      </c>
      <c r="K167" s="42" t="s">
        <v>984</v>
      </c>
      <c r="L167" s="42" t="s">
        <v>1151</v>
      </c>
      <c r="M167" s="42" t="s">
        <v>1152</v>
      </c>
      <c r="N167" s="44" t="s">
        <v>1153</v>
      </c>
      <c r="O167" s="42" t="s">
        <v>444</v>
      </c>
      <c r="P167" s="44" t="s">
        <v>1005</v>
      </c>
      <c r="Q167" s="44" t="s">
        <v>1401</v>
      </c>
      <c r="R167" s="42" t="s">
        <v>448</v>
      </c>
      <c r="S167" s="42" t="s">
        <v>1103</v>
      </c>
      <c r="T167" s="42" t="s">
        <v>434</v>
      </c>
      <c r="U167" s="44" t="s">
        <v>1301</v>
      </c>
      <c r="V167" s="44" t="s">
        <v>314</v>
      </c>
      <c r="W167" s="45" t="s">
        <v>314</v>
      </c>
      <c r="X167" s="44" t="s">
        <v>1402</v>
      </c>
      <c r="Y167" s="44" t="s">
        <v>1403</v>
      </c>
    </row>
    <row r="168" spans="1:25">
      <c r="A168" s="42">
        <v>165</v>
      </c>
      <c r="B168" s="43" t="s">
        <v>1404</v>
      </c>
      <c r="C168" s="44" t="s">
        <v>1405</v>
      </c>
      <c r="D168" s="42" t="s">
        <v>163</v>
      </c>
      <c r="E168" s="42" t="s">
        <v>994</v>
      </c>
      <c r="F168" s="44" t="s">
        <v>314</v>
      </c>
      <c r="G168" s="44" t="s"/>
      <c r="H168" s="44" t="s"/>
      <c r="I168" s="42" t="s">
        <v>1351</v>
      </c>
      <c r="J168" s="44" t="s">
        <v>1406</v>
      </c>
      <c r="K168" s="42" t="s">
        <v>984</v>
      </c>
      <c r="L168" s="42" t="s">
        <v>1151</v>
      </c>
      <c r="M168" s="42" t="s">
        <v>1152</v>
      </c>
      <c r="N168" s="44" t="s">
        <v>1153</v>
      </c>
      <c r="O168" s="42" t="s">
        <v>444</v>
      </c>
      <c r="P168" s="44" t="s">
        <v>1005</v>
      </c>
      <c r="Q168" s="44" t="s">
        <v>1407</v>
      </c>
      <c r="R168" s="42" t="s">
        <v>448</v>
      </c>
      <c r="S168" s="42" t="s">
        <v>1103</v>
      </c>
      <c r="T168" s="42" t="s">
        <v>434</v>
      </c>
      <c r="U168" s="44" t="s">
        <v>1301</v>
      </c>
      <c r="V168" s="44" t="s">
        <v>314</v>
      </c>
      <c r="W168" s="45" t="s">
        <v>314</v>
      </c>
      <c r="X168" s="44" t="s">
        <v>1408</v>
      </c>
      <c r="Y168" s="44" t="s">
        <v>1409</v>
      </c>
    </row>
    <row r="169" spans="1:25">
      <c r="A169" s="42">
        <v>166</v>
      </c>
      <c r="B169" s="43" t="s">
        <v>1410</v>
      </c>
      <c r="C169" s="44" t="s">
        <v>1411</v>
      </c>
      <c r="D169" s="42" t="s">
        <v>163</v>
      </c>
      <c r="E169" s="42" t="s">
        <v>1049</v>
      </c>
      <c r="F169" s="44" t="s">
        <v>314</v>
      </c>
      <c r="G169" s="44" t="s"/>
      <c r="H169" s="44" t="s"/>
      <c r="I169" s="42" t="s">
        <v>1351</v>
      </c>
      <c r="J169" s="44" t="s">
        <v>1412</v>
      </c>
      <c r="K169" s="42" t="s">
        <v>1413</v>
      </c>
      <c r="L169" s="42" t="s">
        <v>499</v>
      </c>
      <c r="M169" s="42" t="s">
        <v>500</v>
      </c>
      <c r="N169" s="44" t="s">
        <v>1053</v>
      </c>
      <c r="O169" s="42" t="s">
        <v>314</v>
      </c>
      <c r="P169" s="44" t="s">
        <v>997</v>
      </c>
      <c r="Q169" s="44" t="s">
        <v>1414</v>
      </c>
      <c r="R169" s="42" t="s">
        <v>740</v>
      </c>
      <c r="S169" s="42" t="s">
        <v>1055</v>
      </c>
      <c r="T169" s="42" t="s">
        <v>322</v>
      </c>
      <c r="U169" s="44" t="s">
        <v>1301</v>
      </c>
      <c r="V169" s="44" t="s">
        <v>314</v>
      </c>
      <c r="W169" s="45" t="s">
        <v>314</v>
      </c>
      <c r="X169" s="44" t="s">
        <v>1415</v>
      </c>
      <c r="Y169" s="44" t="s">
        <v>1416</v>
      </c>
    </row>
    <row r="170" spans="1:25">
      <c r="A170" s="42">
        <v>167</v>
      </c>
      <c r="B170" s="43" t="s">
        <v>1417</v>
      </c>
      <c r="C170" s="44" t="s">
        <v>1418</v>
      </c>
      <c r="D170" s="42" t="s">
        <v>163</v>
      </c>
      <c r="E170" s="42" t="s">
        <v>994</v>
      </c>
      <c r="F170" s="44" t="s">
        <v>314</v>
      </c>
      <c r="G170" s="44" t="s"/>
      <c r="H170" s="44" t="s"/>
      <c r="I170" s="42" t="s">
        <v>1351</v>
      </c>
      <c r="J170" s="44" t="s">
        <v>1419</v>
      </c>
      <c r="K170" s="42" t="s">
        <v>314</v>
      </c>
      <c r="L170" s="42" t="s">
        <v>347</v>
      </c>
      <c r="M170" s="42" t="s">
        <v>314</v>
      </c>
      <c r="N170" s="44" t="s">
        <v>1353</v>
      </c>
      <c r="O170" s="42" t="s">
        <v>314</v>
      </c>
      <c r="P170" s="44" t="s">
        <v>1005</v>
      </c>
      <c r="Q170" s="44" t="s">
        <v>1420</v>
      </c>
      <c r="R170" s="42" t="s">
        <v>510</v>
      </c>
      <c r="S170" s="42" t="s">
        <v>1103</v>
      </c>
      <c r="T170" s="42" t="s">
        <v>434</v>
      </c>
      <c r="U170" s="44" t="s">
        <v>1301</v>
      </c>
      <c r="V170" s="44" t="s">
        <v>314</v>
      </c>
      <c r="W170" s="45" t="s">
        <v>314</v>
      </c>
      <c r="X170" s="44" t="s">
        <v>1355</v>
      </c>
      <c r="Y170" s="44" t="s">
        <v>1421</v>
      </c>
    </row>
    <row r="171" spans="1:25">
      <c r="A171" s="42">
        <v>168</v>
      </c>
      <c r="B171" s="43" t="s">
        <v>1422</v>
      </c>
      <c r="C171" s="44" t="s">
        <v>1423</v>
      </c>
      <c r="D171" s="42" t="s">
        <v>163</v>
      </c>
      <c r="E171" s="42" t="s">
        <v>994</v>
      </c>
      <c r="F171" s="44" t="s">
        <v>314</v>
      </c>
      <c r="G171" s="44" t="s"/>
      <c r="H171" s="44" t="s"/>
      <c r="I171" s="42" t="s">
        <v>1351</v>
      </c>
      <c r="J171" s="44" t="s">
        <v>1424</v>
      </c>
      <c r="K171" s="42" t="s">
        <v>1360</v>
      </c>
      <c r="L171" s="42" t="s">
        <v>499</v>
      </c>
      <c r="M171" s="42" t="s">
        <v>500</v>
      </c>
      <c r="N171" s="44" t="s">
        <v>1361</v>
      </c>
      <c r="O171" s="42" t="s">
        <v>314</v>
      </c>
      <c r="P171" s="44" t="s">
        <v>1005</v>
      </c>
      <c r="Q171" s="44" t="s">
        <v>1425</v>
      </c>
      <c r="R171" s="42" t="s">
        <v>448</v>
      </c>
      <c r="S171" s="42" t="s">
        <v>1103</v>
      </c>
      <c r="T171" s="42" t="s">
        <v>434</v>
      </c>
      <c r="U171" s="44" t="s">
        <v>1301</v>
      </c>
      <c r="V171" s="44" t="s">
        <v>314</v>
      </c>
      <c r="W171" s="45" t="s">
        <v>314</v>
      </c>
      <c r="X171" s="44" t="s">
        <v>1363</v>
      </c>
      <c r="Y171" s="44" t="s">
        <v>1426</v>
      </c>
    </row>
    <row r="172" spans="1:25">
      <c r="A172" s="42">
        <v>169</v>
      </c>
      <c r="B172" s="43" t="s">
        <v>1427</v>
      </c>
      <c r="C172" s="44" t="s">
        <v>1428</v>
      </c>
      <c r="D172" s="42" t="s">
        <v>163</v>
      </c>
      <c r="E172" s="42" t="s">
        <v>994</v>
      </c>
      <c r="F172" s="44" t="s">
        <v>314</v>
      </c>
      <c r="G172" s="44" t="s"/>
      <c r="H172" s="44" t="s"/>
      <c r="I172" s="42" t="s">
        <v>1351</v>
      </c>
      <c r="J172" s="44" t="s">
        <v>1429</v>
      </c>
      <c r="K172" s="42" t="s">
        <v>1360</v>
      </c>
      <c r="L172" s="42" t="s">
        <v>499</v>
      </c>
      <c r="M172" s="42" t="s">
        <v>500</v>
      </c>
      <c r="N172" s="44" t="s">
        <v>1368</v>
      </c>
      <c r="O172" s="42" t="s">
        <v>314</v>
      </c>
      <c r="P172" s="44" t="s">
        <v>1005</v>
      </c>
      <c r="Q172" s="44" t="s">
        <v>1430</v>
      </c>
      <c r="R172" s="42" t="s">
        <v>448</v>
      </c>
      <c r="S172" s="42" t="s">
        <v>1103</v>
      </c>
      <c r="T172" s="42" t="s">
        <v>434</v>
      </c>
      <c r="U172" s="44" t="s">
        <v>1301</v>
      </c>
      <c r="V172" s="44" t="s">
        <v>314</v>
      </c>
      <c r="W172" s="45" t="s">
        <v>314</v>
      </c>
      <c r="X172" s="44" t="s">
        <v>1370</v>
      </c>
      <c r="Y172" s="44" t="s">
        <v>1431</v>
      </c>
    </row>
    <row r="173" spans="1:25">
      <c r="A173" s="42">
        <v>170</v>
      </c>
      <c r="B173" s="43" t="s">
        <v>1432</v>
      </c>
      <c r="C173" s="44" t="s">
        <v>1433</v>
      </c>
      <c r="D173" s="42" t="s">
        <v>163</v>
      </c>
      <c r="E173" s="42" t="s">
        <v>994</v>
      </c>
      <c r="F173" s="44" t="s">
        <v>314</v>
      </c>
      <c r="G173" s="44" t="s"/>
      <c r="H173" s="44" t="s"/>
      <c r="I173" s="42" t="s">
        <v>1351</v>
      </c>
      <c r="J173" s="44" t="s">
        <v>1434</v>
      </c>
      <c r="K173" s="42" t="s">
        <v>508</v>
      </c>
      <c r="L173" s="42" t="s">
        <v>522</v>
      </c>
      <c r="M173" s="42" t="s">
        <v>523</v>
      </c>
      <c r="N173" s="44" t="s">
        <v>996</v>
      </c>
      <c r="O173" s="42" t="s">
        <v>444</v>
      </c>
      <c r="P173" s="44" t="s">
        <v>1005</v>
      </c>
      <c r="Q173" s="44" t="s">
        <v>1435</v>
      </c>
      <c r="R173" s="42" t="s">
        <v>448</v>
      </c>
      <c r="S173" s="42" t="s">
        <v>1103</v>
      </c>
      <c r="T173" s="42" t="s">
        <v>434</v>
      </c>
      <c r="U173" s="44" t="s">
        <v>1301</v>
      </c>
      <c r="V173" s="44" t="s">
        <v>314</v>
      </c>
      <c r="W173" s="45" t="s">
        <v>314</v>
      </c>
      <c r="X173" s="44" t="s">
        <v>1436</v>
      </c>
      <c r="Y173" s="44" t="s">
        <v>1437</v>
      </c>
    </row>
    <row r="174" spans="1:25">
      <c r="A174" s="42">
        <v>171</v>
      </c>
      <c r="B174" s="43" t="s">
        <v>1438</v>
      </c>
      <c r="C174" s="44" t="s">
        <v>1439</v>
      </c>
      <c r="D174" s="42" t="s">
        <v>163</v>
      </c>
      <c r="E174" s="42" t="s">
        <v>994</v>
      </c>
      <c r="F174" s="44" t="s">
        <v>314</v>
      </c>
      <c r="G174" s="44" t="s"/>
      <c r="H174" s="44" t="s"/>
      <c r="I174" s="42" t="s">
        <v>1351</v>
      </c>
      <c r="J174" s="44" t="s">
        <v>1440</v>
      </c>
      <c r="K174" s="42" t="s">
        <v>442</v>
      </c>
      <c r="L174" s="42" t="s">
        <v>443</v>
      </c>
      <c r="M174" s="42" t="s">
        <v>444</v>
      </c>
      <c r="N174" s="44" t="s">
        <v>996</v>
      </c>
      <c r="O174" s="42" t="s">
        <v>444</v>
      </c>
      <c r="P174" s="44" t="s">
        <v>1005</v>
      </c>
      <c r="Q174" s="44" t="s">
        <v>1441</v>
      </c>
      <c r="R174" s="42" t="s">
        <v>448</v>
      </c>
      <c r="S174" s="42" t="s">
        <v>1103</v>
      </c>
      <c r="T174" s="42" t="s">
        <v>434</v>
      </c>
      <c r="U174" s="44" t="s">
        <v>1301</v>
      </c>
      <c r="V174" s="44" t="s">
        <v>314</v>
      </c>
      <c r="W174" s="45" t="s">
        <v>314</v>
      </c>
      <c r="X174" s="44" t="s">
        <v>1382</v>
      </c>
      <c r="Y174" s="44" t="s">
        <v>1442</v>
      </c>
    </row>
    <row r="175" spans="1:25">
      <c r="A175" s="42">
        <v>172</v>
      </c>
      <c r="B175" s="43" t="s">
        <v>1443</v>
      </c>
      <c r="C175" s="44" t="s">
        <v>1444</v>
      </c>
      <c r="D175" s="42" t="s">
        <v>163</v>
      </c>
      <c r="E175" s="42" t="s">
        <v>994</v>
      </c>
      <c r="F175" s="44" t="s">
        <v>314</v>
      </c>
      <c r="G175" s="44" t="s"/>
      <c r="H175" s="44" t="s"/>
      <c r="I175" s="42" t="s">
        <v>1351</v>
      </c>
      <c r="J175" s="44" t="s">
        <v>1445</v>
      </c>
      <c r="K175" s="42" t="s">
        <v>1387</v>
      </c>
      <c r="L175" s="42" t="s">
        <v>499</v>
      </c>
      <c r="M175" s="42" t="s">
        <v>500</v>
      </c>
      <c r="N175" s="44" t="s">
        <v>1388</v>
      </c>
      <c r="O175" s="42" t="s">
        <v>314</v>
      </c>
      <c r="P175" s="44" t="s">
        <v>1005</v>
      </c>
      <c r="Q175" s="44" t="s">
        <v>1446</v>
      </c>
      <c r="R175" s="42" t="s">
        <v>448</v>
      </c>
      <c r="S175" s="42" t="s">
        <v>1103</v>
      </c>
      <c r="T175" s="42" t="s">
        <v>434</v>
      </c>
      <c r="U175" s="44" t="s">
        <v>1301</v>
      </c>
      <c r="V175" s="44" t="s">
        <v>314</v>
      </c>
      <c r="W175" s="45" t="s">
        <v>314</v>
      </c>
      <c r="X175" s="44" t="s">
        <v>1390</v>
      </c>
      <c r="Y175" s="44" t="s">
        <v>1447</v>
      </c>
    </row>
    <row r="176" spans="1:25">
      <c r="A176" s="42">
        <v>173</v>
      </c>
      <c r="B176" s="43" t="s">
        <v>1448</v>
      </c>
      <c r="C176" s="44" t="s">
        <v>1449</v>
      </c>
      <c r="D176" s="42" t="s">
        <v>163</v>
      </c>
      <c r="E176" s="42" t="s">
        <v>994</v>
      </c>
      <c r="F176" s="44" t="s">
        <v>314</v>
      </c>
      <c r="G176" s="44" t="s"/>
      <c r="H176" s="44" t="s"/>
      <c r="I176" s="42" t="s">
        <v>1351</v>
      </c>
      <c r="J176" s="44" t="s">
        <v>1450</v>
      </c>
      <c r="K176" s="42" t="s">
        <v>901</v>
      </c>
      <c r="L176" s="42" t="s">
        <v>499</v>
      </c>
      <c r="M176" s="42" t="s">
        <v>500</v>
      </c>
      <c r="N176" s="44" t="s">
        <v>996</v>
      </c>
      <c r="O176" s="42" t="s">
        <v>444</v>
      </c>
      <c r="P176" s="44" t="s">
        <v>1005</v>
      </c>
      <c r="Q176" s="44" t="s">
        <v>1451</v>
      </c>
      <c r="R176" s="42" t="s">
        <v>448</v>
      </c>
      <c r="S176" s="42" t="s">
        <v>1103</v>
      </c>
      <c r="T176" s="42" t="s">
        <v>434</v>
      </c>
      <c r="U176" s="44" t="s">
        <v>1301</v>
      </c>
      <c r="V176" s="44" t="s">
        <v>314</v>
      </c>
      <c r="W176" s="45" t="s">
        <v>314</v>
      </c>
      <c r="X176" s="44" t="s">
        <v>1396</v>
      </c>
      <c r="Y176" s="44" t="s">
        <v>1452</v>
      </c>
    </row>
    <row r="177" spans="1:25">
      <c r="A177" s="42">
        <v>174</v>
      </c>
      <c r="B177" s="43" t="s">
        <v>1453</v>
      </c>
      <c r="C177" s="44" t="s">
        <v>1454</v>
      </c>
      <c r="D177" s="42" t="s">
        <v>163</v>
      </c>
      <c r="E177" s="42" t="s">
        <v>994</v>
      </c>
      <c r="F177" s="44" t="s">
        <v>314</v>
      </c>
      <c r="G177" s="44" t="s"/>
      <c r="H177" s="44" t="s"/>
      <c r="I177" s="42" t="s">
        <v>1351</v>
      </c>
      <c r="J177" s="44" t="s">
        <v>1455</v>
      </c>
      <c r="K177" s="42" t="s">
        <v>984</v>
      </c>
      <c r="L177" s="42" t="s">
        <v>1151</v>
      </c>
      <c r="M177" s="42" t="s">
        <v>1152</v>
      </c>
      <c r="N177" s="44" t="s">
        <v>1153</v>
      </c>
      <c r="O177" s="42" t="s">
        <v>444</v>
      </c>
      <c r="P177" s="44" t="s">
        <v>1005</v>
      </c>
      <c r="Q177" s="44" t="s">
        <v>1456</v>
      </c>
      <c r="R177" s="42" t="s">
        <v>448</v>
      </c>
      <c r="S177" s="42" t="s">
        <v>1103</v>
      </c>
      <c r="T177" s="42" t="s">
        <v>434</v>
      </c>
      <c r="U177" s="44" t="s">
        <v>1301</v>
      </c>
      <c r="V177" s="44" t="s">
        <v>314</v>
      </c>
      <c r="W177" s="45" t="s">
        <v>314</v>
      </c>
      <c r="X177" s="44" t="s">
        <v>1402</v>
      </c>
      <c r="Y177" s="44" t="s">
        <v>1457</v>
      </c>
    </row>
    <row r="178" spans="1:25">
      <c r="A178" s="42">
        <v>175</v>
      </c>
      <c r="B178" s="43" t="s">
        <v>1458</v>
      </c>
      <c r="C178" s="44" t="s">
        <v>1459</v>
      </c>
      <c r="D178" s="42" t="s">
        <v>163</v>
      </c>
      <c r="E178" s="42" t="s">
        <v>994</v>
      </c>
      <c r="F178" s="44" t="s">
        <v>314</v>
      </c>
      <c r="G178" s="44" t="s"/>
      <c r="H178" s="44" t="s"/>
      <c r="I178" s="42" t="s">
        <v>1351</v>
      </c>
      <c r="J178" s="44" t="s">
        <v>1460</v>
      </c>
      <c r="K178" s="42" t="s">
        <v>984</v>
      </c>
      <c r="L178" s="42" t="s">
        <v>1151</v>
      </c>
      <c r="M178" s="42" t="s">
        <v>1152</v>
      </c>
      <c r="N178" s="44" t="s">
        <v>1153</v>
      </c>
      <c r="O178" s="42" t="s">
        <v>444</v>
      </c>
      <c r="P178" s="44" t="s">
        <v>1005</v>
      </c>
      <c r="Q178" s="44" t="s">
        <v>1461</v>
      </c>
      <c r="R178" s="42" t="s">
        <v>448</v>
      </c>
      <c r="S178" s="42" t="s">
        <v>1103</v>
      </c>
      <c r="T178" s="42" t="s">
        <v>434</v>
      </c>
      <c r="U178" s="44" t="s">
        <v>1301</v>
      </c>
      <c r="V178" s="44" t="s">
        <v>314</v>
      </c>
      <c r="W178" s="45" t="s">
        <v>314</v>
      </c>
      <c r="X178" s="44" t="s">
        <v>1408</v>
      </c>
      <c r="Y178" s="44" t="s">
        <v>1462</v>
      </c>
    </row>
    <row r="179" spans="1:25">
      <c r="A179" s="42">
        <v>176</v>
      </c>
      <c r="B179" s="43" t="s">
        <v>1463</v>
      </c>
      <c r="C179" s="44" t="s">
        <v>1464</v>
      </c>
      <c r="D179" s="42" t="s">
        <v>163</v>
      </c>
      <c r="E179" s="42" t="s">
        <v>1049</v>
      </c>
      <c r="F179" s="44" t="s">
        <v>314</v>
      </c>
      <c r="G179" s="44" t="s"/>
      <c r="H179" s="44" t="s"/>
      <c r="I179" s="42" t="s">
        <v>1351</v>
      </c>
      <c r="J179" s="44" t="s">
        <v>1465</v>
      </c>
      <c r="K179" s="42" t="s">
        <v>1413</v>
      </c>
      <c r="L179" s="42" t="s">
        <v>499</v>
      </c>
      <c r="M179" s="42" t="s">
        <v>500</v>
      </c>
      <c r="N179" s="44" t="s">
        <v>1053</v>
      </c>
      <c r="O179" s="42" t="s">
        <v>314</v>
      </c>
      <c r="P179" s="44" t="s">
        <v>997</v>
      </c>
      <c r="Q179" s="44" t="s">
        <v>1466</v>
      </c>
      <c r="R179" s="42" t="s">
        <v>740</v>
      </c>
      <c r="S179" s="42" t="s">
        <v>1055</v>
      </c>
      <c r="T179" s="42" t="s">
        <v>322</v>
      </c>
      <c r="U179" s="44" t="s">
        <v>1301</v>
      </c>
      <c r="V179" s="44" t="s">
        <v>314</v>
      </c>
      <c r="W179" s="45" t="s">
        <v>314</v>
      </c>
      <c r="X179" s="44" t="s">
        <v>1467</v>
      </c>
      <c r="Y179" s="44" t="s">
        <v>1468</v>
      </c>
    </row>
    <row r="180" spans="1:25">
      <c r="A180" s="42">
        <v>177</v>
      </c>
      <c r="B180" s="43" t="s">
        <v>1469</v>
      </c>
      <c r="C180" s="44" t="s">
        <v>1470</v>
      </c>
      <c r="D180" s="42" t="s">
        <v>99</v>
      </c>
      <c r="E180" s="42" t="s">
        <v>994</v>
      </c>
      <c r="F180" s="44" t="s">
        <v>314</v>
      </c>
      <c r="G180" s="44" t="s"/>
      <c r="H180" s="44" t="s"/>
      <c r="I180" s="42" t="s">
        <v>1471</v>
      </c>
      <c r="J180" s="44" t="s">
        <v>1472</v>
      </c>
      <c r="K180" s="42" t="s">
        <v>738</v>
      </c>
      <c r="L180" s="42" t="s">
        <v>499</v>
      </c>
      <c r="M180" s="42" t="s">
        <v>500</v>
      </c>
      <c r="N180" s="44" t="s">
        <v>996</v>
      </c>
      <c r="O180" s="42" t="s">
        <v>444</v>
      </c>
      <c r="P180" s="44" t="s">
        <v>997</v>
      </c>
      <c r="Q180" s="44" t="s">
        <v>1473</v>
      </c>
      <c r="R180" s="42" t="s">
        <v>740</v>
      </c>
      <c r="S180" s="42" t="s">
        <v>426</v>
      </c>
      <c r="T180" s="42" t="s">
        <v>434</v>
      </c>
      <c r="U180" s="44" t="s">
        <v>1280</v>
      </c>
      <c r="V180" s="44" t="s">
        <v>314</v>
      </c>
      <c r="W180" s="45" t="s">
        <v>314</v>
      </c>
      <c r="X180" s="44" t="s">
        <v>1474</v>
      </c>
      <c r="Y180" s="44" t="s">
        <v>1475</v>
      </c>
    </row>
    <row r="181" spans="1:25">
      <c r="A181" s="42">
        <v>178</v>
      </c>
      <c r="B181" s="43" t="s">
        <v>1476</v>
      </c>
      <c r="C181" s="44" t="s">
        <v>1477</v>
      </c>
      <c r="D181" s="42" t="s">
        <v>99</v>
      </c>
      <c r="E181" s="42" t="s">
        <v>994</v>
      </c>
      <c r="F181" s="44" t="s">
        <v>314</v>
      </c>
      <c r="G181" s="44" t="s"/>
      <c r="H181" s="44" t="s"/>
      <c r="I181" s="42" t="s">
        <v>1471</v>
      </c>
      <c r="J181" s="44" t="s">
        <v>1478</v>
      </c>
      <c r="K181" s="42" t="s">
        <v>738</v>
      </c>
      <c r="L181" s="42" t="s">
        <v>499</v>
      </c>
      <c r="M181" s="42" t="s">
        <v>500</v>
      </c>
      <c r="N181" s="44" t="s">
        <v>996</v>
      </c>
      <c r="O181" s="42" t="s">
        <v>444</v>
      </c>
      <c r="P181" s="44" t="s">
        <v>997</v>
      </c>
      <c r="Q181" s="44" t="s">
        <v>1479</v>
      </c>
      <c r="R181" s="42" t="s">
        <v>740</v>
      </c>
      <c r="S181" s="42" t="s">
        <v>426</v>
      </c>
      <c r="T181" s="42" t="s">
        <v>434</v>
      </c>
      <c r="U181" s="44" t="s">
        <v>1280</v>
      </c>
      <c r="V181" s="44" t="s">
        <v>314</v>
      </c>
      <c r="W181" s="45" t="s">
        <v>314</v>
      </c>
      <c r="X181" s="44" t="s">
        <v>1480</v>
      </c>
      <c r="Y181" s="44" t="s">
        <v>1481</v>
      </c>
    </row>
    <row r="182" spans="1:25">
      <c r="A182" s="42">
        <v>179</v>
      </c>
      <c r="B182" s="43" t="s">
        <v>1482</v>
      </c>
      <c r="C182" s="44" t="s">
        <v>1483</v>
      </c>
      <c r="D182" s="42" t="s">
        <v>99</v>
      </c>
      <c r="E182" s="42" t="s">
        <v>994</v>
      </c>
      <c r="F182" s="44" t="s">
        <v>314</v>
      </c>
      <c r="G182" s="44" t="s"/>
      <c r="H182" s="44" t="s"/>
      <c r="I182" s="42" t="s">
        <v>1471</v>
      </c>
      <c r="J182" s="44" t="s">
        <v>1484</v>
      </c>
      <c r="K182" s="42" t="s">
        <v>738</v>
      </c>
      <c r="L182" s="42" t="s">
        <v>499</v>
      </c>
      <c r="M182" s="42" t="s">
        <v>500</v>
      </c>
      <c r="N182" s="44" t="s">
        <v>996</v>
      </c>
      <c r="O182" s="42" t="s">
        <v>444</v>
      </c>
      <c r="P182" s="44" t="s">
        <v>997</v>
      </c>
      <c r="Q182" s="44" t="s">
        <v>1485</v>
      </c>
      <c r="R182" s="42" t="s">
        <v>740</v>
      </c>
      <c r="S182" s="42" t="s">
        <v>426</v>
      </c>
      <c r="T182" s="42" t="s">
        <v>434</v>
      </c>
      <c r="U182" s="44" t="s">
        <v>1280</v>
      </c>
      <c r="V182" s="44" t="s">
        <v>314</v>
      </c>
      <c r="W182" s="45" t="s">
        <v>314</v>
      </c>
      <c r="X182" s="44" t="s">
        <v>1486</v>
      </c>
      <c r="Y182" s="44" t="s">
        <v>1487</v>
      </c>
    </row>
    <row r="183" spans="1:25">
      <c r="A183" s="42">
        <v>180</v>
      </c>
      <c r="B183" s="43" t="s">
        <v>1488</v>
      </c>
      <c r="C183" s="44" t="s">
        <v>1489</v>
      </c>
      <c r="D183" s="42" t="s">
        <v>99</v>
      </c>
      <c r="E183" s="42" t="s">
        <v>994</v>
      </c>
      <c r="F183" s="44" t="s">
        <v>314</v>
      </c>
      <c r="G183" s="44" t="s"/>
      <c r="H183" s="44" t="s"/>
      <c r="I183" s="42" t="s">
        <v>1471</v>
      </c>
      <c r="J183" s="44" t="s">
        <v>1490</v>
      </c>
      <c r="K183" s="42" t="s">
        <v>738</v>
      </c>
      <c r="L183" s="42" t="s">
        <v>499</v>
      </c>
      <c r="M183" s="42" t="s">
        <v>500</v>
      </c>
      <c r="N183" s="44" t="s">
        <v>996</v>
      </c>
      <c r="O183" s="42" t="s">
        <v>444</v>
      </c>
      <c r="P183" s="44" t="s">
        <v>997</v>
      </c>
      <c r="Q183" s="44" t="s">
        <v>1491</v>
      </c>
      <c r="R183" s="42" t="s">
        <v>740</v>
      </c>
      <c r="S183" s="42" t="s">
        <v>426</v>
      </c>
      <c r="T183" s="42" t="s">
        <v>434</v>
      </c>
      <c r="U183" s="44" t="s">
        <v>1280</v>
      </c>
      <c r="V183" s="44" t="s">
        <v>314</v>
      </c>
      <c r="W183" s="45" t="s">
        <v>314</v>
      </c>
      <c r="X183" s="44" t="s">
        <v>1492</v>
      </c>
      <c r="Y183" s="44" t="s">
        <v>1493</v>
      </c>
    </row>
    <row r="184" spans="1:25">
      <c r="A184" s="42">
        <v>181</v>
      </c>
      <c r="B184" s="43" t="s">
        <v>1494</v>
      </c>
      <c r="C184" s="44" t="s">
        <v>1495</v>
      </c>
      <c r="D184" s="42" t="s">
        <v>99</v>
      </c>
      <c r="E184" s="42" t="s">
        <v>994</v>
      </c>
      <c r="F184" s="44" t="s">
        <v>314</v>
      </c>
      <c r="G184" s="44" t="s"/>
      <c r="H184" s="44" t="s"/>
      <c r="I184" s="42" t="s">
        <v>1471</v>
      </c>
      <c r="J184" s="44" t="s">
        <v>1496</v>
      </c>
      <c r="K184" s="42" t="s">
        <v>738</v>
      </c>
      <c r="L184" s="42" t="s">
        <v>499</v>
      </c>
      <c r="M184" s="42" t="s">
        <v>500</v>
      </c>
      <c r="N184" s="44" t="s">
        <v>996</v>
      </c>
      <c r="O184" s="42" t="s">
        <v>444</v>
      </c>
      <c r="P184" s="44" t="s">
        <v>997</v>
      </c>
      <c r="Q184" s="44" t="s">
        <v>1497</v>
      </c>
      <c r="R184" s="42" t="s">
        <v>740</v>
      </c>
      <c r="S184" s="42" t="s">
        <v>426</v>
      </c>
      <c r="T184" s="42" t="s">
        <v>434</v>
      </c>
      <c r="U184" s="44" t="s">
        <v>1280</v>
      </c>
      <c r="V184" s="44" t="s">
        <v>314</v>
      </c>
      <c r="W184" s="45" t="s">
        <v>314</v>
      </c>
      <c r="X184" s="44" t="s">
        <v>1498</v>
      </c>
      <c r="Y184" s="44" t="s">
        <v>1499</v>
      </c>
    </row>
    <row r="185" spans="1:25">
      <c r="A185" s="42">
        <v>182</v>
      </c>
      <c r="B185" s="43" t="s">
        <v>1500</v>
      </c>
      <c r="C185" s="44" t="s">
        <v>1501</v>
      </c>
      <c r="D185" s="42" t="s">
        <v>99</v>
      </c>
      <c r="E185" s="42" t="s">
        <v>994</v>
      </c>
      <c r="F185" s="44" t="s">
        <v>314</v>
      </c>
      <c r="G185" s="44" t="s"/>
      <c r="H185" s="44" t="s"/>
      <c r="I185" s="42" t="s">
        <v>1471</v>
      </c>
      <c r="J185" s="44" t="s">
        <v>1502</v>
      </c>
      <c r="K185" s="42" t="s">
        <v>738</v>
      </c>
      <c r="L185" s="42" t="s">
        <v>499</v>
      </c>
      <c r="M185" s="42" t="s">
        <v>500</v>
      </c>
      <c r="N185" s="44" t="s">
        <v>996</v>
      </c>
      <c r="O185" s="42" t="s">
        <v>444</v>
      </c>
      <c r="P185" s="44" t="s">
        <v>997</v>
      </c>
      <c r="Q185" s="44" t="s">
        <v>1503</v>
      </c>
      <c r="R185" s="42" t="s">
        <v>740</v>
      </c>
      <c r="S185" s="42" t="s">
        <v>426</v>
      </c>
      <c r="T185" s="42" t="s">
        <v>434</v>
      </c>
      <c r="U185" s="44" t="s">
        <v>1280</v>
      </c>
      <c r="V185" s="44" t="s">
        <v>314</v>
      </c>
      <c r="W185" s="45" t="s">
        <v>314</v>
      </c>
      <c r="X185" s="44" t="s">
        <v>1504</v>
      </c>
      <c r="Y185" s="44" t="s">
        <v>1505</v>
      </c>
    </row>
    <row r="186" spans="1:25">
      <c r="A186" s="42">
        <v>183</v>
      </c>
      <c r="B186" s="43" t="s">
        <v>1506</v>
      </c>
      <c r="C186" s="44" t="s">
        <v>1507</v>
      </c>
      <c r="D186" s="42" t="s">
        <v>170</v>
      </c>
      <c r="E186" s="42" t="s">
        <v>994</v>
      </c>
      <c r="F186" s="44" t="s">
        <v>314</v>
      </c>
      <c r="G186" s="44" t="s"/>
      <c r="H186" s="44" t="s"/>
      <c r="I186" s="42" t="s">
        <v>1508</v>
      </c>
      <c r="J186" s="44" t="s">
        <v>1509</v>
      </c>
      <c r="K186" s="42" t="s">
        <v>314</v>
      </c>
      <c r="L186" s="42" t="s">
        <v>316</v>
      </c>
      <c r="M186" s="42" t="s">
        <v>314</v>
      </c>
      <c r="N186" s="44" t="s">
        <v>314</v>
      </c>
      <c r="O186" s="42" t="s">
        <v>314</v>
      </c>
      <c r="P186" s="44" t="s">
        <v>1510</v>
      </c>
      <c r="Q186" s="44" t="s">
        <v>1511</v>
      </c>
      <c r="R186" s="42" t="s">
        <v>320</v>
      </c>
      <c r="S186" s="42" t="s">
        <v>1007</v>
      </c>
      <c r="T186" s="42" t="s">
        <v>322</v>
      </c>
      <c r="U186" s="44" t="s">
        <v>1512</v>
      </c>
      <c r="V186" s="44" t="s">
        <v>314</v>
      </c>
      <c r="W186" s="45" t="s">
        <v>314</v>
      </c>
      <c r="X186" s="44" t="s">
        <v>1513</v>
      </c>
      <c r="Y186" s="44" t="s">
        <v>1514</v>
      </c>
    </row>
    <row r="187" spans="1:25">
      <c r="A187" s="42">
        <v>184</v>
      </c>
      <c r="B187" s="43" t="s">
        <v>1515</v>
      </c>
      <c r="C187" s="44" t="s">
        <v>1516</v>
      </c>
      <c r="D187" s="42" t="s">
        <v>170</v>
      </c>
      <c r="E187" s="42" t="s">
        <v>994</v>
      </c>
      <c r="F187" s="44" t="s">
        <v>314</v>
      </c>
      <c r="G187" s="44" t="s"/>
      <c r="H187" s="44" t="s"/>
      <c r="I187" s="42" t="s">
        <v>1508</v>
      </c>
      <c r="J187" s="44" t="s">
        <v>1517</v>
      </c>
      <c r="K187" s="42" t="s">
        <v>314</v>
      </c>
      <c r="L187" s="42" t="s">
        <v>316</v>
      </c>
      <c r="M187" s="42" t="s">
        <v>314</v>
      </c>
      <c r="N187" s="44" t="s">
        <v>314</v>
      </c>
      <c r="O187" s="42" t="s">
        <v>314</v>
      </c>
      <c r="P187" s="44" t="s">
        <v>1518</v>
      </c>
      <c r="Q187" s="44" t="s">
        <v>1519</v>
      </c>
      <c r="R187" s="42" t="s">
        <v>320</v>
      </c>
      <c r="S187" s="42" t="s">
        <v>1007</v>
      </c>
      <c r="T187" s="42" t="s">
        <v>322</v>
      </c>
      <c r="U187" s="44" t="s">
        <v>1512</v>
      </c>
      <c r="V187" s="44" t="s">
        <v>866</v>
      </c>
      <c r="W187" s="45" t="s">
        <v>314</v>
      </c>
      <c r="X187" s="44" t="s">
        <v>1520</v>
      </c>
      <c r="Y187" s="44" t="s">
        <v>1521</v>
      </c>
    </row>
    <row r="188" spans="1:25">
      <c r="A188" s="42">
        <v>185</v>
      </c>
      <c r="B188" s="43" t="s">
        <v>1522</v>
      </c>
      <c r="C188" s="44" t="s">
        <v>1523</v>
      </c>
      <c r="D188" s="42" t="s">
        <v>170</v>
      </c>
      <c r="E188" s="42" t="s">
        <v>994</v>
      </c>
      <c r="F188" s="44" t="s">
        <v>314</v>
      </c>
      <c r="G188" s="44" t="s"/>
      <c r="H188" s="44" t="s"/>
      <c r="I188" s="42" t="s">
        <v>1508</v>
      </c>
      <c r="J188" s="44" t="s">
        <v>1524</v>
      </c>
      <c r="K188" s="42" t="s">
        <v>314</v>
      </c>
      <c r="L188" s="42" t="s">
        <v>522</v>
      </c>
      <c r="M188" s="42" t="s">
        <v>523</v>
      </c>
      <c r="N188" s="44" t="s">
        <v>996</v>
      </c>
      <c r="O188" s="42" t="s">
        <v>444</v>
      </c>
      <c r="P188" s="44" t="s">
        <v>609</v>
      </c>
      <c r="Q188" s="44" t="s">
        <v>1525</v>
      </c>
      <c r="R188" s="42" t="s">
        <v>320</v>
      </c>
      <c r="S188" s="42" t="s">
        <v>1007</v>
      </c>
      <c r="T188" s="42" t="s">
        <v>322</v>
      </c>
      <c r="U188" s="44" t="s">
        <v>999</v>
      </c>
      <c r="V188" s="44" t="s">
        <v>1526</v>
      </c>
      <c r="W188" s="45" t="s">
        <v>314</v>
      </c>
      <c r="X188" s="44" t="s">
        <v>1527</v>
      </c>
      <c r="Y188" s="44" t="s">
        <v>1528</v>
      </c>
    </row>
    <row r="189" spans="1:25">
      <c r="A189" s="42">
        <v>186</v>
      </c>
      <c r="B189" s="43" t="s">
        <v>1529</v>
      </c>
      <c r="C189" s="44" t="s">
        <v>1530</v>
      </c>
      <c r="D189" s="42" t="s">
        <v>99</v>
      </c>
      <c r="E189" s="42" t="s">
        <v>994</v>
      </c>
      <c r="F189" s="44" t="s">
        <v>314</v>
      </c>
      <c r="G189" s="44" t="s"/>
      <c r="H189" s="44" t="s"/>
      <c r="I189" s="42" t="s">
        <v>1508</v>
      </c>
      <c r="J189" s="44" t="s">
        <v>1531</v>
      </c>
      <c r="K189" s="42" t="s">
        <v>314</v>
      </c>
      <c r="L189" s="42" t="s">
        <v>316</v>
      </c>
      <c r="M189" s="42" t="s">
        <v>314</v>
      </c>
      <c r="N189" s="44" t="s">
        <v>314</v>
      </c>
      <c r="O189" s="42" t="s">
        <v>314</v>
      </c>
      <c r="P189" s="44" t="s">
        <v>371</v>
      </c>
      <c r="Q189" s="44" t="s">
        <v>1532</v>
      </c>
      <c r="R189" s="42" t="s">
        <v>320</v>
      </c>
      <c r="S189" s="42" t="s">
        <v>426</v>
      </c>
      <c r="T189" s="42" t="s">
        <v>322</v>
      </c>
      <c r="U189" s="44" t="s">
        <v>1512</v>
      </c>
      <c r="V189" s="44" t="s">
        <v>1533</v>
      </c>
      <c r="W189" s="45" t="s">
        <v>314</v>
      </c>
      <c r="X189" s="44" t="s">
        <v>1534</v>
      </c>
      <c r="Y189" s="44" t="s">
        <v>1535</v>
      </c>
    </row>
    <row r="190" spans="1:25">
      <c r="A190" s="42">
        <v>187</v>
      </c>
      <c r="B190" s="43" t="s">
        <v>1536</v>
      </c>
      <c r="C190" s="44" t="s">
        <v>1537</v>
      </c>
      <c r="D190" s="42" t="s">
        <v>99</v>
      </c>
      <c r="E190" s="42" t="s">
        <v>994</v>
      </c>
      <c r="F190" s="44" t="s">
        <v>314</v>
      </c>
      <c r="G190" s="44" t="s"/>
      <c r="H190" s="44" t="s"/>
      <c r="I190" s="42" t="s">
        <v>1508</v>
      </c>
      <c r="J190" s="44" t="s">
        <v>1538</v>
      </c>
      <c r="K190" s="42" t="s">
        <v>314</v>
      </c>
      <c r="L190" s="42" t="s">
        <v>316</v>
      </c>
      <c r="M190" s="42" t="s">
        <v>314</v>
      </c>
      <c r="N190" s="44" t="s">
        <v>314</v>
      </c>
      <c r="O190" s="42" t="s">
        <v>314</v>
      </c>
      <c r="P190" s="44" t="s">
        <v>382</v>
      </c>
      <c r="Q190" s="44" t="s">
        <v>1539</v>
      </c>
      <c r="R190" s="42" t="s">
        <v>320</v>
      </c>
      <c r="S190" s="42" t="s">
        <v>426</v>
      </c>
      <c r="T190" s="42" t="s">
        <v>322</v>
      </c>
      <c r="U190" s="44" t="s">
        <v>1512</v>
      </c>
      <c r="V190" s="44" t="s">
        <v>1540</v>
      </c>
      <c r="W190" s="45" t="s">
        <v>314</v>
      </c>
      <c r="X190" s="44" t="s">
        <v>1541</v>
      </c>
      <c r="Y190" s="44" t="s">
        <v>1542</v>
      </c>
    </row>
    <row r="191" spans="1:25">
      <c r="A191" s="42">
        <v>188</v>
      </c>
      <c r="B191" s="43" t="s">
        <v>1543</v>
      </c>
      <c r="C191" s="44" t="s">
        <v>1544</v>
      </c>
      <c r="D191" s="42" t="s">
        <v>174</v>
      </c>
      <c r="E191" s="42" t="s">
        <v>994</v>
      </c>
      <c r="F191" s="44" t="s">
        <v>314</v>
      </c>
      <c r="G191" s="44" t="s"/>
      <c r="H191" s="44" t="s"/>
      <c r="I191" s="42" t="s">
        <v>1545</v>
      </c>
      <c r="J191" s="44" t="s">
        <v>1546</v>
      </c>
      <c r="K191" s="42" t="s">
        <v>314</v>
      </c>
      <c r="L191" s="42" t="s">
        <v>522</v>
      </c>
      <c r="M191" s="42" t="s">
        <v>523</v>
      </c>
      <c r="N191" s="44" t="s">
        <v>996</v>
      </c>
      <c r="O191" s="42" t="s">
        <v>444</v>
      </c>
      <c r="P191" s="44" t="s">
        <v>609</v>
      </c>
      <c r="Q191" s="44" t="s">
        <v>1547</v>
      </c>
      <c r="R191" s="42" t="s">
        <v>448</v>
      </c>
      <c r="S191" s="42" t="s">
        <v>1007</v>
      </c>
      <c r="T191" s="42" t="s">
        <v>322</v>
      </c>
      <c r="U191" s="44" t="s">
        <v>999</v>
      </c>
      <c r="V191" s="44" t="s">
        <v>1548</v>
      </c>
      <c r="W191" s="45" t="s">
        <v>314</v>
      </c>
      <c r="X191" s="44" t="s">
        <v>1549</v>
      </c>
      <c r="Y191" s="44" t="s">
        <v>1550</v>
      </c>
    </row>
    <row r="192" spans="1:25">
      <c r="A192" s="42">
        <v>189</v>
      </c>
      <c r="B192" s="43" t="s">
        <v>1551</v>
      </c>
      <c r="C192" s="44" t="s">
        <v>1552</v>
      </c>
      <c r="D192" s="42" t="s">
        <v>174</v>
      </c>
      <c r="E192" s="42" t="s">
        <v>313</v>
      </c>
      <c r="F192" s="44" t="s">
        <v>314</v>
      </c>
      <c r="G192" s="44" t="s"/>
      <c r="H192" s="44" t="s"/>
      <c r="I192" s="42" t="s">
        <v>1545</v>
      </c>
      <c r="J192" s="44" t="s">
        <v>1553</v>
      </c>
      <c r="K192" s="42" t="s">
        <v>314</v>
      </c>
      <c r="L192" s="42" t="s">
        <v>316</v>
      </c>
      <c r="M192" s="42" t="s">
        <v>314</v>
      </c>
      <c r="N192" s="44" t="s">
        <v>314</v>
      </c>
      <c r="O192" s="42" t="s">
        <v>314</v>
      </c>
      <c r="P192" s="44" t="s">
        <v>1554</v>
      </c>
      <c r="Q192" s="44" t="s">
        <v>1555</v>
      </c>
      <c r="R192" s="42" t="s">
        <v>320</v>
      </c>
      <c r="S192" s="42" t="s">
        <v>904</v>
      </c>
      <c r="T192" s="42" t="s">
        <v>322</v>
      </c>
      <c r="U192" s="44" t="s">
        <v>1512</v>
      </c>
      <c r="V192" s="44" t="s">
        <v>1548</v>
      </c>
      <c r="W192" s="45" t="s">
        <v>314</v>
      </c>
      <c r="X192" s="44" t="s">
        <v>1556</v>
      </c>
      <c r="Y192" s="44" t="s">
        <v>1557</v>
      </c>
    </row>
    <row r="193" spans="1:25">
      <c r="A193" s="46">
        <v>190</v>
      </c>
      <c r="B193" s="47" t="s">
        <v>1558</v>
      </c>
      <c r="C193" s="48" t="s">
        <v>1559</v>
      </c>
      <c r="D193" s="46" t="s">
        <v>103</v>
      </c>
      <c r="E193" s="46" t="s">
        <v>1560</v>
      </c>
      <c r="F193" s="48" t="s">
        <v>668</v>
      </c>
      <c r="G193" s="48" t="s"/>
      <c r="H193" s="48" t="s"/>
      <c r="I193" s="46" t="s">
        <v>669</v>
      </c>
      <c r="J193" s="48" t="s">
        <v>1561</v>
      </c>
      <c r="K193" s="46" t="s">
        <v>1562</v>
      </c>
      <c r="L193" s="46" t="s">
        <v>1563</v>
      </c>
      <c r="M193" s="46" t="s">
        <v>500</v>
      </c>
      <c r="N193" s="48" t="s">
        <v>996</v>
      </c>
      <c r="O193" s="46" t="s">
        <v>314</v>
      </c>
      <c r="P193" s="48" t="s">
        <v>1564</v>
      </c>
      <c r="Q193" s="48" t="s">
        <v>1565</v>
      </c>
      <c r="R193" s="46" t="s">
        <v>1566</v>
      </c>
      <c r="S193" s="46" t="s">
        <v>426</v>
      </c>
      <c r="T193" s="46" t="s">
        <v>322</v>
      </c>
      <c r="U193" s="48" t="s">
        <v>1512</v>
      </c>
      <c r="V193" s="48" t="s">
        <v>1567</v>
      </c>
      <c r="W193" s="49" t="s">
        <v>1568</v>
      </c>
      <c r="X193" s="48" t="s">
        <v>1569</v>
      </c>
      <c r="Y193" s="48" t="s">
        <v>1570</v>
      </c>
    </row>
    <row r="194" spans="1:25">
      <c r="A194" s="46">
        <v>191</v>
      </c>
      <c r="B194" s="47" t="s">
        <v>1571</v>
      </c>
      <c r="C194" s="48" t="s">
        <v>1572</v>
      </c>
      <c r="D194" s="46" t="s">
        <v>103</v>
      </c>
      <c r="E194" s="46" t="s">
        <v>1560</v>
      </c>
      <c r="F194" s="48" t="s">
        <v>534</v>
      </c>
      <c r="G194" s="48" t="s"/>
      <c r="H194" s="48" t="s"/>
      <c r="I194" s="46" t="s">
        <v>440</v>
      </c>
      <c r="J194" s="48" t="s">
        <v>1573</v>
      </c>
      <c r="K194" s="46" t="s">
        <v>536</v>
      </c>
      <c r="L194" s="46" t="s">
        <v>522</v>
      </c>
      <c r="M194" s="46" t="s">
        <v>523</v>
      </c>
      <c r="N194" s="48" t="s">
        <v>996</v>
      </c>
      <c r="O194" s="46" t="s">
        <v>314</v>
      </c>
      <c r="P194" s="48" t="s">
        <v>1574</v>
      </c>
      <c r="Q194" s="48" t="s">
        <v>1565</v>
      </c>
      <c r="R194" s="46" t="s">
        <v>510</v>
      </c>
      <c r="S194" s="46" t="s">
        <v>426</v>
      </c>
      <c r="T194" s="46" t="s">
        <v>322</v>
      </c>
      <c r="U194" s="48" t="s">
        <v>999</v>
      </c>
      <c r="V194" s="48" t="s">
        <v>1575</v>
      </c>
      <c r="W194" s="49" t="s">
        <v>1576</v>
      </c>
      <c r="X194" s="48" t="s">
        <v>1569</v>
      </c>
      <c r="Y194" s="48" t="s">
        <v>1577</v>
      </c>
    </row>
    <row r="195" spans="1:25">
      <c r="A195" s="46">
        <v>192</v>
      </c>
      <c r="B195" s="47" t="s">
        <v>1578</v>
      </c>
      <c r="C195" s="48" t="s">
        <v>1579</v>
      </c>
      <c r="D195" s="46" t="s">
        <v>103</v>
      </c>
      <c r="E195" s="46" t="s">
        <v>1560</v>
      </c>
      <c r="F195" s="48" t="s">
        <v>439</v>
      </c>
      <c r="G195" s="48" t="s"/>
      <c r="H195" s="48" t="s"/>
      <c r="I195" s="46" t="s">
        <v>440</v>
      </c>
      <c r="J195" s="48" t="s">
        <v>1580</v>
      </c>
      <c r="K195" s="46" t="s">
        <v>442</v>
      </c>
      <c r="L195" s="46" t="s">
        <v>443</v>
      </c>
      <c r="M195" s="46" t="s">
        <v>444</v>
      </c>
      <c r="N195" s="48" t="s">
        <v>996</v>
      </c>
      <c r="O195" s="46" t="s">
        <v>314</v>
      </c>
      <c r="P195" s="48" t="s">
        <v>1574</v>
      </c>
      <c r="Q195" s="48" t="s">
        <v>1565</v>
      </c>
      <c r="R195" s="46" t="s">
        <v>510</v>
      </c>
      <c r="S195" s="46" t="s">
        <v>426</v>
      </c>
      <c r="T195" s="46" t="s">
        <v>322</v>
      </c>
      <c r="U195" s="48" t="s">
        <v>999</v>
      </c>
      <c r="V195" s="48" t="s">
        <v>1581</v>
      </c>
      <c r="W195" s="49" t="s">
        <v>314</v>
      </c>
      <c r="X195" s="48" t="s">
        <v>1569</v>
      </c>
      <c r="Y195" s="48" t="s">
        <v>1582</v>
      </c>
    </row>
    <row r="196" spans="1:25">
      <c r="A196" s="46">
        <v>193</v>
      </c>
      <c r="B196" s="47" t="s">
        <v>1583</v>
      </c>
      <c r="C196" s="48" t="s">
        <v>1584</v>
      </c>
      <c r="D196" s="46" t="s">
        <v>103</v>
      </c>
      <c r="E196" s="46" t="s">
        <v>1560</v>
      </c>
      <c r="F196" s="48" t="s">
        <v>496</v>
      </c>
      <c r="G196" s="48" t="s"/>
      <c r="H196" s="48" t="s"/>
      <c r="I196" s="46" t="s">
        <v>440</v>
      </c>
      <c r="J196" s="48" t="s">
        <v>1585</v>
      </c>
      <c r="K196" s="46" t="s">
        <v>508</v>
      </c>
      <c r="L196" s="46" t="s">
        <v>1563</v>
      </c>
      <c r="M196" s="46" t="s">
        <v>500</v>
      </c>
      <c r="N196" s="48" t="s">
        <v>996</v>
      </c>
      <c r="O196" s="46" t="s">
        <v>314</v>
      </c>
      <c r="P196" s="48" t="s">
        <v>1574</v>
      </c>
      <c r="Q196" s="48" t="s">
        <v>1565</v>
      </c>
      <c r="R196" s="46" t="s">
        <v>510</v>
      </c>
      <c r="S196" s="46" t="s">
        <v>426</v>
      </c>
      <c r="T196" s="46" t="s">
        <v>322</v>
      </c>
      <c r="U196" s="48" t="s">
        <v>999</v>
      </c>
      <c r="V196" s="48" t="s">
        <v>1586</v>
      </c>
      <c r="W196" s="49" t="s">
        <v>314</v>
      </c>
      <c r="X196" s="48" t="s">
        <v>1569</v>
      </c>
      <c r="Y196" s="48" t="s">
        <v>1587</v>
      </c>
    </row>
    <row r="197" spans="1:25">
      <c r="A197" s="46">
        <v>194</v>
      </c>
      <c r="B197" s="47" t="s">
        <v>1588</v>
      </c>
      <c r="C197" s="48" t="s">
        <v>1589</v>
      </c>
      <c r="D197" s="46" t="s">
        <v>103</v>
      </c>
      <c r="E197" s="46" t="s">
        <v>1560</v>
      </c>
      <c r="F197" s="48" t="s">
        <v>486</v>
      </c>
      <c r="G197" s="48" t="s"/>
      <c r="H197" s="48" t="s"/>
      <c r="I197" s="46" t="s">
        <v>440</v>
      </c>
      <c r="J197" s="48" t="s">
        <v>1590</v>
      </c>
      <c r="K197" s="46" t="s">
        <v>488</v>
      </c>
      <c r="L197" s="46" t="s">
        <v>1563</v>
      </c>
      <c r="M197" s="46" t="s">
        <v>500</v>
      </c>
      <c r="N197" s="48" t="s">
        <v>996</v>
      </c>
      <c r="O197" s="46" t="s">
        <v>314</v>
      </c>
      <c r="P197" s="48" t="s">
        <v>1574</v>
      </c>
      <c r="Q197" s="48" t="s">
        <v>1565</v>
      </c>
      <c r="R197" s="46" t="s">
        <v>510</v>
      </c>
      <c r="S197" s="46" t="s">
        <v>426</v>
      </c>
      <c r="T197" s="46" t="s">
        <v>322</v>
      </c>
      <c r="U197" s="48" t="s">
        <v>999</v>
      </c>
      <c r="V197" s="48" t="s">
        <v>1591</v>
      </c>
      <c r="W197" s="49" t="s">
        <v>314</v>
      </c>
      <c r="X197" s="48" t="s">
        <v>1569</v>
      </c>
      <c r="Y197" s="48" t="s">
        <v>1592</v>
      </c>
    </row>
    <row r="198" spans="1:25">
      <c r="A198" s="46">
        <v>195</v>
      </c>
      <c r="B198" s="47" t="s">
        <v>1593</v>
      </c>
      <c r="C198" s="48" t="s">
        <v>1594</v>
      </c>
      <c r="D198" s="46" t="s">
        <v>103</v>
      </c>
      <c r="E198" s="46" t="s">
        <v>1560</v>
      </c>
      <c r="F198" s="48" t="s">
        <v>646</v>
      </c>
      <c r="G198" s="48" t="s"/>
      <c r="H198" s="48" t="s"/>
      <c r="I198" s="46" t="s">
        <v>440</v>
      </c>
      <c r="J198" s="48" t="s">
        <v>1595</v>
      </c>
      <c r="K198" s="46" t="s">
        <v>498</v>
      </c>
      <c r="L198" s="46" t="s">
        <v>522</v>
      </c>
      <c r="M198" s="46" t="s">
        <v>523</v>
      </c>
      <c r="N198" s="48" t="s">
        <v>996</v>
      </c>
      <c r="O198" s="46" t="s">
        <v>314</v>
      </c>
      <c r="P198" s="48" t="s">
        <v>1596</v>
      </c>
      <c r="Q198" s="48" t="s">
        <v>1565</v>
      </c>
      <c r="R198" s="46" t="s">
        <v>510</v>
      </c>
      <c r="S198" s="46" t="s">
        <v>426</v>
      </c>
      <c r="T198" s="46" t="s">
        <v>322</v>
      </c>
      <c r="U198" s="48" t="s">
        <v>999</v>
      </c>
      <c r="V198" s="48" t="s">
        <v>1597</v>
      </c>
      <c r="W198" s="49" t="s">
        <v>314</v>
      </c>
      <c r="X198" s="48" t="s">
        <v>1569</v>
      </c>
      <c r="Y198" s="48" t="s">
        <v>1598</v>
      </c>
    </row>
    <row r="199" spans="1:25">
      <c r="A199" s="50">
        <v>196</v>
      </c>
      <c r="B199" s="51" t="s">
        <v>1599</v>
      </c>
      <c r="C199" s="52" t="s">
        <v>1600</v>
      </c>
      <c r="D199" s="50" t="s">
        <v>107</v>
      </c>
      <c r="E199" s="50" t="s">
        <v>994</v>
      </c>
      <c r="F199" s="52" t="s">
        <v>1601</v>
      </c>
      <c r="G199" s="52" t="s">
        <v>1602</v>
      </c>
      <c r="H199" s="52" t="s">
        <v>1603</v>
      </c>
      <c r="I199" s="50" t="s">
        <v>440</v>
      </c>
      <c r="J199" s="52" t="s">
        <v>1604</v>
      </c>
      <c r="K199" s="50" t="s">
        <v>442</v>
      </c>
      <c r="L199" s="50" t="s">
        <v>443</v>
      </c>
      <c r="M199" s="50" t="s">
        <v>444</v>
      </c>
      <c r="N199" s="52" t="s">
        <v>1605</v>
      </c>
      <c r="O199" s="50" t="s">
        <v>314</v>
      </c>
      <c r="P199" s="52" t="s">
        <v>1606</v>
      </c>
      <c r="Q199" s="52" t="s">
        <v>1607</v>
      </c>
      <c r="R199" s="50" t="s">
        <v>448</v>
      </c>
      <c r="S199" s="50" t="s">
        <v>426</v>
      </c>
      <c r="T199" s="50" t="s">
        <v>322</v>
      </c>
      <c r="U199" s="52" t="s">
        <v>999</v>
      </c>
      <c r="V199" s="52" t="s">
        <v>1608</v>
      </c>
      <c r="W199" s="53" t="s">
        <v>314</v>
      </c>
      <c r="X199" s="52" t="s">
        <v>1609</v>
      </c>
      <c r="Y199" s="52" t="s">
        <v>1610</v>
      </c>
    </row>
    <row r="200" spans="1:25">
      <c r="A200" s="50">
        <v>197</v>
      </c>
      <c r="B200" s="51" t="s">
        <v>1611</v>
      </c>
      <c r="C200" s="52" t="s">
        <v>1612</v>
      </c>
      <c r="D200" s="50" t="s">
        <v>107</v>
      </c>
      <c r="E200" s="50" t="s">
        <v>994</v>
      </c>
      <c r="F200" s="52" t="s">
        <v>1613</v>
      </c>
      <c r="G200" s="52" t="s">
        <v>1602</v>
      </c>
      <c r="H200" s="52" t="s">
        <v>1614</v>
      </c>
      <c r="I200" s="50" t="s">
        <v>440</v>
      </c>
      <c r="J200" s="52" t="s">
        <v>1615</v>
      </c>
      <c r="K200" s="50" t="s">
        <v>442</v>
      </c>
      <c r="L200" s="50" t="s">
        <v>443</v>
      </c>
      <c r="M200" s="50" t="s">
        <v>444</v>
      </c>
      <c r="N200" s="52" t="s">
        <v>1605</v>
      </c>
      <c r="O200" s="50" t="s">
        <v>314</v>
      </c>
      <c r="P200" s="52" t="s">
        <v>1606</v>
      </c>
      <c r="Q200" s="52" t="s">
        <v>1607</v>
      </c>
      <c r="R200" s="50" t="s">
        <v>448</v>
      </c>
      <c r="S200" s="50" t="s">
        <v>426</v>
      </c>
      <c r="T200" s="50" t="s">
        <v>322</v>
      </c>
      <c r="U200" s="52" t="s">
        <v>999</v>
      </c>
      <c r="V200" s="52" t="s">
        <v>1616</v>
      </c>
      <c r="W200" s="53" t="s">
        <v>314</v>
      </c>
      <c r="X200" s="52" t="s">
        <v>1609</v>
      </c>
      <c r="Y200" s="52" t="s">
        <v>1617</v>
      </c>
    </row>
    <row r="201" spans="1:25">
      <c r="A201" s="50">
        <v>198</v>
      </c>
      <c r="B201" s="51" t="s">
        <v>1618</v>
      </c>
      <c r="C201" s="52" t="s">
        <v>1619</v>
      </c>
      <c r="D201" s="50" t="s">
        <v>107</v>
      </c>
      <c r="E201" s="50" t="s">
        <v>994</v>
      </c>
      <c r="F201" s="52" t="s">
        <v>1620</v>
      </c>
      <c r="G201" s="52" t="s">
        <v>1602</v>
      </c>
      <c r="H201" s="52" t="s">
        <v>1621</v>
      </c>
      <c r="I201" s="50" t="s">
        <v>440</v>
      </c>
      <c r="J201" s="52" t="s">
        <v>1622</v>
      </c>
      <c r="K201" s="50" t="s">
        <v>442</v>
      </c>
      <c r="L201" s="50" t="s">
        <v>443</v>
      </c>
      <c r="M201" s="50" t="s">
        <v>444</v>
      </c>
      <c r="N201" s="52" t="s">
        <v>1605</v>
      </c>
      <c r="O201" s="50" t="s">
        <v>314</v>
      </c>
      <c r="P201" s="52" t="s">
        <v>1606</v>
      </c>
      <c r="Q201" s="52" t="s">
        <v>1607</v>
      </c>
      <c r="R201" s="50" t="s">
        <v>448</v>
      </c>
      <c r="S201" s="50" t="s">
        <v>426</v>
      </c>
      <c r="T201" s="50" t="s">
        <v>322</v>
      </c>
      <c r="U201" s="52" t="s">
        <v>999</v>
      </c>
      <c r="V201" s="52" t="s">
        <v>1623</v>
      </c>
      <c r="W201" s="53" t="s">
        <v>314</v>
      </c>
      <c r="X201" s="52" t="s">
        <v>1609</v>
      </c>
      <c r="Y201" s="52" t="s">
        <v>1624</v>
      </c>
    </row>
    <row r="202" spans="1:25">
      <c r="A202" s="50">
        <v>199</v>
      </c>
      <c r="B202" s="51" t="s">
        <v>1625</v>
      </c>
      <c r="C202" s="52" t="s">
        <v>1626</v>
      </c>
      <c r="D202" s="50" t="s">
        <v>107</v>
      </c>
      <c r="E202" s="50" t="s">
        <v>994</v>
      </c>
      <c r="F202" s="52" t="s">
        <v>1627</v>
      </c>
      <c r="G202" s="52" t="s">
        <v>1628</v>
      </c>
      <c r="H202" s="52" t="s">
        <v>1629</v>
      </c>
      <c r="I202" s="50" t="s">
        <v>440</v>
      </c>
      <c r="J202" s="52" t="s">
        <v>1630</v>
      </c>
      <c r="K202" s="50" t="s">
        <v>442</v>
      </c>
      <c r="L202" s="50" t="s">
        <v>443</v>
      </c>
      <c r="M202" s="50" t="s">
        <v>444</v>
      </c>
      <c r="N202" s="52" t="s">
        <v>1605</v>
      </c>
      <c r="O202" s="50" t="s">
        <v>314</v>
      </c>
      <c r="P202" s="52" t="s">
        <v>1606</v>
      </c>
      <c r="Q202" s="52" t="s">
        <v>1607</v>
      </c>
      <c r="R202" s="50" t="s">
        <v>448</v>
      </c>
      <c r="S202" s="50" t="s">
        <v>426</v>
      </c>
      <c r="T202" s="50" t="s">
        <v>322</v>
      </c>
      <c r="U202" s="52" t="s">
        <v>999</v>
      </c>
      <c r="V202" s="52" t="s">
        <v>1631</v>
      </c>
      <c r="W202" s="53" t="s">
        <v>314</v>
      </c>
      <c r="X202" s="52" t="s">
        <v>1609</v>
      </c>
      <c r="Y202" s="52" t="s">
        <v>1632</v>
      </c>
    </row>
    <row r="203" spans="1:25">
      <c r="A203" s="50">
        <v>200</v>
      </c>
      <c r="B203" s="51" t="s">
        <v>1633</v>
      </c>
      <c r="C203" s="52" t="s">
        <v>1634</v>
      </c>
      <c r="D203" s="50" t="s">
        <v>107</v>
      </c>
      <c r="E203" s="50" t="s">
        <v>994</v>
      </c>
      <c r="F203" s="52" t="s">
        <v>1635</v>
      </c>
      <c r="G203" s="52" t="s">
        <v>1628</v>
      </c>
      <c r="H203" s="52" t="s">
        <v>1636</v>
      </c>
      <c r="I203" s="50" t="s">
        <v>440</v>
      </c>
      <c r="J203" s="52" t="s">
        <v>1637</v>
      </c>
      <c r="K203" s="50" t="s">
        <v>442</v>
      </c>
      <c r="L203" s="50" t="s">
        <v>443</v>
      </c>
      <c r="M203" s="50" t="s">
        <v>444</v>
      </c>
      <c r="N203" s="52" t="s">
        <v>1605</v>
      </c>
      <c r="O203" s="50" t="s">
        <v>314</v>
      </c>
      <c r="P203" s="52" t="s">
        <v>1606</v>
      </c>
      <c r="Q203" s="52" t="s">
        <v>1607</v>
      </c>
      <c r="R203" s="50" t="s">
        <v>448</v>
      </c>
      <c r="S203" s="50" t="s">
        <v>426</v>
      </c>
      <c r="T203" s="50" t="s">
        <v>322</v>
      </c>
      <c r="U203" s="52" t="s">
        <v>999</v>
      </c>
      <c r="V203" s="52" t="s">
        <v>1638</v>
      </c>
      <c r="W203" s="53" t="s">
        <v>314</v>
      </c>
      <c r="X203" s="52" t="s">
        <v>1609</v>
      </c>
      <c r="Y203" s="52" t="s">
        <v>1639</v>
      </c>
    </row>
    <row r="204" spans="1:25">
      <c r="A204" s="50">
        <v>201</v>
      </c>
      <c r="B204" s="51" t="s">
        <v>1640</v>
      </c>
      <c r="C204" s="52" t="s">
        <v>1641</v>
      </c>
      <c r="D204" s="50" t="s">
        <v>107</v>
      </c>
      <c r="E204" s="50" t="s">
        <v>994</v>
      </c>
      <c r="F204" s="52" t="s">
        <v>1642</v>
      </c>
      <c r="G204" s="52" t="s">
        <v>1628</v>
      </c>
      <c r="H204" s="52" t="s">
        <v>1643</v>
      </c>
      <c r="I204" s="50" t="s">
        <v>440</v>
      </c>
      <c r="J204" s="52" t="s">
        <v>1644</v>
      </c>
      <c r="K204" s="50" t="s">
        <v>442</v>
      </c>
      <c r="L204" s="50" t="s">
        <v>443</v>
      </c>
      <c r="M204" s="50" t="s">
        <v>444</v>
      </c>
      <c r="N204" s="52" t="s">
        <v>1605</v>
      </c>
      <c r="O204" s="50" t="s">
        <v>314</v>
      </c>
      <c r="P204" s="52" t="s">
        <v>1606</v>
      </c>
      <c r="Q204" s="52" t="s">
        <v>1607</v>
      </c>
      <c r="R204" s="50" t="s">
        <v>448</v>
      </c>
      <c r="S204" s="50" t="s">
        <v>426</v>
      </c>
      <c r="T204" s="50" t="s">
        <v>322</v>
      </c>
      <c r="U204" s="52" t="s">
        <v>999</v>
      </c>
      <c r="V204" s="52" t="s">
        <v>1645</v>
      </c>
      <c r="W204" s="53" t="s">
        <v>314</v>
      </c>
      <c r="X204" s="52" t="s">
        <v>1609</v>
      </c>
      <c r="Y204" s="52" t="s">
        <v>1646</v>
      </c>
    </row>
    <row r="205" spans="1:25">
      <c r="A205" s="50">
        <v>202</v>
      </c>
      <c r="B205" s="51" t="s">
        <v>1647</v>
      </c>
      <c r="C205" s="52" t="s">
        <v>1648</v>
      </c>
      <c r="D205" s="50" t="s">
        <v>107</v>
      </c>
      <c r="E205" s="50" t="s">
        <v>994</v>
      </c>
      <c r="F205" s="52" t="s">
        <v>1649</v>
      </c>
      <c r="G205" s="52" t="s">
        <v>1628</v>
      </c>
      <c r="H205" s="52" t="s">
        <v>1650</v>
      </c>
      <c r="I205" s="50" t="s">
        <v>440</v>
      </c>
      <c r="J205" s="52" t="s">
        <v>1651</v>
      </c>
      <c r="K205" s="50" t="s">
        <v>442</v>
      </c>
      <c r="L205" s="50" t="s">
        <v>443</v>
      </c>
      <c r="M205" s="50" t="s">
        <v>444</v>
      </c>
      <c r="N205" s="52" t="s">
        <v>1605</v>
      </c>
      <c r="O205" s="50" t="s">
        <v>314</v>
      </c>
      <c r="P205" s="52" t="s">
        <v>1606</v>
      </c>
      <c r="Q205" s="52" t="s">
        <v>1607</v>
      </c>
      <c r="R205" s="50" t="s">
        <v>448</v>
      </c>
      <c r="S205" s="50" t="s">
        <v>426</v>
      </c>
      <c r="T205" s="50" t="s">
        <v>322</v>
      </c>
      <c r="U205" s="52" t="s">
        <v>999</v>
      </c>
      <c r="V205" s="52" t="s">
        <v>1652</v>
      </c>
      <c r="W205" s="53" t="s">
        <v>314</v>
      </c>
      <c r="X205" s="52" t="s">
        <v>1609</v>
      </c>
      <c r="Y205" s="52" t="s">
        <v>1653</v>
      </c>
    </row>
    <row r="206" spans="1:25">
      <c r="A206" s="50">
        <v>203</v>
      </c>
      <c r="B206" s="51" t="s">
        <v>1654</v>
      </c>
      <c r="C206" s="52" t="s">
        <v>1655</v>
      </c>
      <c r="D206" s="50" t="s">
        <v>107</v>
      </c>
      <c r="E206" s="50" t="s">
        <v>994</v>
      </c>
      <c r="F206" s="52" t="s">
        <v>1656</v>
      </c>
      <c r="G206" s="52" t="s">
        <v>1657</v>
      </c>
      <c r="H206" s="52" t="s">
        <v>1658</v>
      </c>
      <c r="I206" s="50" t="s">
        <v>440</v>
      </c>
      <c r="J206" s="52" t="s">
        <v>1659</v>
      </c>
      <c r="K206" s="50" t="s">
        <v>442</v>
      </c>
      <c r="L206" s="50" t="s">
        <v>443</v>
      </c>
      <c r="M206" s="50" t="s">
        <v>444</v>
      </c>
      <c r="N206" s="52" t="s">
        <v>1605</v>
      </c>
      <c r="O206" s="50" t="s">
        <v>314</v>
      </c>
      <c r="P206" s="52" t="s">
        <v>1606</v>
      </c>
      <c r="Q206" s="52" t="s">
        <v>1607</v>
      </c>
      <c r="R206" s="50" t="s">
        <v>448</v>
      </c>
      <c r="S206" s="50" t="s">
        <v>426</v>
      </c>
      <c r="T206" s="50" t="s">
        <v>322</v>
      </c>
      <c r="U206" s="52" t="s">
        <v>999</v>
      </c>
      <c r="V206" s="52" t="s">
        <v>1660</v>
      </c>
      <c r="W206" s="53" t="s">
        <v>314</v>
      </c>
      <c r="X206" s="52" t="s">
        <v>1609</v>
      </c>
      <c r="Y206" s="52" t="s">
        <v>1661</v>
      </c>
    </row>
    <row r="207" spans="1:25">
      <c r="A207" s="50">
        <v>204</v>
      </c>
      <c r="B207" s="51" t="s">
        <v>1662</v>
      </c>
      <c r="C207" s="52" t="s">
        <v>1663</v>
      </c>
      <c r="D207" s="50" t="s">
        <v>107</v>
      </c>
      <c r="E207" s="50" t="s">
        <v>994</v>
      </c>
      <c r="F207" s="52" t="s">
        <v>1664</v>
      </c>
      <c r="G207" s="52" t="s">
        <v>1657</v>
      </c>
      <c r="H207" s="52" t="s">
        <v>1665</v>
      </c>
      <c r="I207" s="50" t="s">
        <v>440</v>
      </c>
      <c r="J207" s="52" t="s">
        <v>1666</v>
      </c>
      <c r="K207" s="50" t="s">
        <v>442</v>
      </c>
      <c r="L207" s="50" t="s">
        <v>443</v>
      </c>
      <c r="M207" s="50" t="s">
        <v>444</v>
      </c>
      <c r="N207" s="52" t="s">
        <v>1605</v>
      </c>
      <c r="O207" s="50" t="s">
        <v>314</v>
      </c>
      <c r="P207" s="52" t="s">
        <v>1606</v>
      </c>
      <c r="Q207" s="52" t="s">
        <v>1607</v>
      </c>
      <c r="R207" s="50" t="s">
        <v>448</v>
      </c>
      <c r="S207" s="50" t="s">
        <v>426</v>
      </c>
      <c r="T207" s="50" t="s">
        <v>322</v>
      </c>
      <c r="U207" s="52" t="s">
        <v>999</v>
      </c>
      <c r="V207" s="52" t="s">
        <v>1667</v>
      </c>
      <c r="W207" s="53" t="s">
        <v>314</v>
      </c>
      <c r="X207" s="52" t="s">
        <v>1609</v>
      </c>
      <c r="Y207" s="52" t="s">
        <v>1668</v>
      </c>
    </row>
    <row r="208" spans="1:25">
      <c r="A208" s="50">
        <v>205</v>
      </c>
      <c r="B208" s="51" t="s">
        <v>1669</v>
      </c>
      <c r="C208" s="52" t="s">
        <v>1670</v>
      </c>
      <c r="D208" s="50" t="s">
        <v>107</v>
      </c>
      <c r="E208" s="50" t="s">
        <v>994</v>
      </c>
      <c r="F208" s="52" t="s">
        <v>1671</v>
      </c>
      <c r="G208" s="52" t="s">
        <v>1672</v>
      </c>
      <c r="H208" s="52" t="s">
        <v>1673</v>
      </c>
      <c r="I208" s="50" t="s">
        <v>440</v>
      </c>
      <c r="J208" s="52" t="s">
        <v>1674</v>
      </c>
      <c r="K208" s="50" t="s">
        <v>442</v>
      </c>
      <c r="L208" s="50" t="s">
        <v>443</v>
      </c>
      <c r="M208" s="50" t="s">
        <v>444</v>
      </c>
      <c r="N208" s="52" t="s">
        <v>1605</v>
      </c>
      <c r="O208" s="50" t="s">
        <v>314</v>
      </c>
      <c r="P208" s="52" t="s">
        <v>1606</v>
      </c>
      <c r="Q208" s="52" t="s">
        <v>1607</v>
      </c>
      <c r="R208" s="50" t="s">
        <v>448</v>
      </c>
      <c r="S208" s="50" t="s">
        <v>426</v>
      </c>
      <c r="T208" s="50" t="s">
        <v>322</v>
      </c>
      <c r="U208" s="52" t="s">
        <v>999</v>
      </c>
      <c r="V208" s="52" t="s">
        <v>1675</v>
      </c>
      <c r="W208" s="53" t="s">
        <v>314</v>
      </c>
      <c r="X208" s="52" t="s">
        <v>1609</v>
      </c>
      <c r="Y208" s="52" t="s">
        <v>1676</v>
      </c>
    </row>
    <row r="209" spans="1:25">
      <c r="A209" s="50">
        <v>206</v>
      </c>
      <c r="B209" s="51" t="s">
        <v>1677</v>
      </c>
      <c r="C209" s="52" t="s">
        <v>1678</v>
      </c>
      <c r="D209" s="50" t="s">
        <v>107</v>
      </c>
      <c r="E209" s="50" t="s">
        <v>994</v>
      </c>
      <c r="F209" s="52" t="s">
        <v>1679</v>
      </c>
      <c r="G209" s="52" t="s">
        <v>1672</v>
      </c>
      <c r="H209" s="52" t="s">
        <v>1680</v>
      </c>
      <c r="I209" s="50" t="s">
        <v>440</v>
      </c>
      <c r="J209" s="52" t="s">
        <v>1681</v>
      </c>
      <c r="K209" s="50" t="s">
        <v>442</v>
      </c>
      <c r="L209" s="50" t="s">
        <v>443</v>
      </c>
      <c r="M209" s="50" t="s">
        <v>444</v>
      </c>
      <c r="N209" s="52" t="s">
        <v>1605</v>
      </c>
      <c r="O209" s="50" t="s">
        <v>314</v>
      </c>
      <c r="P209" s="52" t="s">
        <v>1606</v>
      </c>
      <c r="Q209" s="52" t="s">
        <v>1607</v>
      </c>
      <c r="R209" s="50" t="s">
        <v>448</v>
      </c>
      <c r="S209" s="50" t="s">
        <v>426</v>
      </c>
      <c r="T209" s="50" t="s">
        <v>322</v>
      </c>
      <c r="U209" s="52" t="s">
        <v>999</v>
      </c>
      <c r="V209" s="52" t="s">
        <v>1682</v>
      </c>
      <c r="W209" s="53" t="s">
        <v>314</v>
      </c>
      <c r="X209" s="52" t="s">
        <v>1609</v>
      </c>
      <c r="Y209" s="52" t="s">
        <v>1683</v>
      </c>
    </row>
    <row r="210" spans="1:25">
      <c r="A210" s="50">
        <v>207</v>
      </c>
      <c r="B210" s="51" t="s">
        <v>1684</v>
      </c>
      <c r="C210" s="52" t="s">
        <v>1685</v>
      </c>
      <c r="D210" s="50" t="s">
        <v>107</v>
      </c>
      <c r="E210" s="50" t="s">
        <v>994</v>
      </c>
      <c r="F210" s="52" t="s">
        <v>1686</v>
      </c>
      <c r="G210" s="52" t="s">
        <v>1672</v>
      </c>
      <c r="H210" s="52" t="s">
        <v>1687</v>
      </c>
      <c r="I210" s="50" t="s">
        <v>440</v>
      </c>
      <c r="J210" s="52" t="s">
        <v>1688</v>
      </c>
      <c r="K210" s="50" t="s">
        <v>442</v>
      </c>
      <c r="L210" s="50" t="s">
        <v>443</v>
      </c>
      <c r="M210" s="50" t="s">
        <v>444</v>
      </c>
      <c r="N210" s="52" t="s">
        <v>1605</v>
      </c>
      <c r="O210" s="50" t="s">
        <v>314</v>
      </c>
      <c r="P210" s="52" t="s">
        <v>1606</v>
      </c>
      <c r="Q210" s="52" t="s">
        <v>1607</v>
      </c>
      <c r="R210" s="50" t="s">
        <v>448</v>
      </c>
      <c r="S210" s="50" t="s">
        <v>426</v>
      </c>
      <c r="T210" s="50" t="s">
        <v>322</v>
      </c>
      <c r="U210" s="52" t="s">
        <v>999</v>
      </c>
      <c r="V210" s="52" t="s">
        <v>1689</v>
      </c>
      <c r="W210" s="53" t="s">
        <v>314</v>
      </c>
      <c r="X210" s="52" t="s">
        <v>1609</v>
      </c>
      <c r="Y210" s="52" t="s">
        <v>1690</v>
      </c>
    </row>
    <row r="211" spans="1:25">
      <c r="A211" s="50">
        <v>208</v>
      </c>
      <c r="B211" s="51" t="s">
        <v>1691</v>
      </c>
      <c r="C211" s="52" t="s">
        <v>1692</v>
      </c>
      <c r="D211" s="50" t="s">
        <v>107</v>
      </c>
      <c r="E211" s="50" t="s">
        <v>994</v>
      </c>
      <c r="F211" s="52" t="s">
        <v>1693</v>
      </c>
      <c r="G211" s="52" t="s">
        <v>1694</v>
      </c>
      <c r="H211" s="52" t="s">
        <v>1695</v>
      </c>
      <c r="I211" s="50" t="s">
        <v>440</v>
      </c>
      <c r="J211" s="52" t="s">
        <v>1696</v>
      </c>
      <c r="K211" s="50" t="s">
        <v>442</v>
      </c>
      <c r="L211" s="50" t="s">
        <v>443</v>
      </c>
      <c r="M211" s="50" t="s">
        <v>444</v>
      </c>
      <c r="N211" s="52" t="s">
        <v>1605</v>
      </c>
      <c r="O211" s="50" t="s">
        <v>314</v>
      </c>
      <c r="P211" s="52" t="s">
        <v>1606</v>
      </c>
      <c r="Q211" s="52" t="s">
        <v>1607</v>
      </c>
      <c r="R211" s="50" t="s">
        <v>448</v>
      </c>
      <c r="S211" s="50" t="s">
        <v>426</v>
      </c>
      <c r="T211" s="50" t="s">
        <v>322</v>
      </c>
      <c r="U211" s="52" t="s">
        <v>999</v>
      </c>
      <c r="V211" s="52" t="s">
        <v>1697</v>
      </c>
      <c r="W211" s="53" t="s">
        <v>314</v>
      </c>
      <c r="X211" s="52" t="s">
        <v>1609</v>
      </c>
      <c r="Y211" s="52" t="s">
        <v>1698</v>
      </c>
    </row>
    <row r="212" spans="1:25">
      <c r="A212" s="50">
        <v>209</v>
      </c>
      <c r="B212" s="51" t="s">
        <v>1699</v>
      </c>
      <c r="C212" s="52" t="s">
        <v>1700</v>
      </c>
      <c r="D212" s="50" t="s">
        <v>107</v>
      </c>
      <c r="E212" s="50" t="s">
        <v>994</v>
      </c>
      <c r="F212" s="52" t="s">
        <v>1701</v>
      </c>
      <c r="G212" s="52" t="s">
        <v>1694</v>
      </c>
      <c r="H212" s="52" t="s">
        <v>1702</v>
      </c>
      <c r="I212" s="50" t="s">
        <v>440</v>
      </c>
      <c r="J212" s="52" t="s">
        <v>1703</v>
      </c>
      <c r="K212" s="50" t="s">
        <v>442</v>
      </c>
      <c r="L212" s="50" t="s">
        <v>443</v>
      </c>
      <c r="M212" s="50" t="s">
        <v>444</v>
      </c>
      <c r="N212" s="52" t="s">
        <v>1605</v>
      </c>
      <c r="O212" s="50" t="s">
        <v>314</v>
      </c>
      <c r="P212" s="52" t="s">
        <v>1606</v>
      </c>
      <c r="Q212" s="52" t="s">
        <v>1607</v>
      </c>
      <c r="R212" s="50" t="s">
        <v>448</v>
      </c>
      <c r="S212" s="50" t="s">
        <v>426</v>
      </c>
      <c r="T212" s="50" t="s">
        <v>322</v>
      </c>
      <c r="U212" s="52" t="s">
        <v>999</v>
      </c>
      <c r="V212" s="52" t="s">
        <v>1704</v>
      </c>
      <c r="W212" s="53" t="s">
        <v>314</v>
      </c>
      <c r="X212" s="52" t="s">
        <v>1609</v>
      </c>
      <c r="Y212" s="52" t="s">
        <v>1705</v>
      </c>
    </row>
    <row r="213" spans="1:25">
      <c r="A213" s="50">
        <v>210</v>
      </c>
      <c r="B213" s="51" t="s">
        <v>1706</v>
      </c>
      <c r="C213" s="52" t="s">
        <v>1707</v>
      </c>
      <c r="D213" s="50" t="s">
        <v>107</v>
      </c>
      <c r="E213" s="50" t="s">
        <v>994</v>
      </c>
      <c r="F213" s="52" t="s">
        <v>1708</v>
      </c>
      <c r="G213" s="52" t="s">
        <v>1709</v>
      </c>
      <c r="H213" s="52" t="s">
        <v>1710</v>
      </c>
      <c r="I213" s="50" t="s">
        <v>440</v>
      </c>
      <c r="J213" s="52" t="s">
        <v>1711</v>
      </c>
      <c r="K213" s="50" t="s">
        <v>442</v>
      </c>
      <c r="L213" s="50" t="s">
        <v>443</v>
      </c>
      <c r="M213" s="50" t="s">
        <v>444</v>
      </c>
      <c r="N213" s="52" t="s">
        <v>1605</v>
      </c>
      <c r="O213" s="50" t="s">
        <v>314</v>
      </c>
      <c r="P213" s="52" t="s">
        <v>1606</v>
      </c>
      <c r="Q213" s="52" t="s">
        <v>1607</v>
      </c>
      <c r="R213" s="50" t="s">
        <v>448</v>
      </c>
      <c r="S213" s="50" t="s">
        <v>426</v>
      </c>
      <c r="T213" s="50" t="s">
        <v>322</v>
      </c>
      <c r="U213" s="52" t="s">
        <v>999</v>
      </c>
      <c r="V213" s="52" t="s">
        <v>1712</v>
      </c>
      <c r="W213" s="53" t="s">
        <v>314</v>
      </c>
      <c r="X213" s="52" t="s">
        <v>1609</v>
      </c>
      <c r="Y213" s="52" t="s">
        <v>1713</v>
      </c>
    </row>
    <row r="214" spans="1:25">
      <c r="A214" s="50">
        <v>211</v>
      </c>
      <c r="B214" s="51" t="s">
        <v>1714</v>
      </c>
      <c r="C214" s="52" t="s">
        <v>1715</v>
      </c>
      <c r="D214" s="50" t="s">
        <v>107</v>
      </c>
      <c r="E214" s="50" t="s">
        <v>994</v>
      </c>
      <c r="F214" s="52" t="s">
        <v>1716</v>
      </c>
      <c r="G214" s="52" t="s">
        <v>1709</v>
      </c>
      <c r="H214" s="52" t="s">
        <v>1702</v>
      </c>
      <c r="I214" s="50" t="s">
        <v>440</v>
      </c>
      <c r="J214" s="52" t="s">
        <v>1717</v>
      </c>
      <c r="K214" s="50" t="s">
        <v>442</v>
      </c>
      <c r="L214" s="50" t="s">
        <v>443</v>
      </c>
      <c r="M214" s="50" t="s">
        <v>444</v>
      </c>
      <c r="N214" s="52" t="s">
        <v>1605</v>
      </c>
      <c r="O214" s="50" t="s">
        <v>314</v>
      </c>
      <c r="P214" s="52" t="s">
        <v>1606</v>
      </c>
      <c r="Q214" s="52" t="s">
        <v>1607</v>
      </c>
      <c r="R214" s="50" t="s">
        <v>448</v>
      </c>
      <c r="S214" s="50" t="s">
        <v>426</v>
      </c>
      <c r="T214" s="50" t="s">
        <v>322</v>
      </c>
      <c r="U214" s="52" t="s">
        <v>999</v>
      </c>
      <c r="V214" s="52" t="s">
        <v>1718</v>
      </c>
      <c r="W214" s="53" t="s">
        <v>314</v>
      </c>
      <c r="X214" s="52" t="s">
        <v>1609</v>
      </c>
      <c r="Y214" s="52" t="s">
        <v>1719</v>
      </c>
    </row>
    <row r="215" spans="1:25">
      <c r="A215" s="50">
        <v>212</v>
      </c>
      <c r="B215" s="51" t="s">
        <v>1720</v>
      </c>
      <c r="C215" s="52" t="s">
        <v>1721</v>
      </c>
      <c r="D215" s="50" t="s">
        <v>107</v>
      </c>
      <c r="E215" s="50" t="s">
        <v>994</v>
      </c>
      <c r="F215" s="52" t="s">
        <v>1722</v>
      </c>
      <c r="G215" s="52" t="s">
        <v>1723</v>
      </c>
      <c r="H215" s="52" t="s">
        <v>1710</v>
      </c>
      <c r="I215" s="50" t="s">
        <v>440</v>
      </c>
      <c r="J215" s="52" t="s">
        <v>1724</v>
      </c>
      <c r="K215" s="50" t="s">
        <v>442</v>
      </c>
      <c r="L215" s="50" t="s">
        <v>443</v>
      </c>
      <c r="M215" s="50" t="s">
        <v>444</v>
      </c>
      <c r="N215" s="52" t="s">
        <v>1605</v>
      </c>
      <c r="O215" s="50" t="s">
        <v>314</v>
      </c>
      <c r="P215" s="52" t="s">
        <v>1606</v>
      </c>
      <c r="Q215" s="52" t="s">
        <v>1607</v>
      </c>
      <c r="R215" s="50" t="s">
        <v>448</v>
      </c>
      <c r="S215" s="50" t="s">
        <v>426</v>
      </c>
      <c r="T215" s="50" t="s">
        <v>322</v>
      </c>
      <c r="U215" s="52" t="s">
        <v>999</v>
      </c>
      <c r="V215" s="52" t="s">
        <v>1725</v>
      </c>
      <c r="W215" s="53" t="s">
        <v>314</v>
      </c>
      <c r="X215" s="52" t="s">
        <v>1609</v>
      </c>
      <c r="Y215" s="52" t="s">
        <v>1726</v>
      </c>
    </row>
    <row r="216" spans="1:25">
      <c r="A216" s="50">
        <v>213</v>
      </c>
      <c r="B216" s="51" t="s">
        <v>1727</v>
      </c>
      <c r="C216" s="52" t="s">
        <v>1728</v>
      </c>
      <c r="D216" s="50" t="s">
        <v>107</v>
      </c>
      <c r="E216" s="50" t="s">
        <v>994</v>
      </c>
      <c r="F216" s="52" t="s">
        <v>1729</v>
      </c>
      <c r="G216" s="52" t="s">
        <v>1723</v>
      </c>
      <c r="H216" s="52" t="s">
        <v>1702</v>
      </c>
      <c r="I216" s="50" t="s">
        <v>440</v>
      </c>
      <c r="J216" s="52" t="s">
        <v>1730</v>
      </c>
      <c r="K216" s="50" t="s">
        <v>442</v>
      </c>
      <c r="L216" s="50" t="s">
        <v>443</v>
      </c>
      <c r="M216" s="50" t="s">
        <v>444</v>
      </c>
      <c r="N216" s="52" t="s">
        <v>1605</v>
      </c>
      <c r="O216" s="50" t="s">
        <v>314</v>
      </c>
      <c r="P216" s="52" t="s">
        <v>1606</v>
      </c>
      <c r="Q216" s="52" t="s">
        <v>1607</v>
      </c>
      <c r="R216" s="50" t="s">
        <v>448</v>
      </c>
      <c r="S216" s="50" t="s">
        <v>426</v>
      </c>
      <c r="T216" s="50" t="s">
        <v>322</v>
      </c>
      <c r="U216" s="52" t="s">
        <v>999</v>
      </c>
      <c r="V216" s="52" t="s">
        <v>1731</v>
      </c>
      <c r="W216" s="53" t="s">
        <v>314</v>
      </c>
      <c r="X216" s="52" t="s">
        <v>1609</v>
      </c>
      <c r="Y216" s="52" t="s">
        <v>1732</v>
      </c>
    </row>
    <row r="217" spans="1:25">
      <c r="A217" s="50">
        <v>214</v>
      </c>
      <c r="B217" s="51" t="s">
        <v>1733</v>
      </c>
      <c r="C217" s="52" t="s">
        <v>1734</v>
      </c>
      <c r="D217" s="50" t="s">
        <v>107</v>
      </c>
      <c r="E217" s="50" t="s">
        <v>994</v>
      </c>
      <c r="F217" s="52" t="s">
        <v>1735</v>
      </c>
      <c r="G217" s="52" t="s">
        <v>1736</v>
      </c>
      <c r="H217" s="52" t="s">
        <v>1710</v>
      </c>
      <c r="I217" s="50" t="s">
        <v>440</v>
      </c>
      <c r="J217" s="52" t="s">
        <v>1737</v>
      </c>
      <c r="K217" s="50" t="s">
        <v>442</v>
      </c>
      <c r="L217" s="50" t="s">
        <v>443</v>
      </c>
      <c r="M217" s="50" t="s">
        <v>444</v>
      </c>
      <c r="N217" s="52" t="s">
        <v>1605</v>
      </c>
      <c r="O217" s="50" t="s">
        <v>314</v>
      </c>
      <c r="P217" s="52" t="s">
        <v>1606</v>
      </c>
      <c r="Q217" s="52" t="s">
        <v>1607</v>
      </c>
      <c r="R217" s="50" t="s">
        <v>448</v>
      </c>
      <c r="S217" s="50" t="s">
        <v>426</v>
      </c>
      <c r="T217" s="50" t="s">
        <v>322</v>
      </c>
      <c r="U217" s="52" t="s">
        <v>999</v>
      </c>
      <c r="V217" s="52" t="s">
        <v>1738</v>
      </c>
      <c r="W217" s="53" t="s">
        <v>314</v>
      </c>
      <c r="X217" s="52" t="s">
        <v>1609</v>
      </c>
      <c r="Y217" s="52" t="s">
        <v>1739</v>
      </c>
    </row>
    <row r="218" spans="1:25">
      <c r="A218" s="50">
        <v>215</v>
      </c>
      <c r="B218" s="51" t="s">
        <v>1740</v>
      </c>
      <c r="C218" s="52" t="s">
        <v>1741</v>
      </c>
      <c r="D218" s="50" t="s">
        <v>107</v>
      </c>
      <c r="E218" s="50" t="s">
        <v>994</v>
      </c>
      <c r="F218" s="52" t="s">
        <v>1742</v>
      </c>
      <c r="G218" s="52" t="s">
        <v>1736</v>
      </c>
      <c r="H218" s="52" t="s">
        <v>1702</v>
      </c>
      <c r="I218" s="50" t="s">
        <v>440</v>
      </c>
      <c r="J218" s="52" t="s">
        <v>1743</v>
      </c>
      <c r="K218" s="50" t="s">
        <v>442</v>
      </c>
      <c r="L218" s="50" t="s">
        <v>443</v>
      </c>
      <c r="M218" s="50" t="s">
        <v>444</v>
      </c>
      <c r="N218" s="52" t="s">
        <v>1605</v>
      </c>
      <c r="O218" s="50" t="s">
        <v>314</v>
      </c>
      <c r="P218" s="52" t="s">
        <v>1606</v>
      </c>
      <c r="Q218" s="52" t="s">
        <v>1607</v>
      </c>
      <c r="R218" s="50" t="s">
        <v>448</v>
      </c>
      <c r="S218" s="50" t="s">
        <v>426</v>
      </c>
      <c r="T218" s="50" t="s">
        <v>322</v>
      </c>
      <c r="U218" s="52" t="s">
        <v>999</v>
      </c>
      <c r="V218" s="52" t="s">
        <v>1744</v>
      </c>
      <c r="W218" s="53" t="s">
        <v>314</v>
      </c>
      <c r="X218" s="52" t="s">
        <v>1609</v>
      </c>
      <c r="Y218" s="52" t="s">
        <v>1745</v>
      </c>
    </row>
    <row r="219" spans="1:25">
      <c r="A219" s="50">
        <v>216</v>
      </c>
      <c r="B219" s="51" t="s">
        <v>1746</v>
      </c>
      <c r="C219" s="52" t="s">
        <v>1747</v>
      </c>
      <c r="D219" s="50" t="s">
        <v>107</v>
      </c>
      <c r="E219" s="50" t="s">
        <v>994</v>
      </c>
      <c r="F219" s="52" t="s">
        <v>1748</v>
      </c>
      <c r="G219" s="52" t="s">
        <v>1749</v>
      </c>
      <c r="H219" s="52" t="s">
        <v>1750</v>
      </c>
      <c r="I219" s="50" t="s">
        <v>440</v>
      </c>
      <c r="J219" s="52" t="s">
        <v>1751</v>
      </c>
      <c r="K219" s="50" t="s">
        <v>442</v>
      </c>
      <c r="L219" s="50" t="s">
        <v>443</v>
      </c>
      <c r="M219" s="50" t="s">
        <v>444</v>
      </c>
      <c r="N219" s="52" t="s">
        <v>1605</v>
      </c>
      <c r="O219" s="50" t="s">
        <v>314</v>
      </c>
      <c r="P219" s="52" t="s">
        <v>1606</v>
      </c>
      <c r="Q219" s="52" t="s">
        <v>1607</v>
      </c>
      <c r="R219" s="50" t="s">
        <v>448</v>
      </c>
      <c r="S219" s="50" t="s">
        <v>426</v>
      </c>
      <c r="T219" s="50" t="s">
        <v>322</v>
      </c>
      <c r="U219" s="52" t="s">
        <v>999</v>
      </c>
      <c r="V219" s="52" t="s">
        <v>1752</v>
      </c>
      <c r="W219" s="53" t="s">
        <v>314</v>
      </c>
      <c r="X219" s="52" t="s">
        <v>1609</v>
      </c>
      <c r="Y219" s="52" t="s">
        <v>1753</v>
      </c>
    </row>
    <row r="220" spans="1:25">
      <c r="A220" s="50">
        <v>217</v>
      </c>
      <c r="B220" s="51" t="s">
        <v>1754</v>
      </c>
      <c r="C220" s="52" t="s">
        <v>1755</v>
      </c>
      <c r="D220" s="50" t="s">
        <v>107</v>
      </c>
      <c r="E220" s="50" t="s">
        <v>994</v>
      </c>
      <c r="F220" s="52" t="s">
        <v>1756</v>
      </c>
      <c r="G220" s="52" t="s">
        <v>1749</v>
      </c>
      <c r="H220" s="52" t="s">
        <v>1702</v>
      </c>
      <c r="I220" s="50" t="s">
        <v>440</v>
      </c>
      <c r="J220" s="52" t="s">
        <v>1757</v>
      </c>
      <c r="K220" s="50" t="s">
        <v>442</v>
      </c>
      <c r="L220" s="50" t="s">
        <v>443</v>
      </c>
      <c r="M220" s="50" t="s">
        <v>444</v>
      </c>
      <c r="N220" s="52" t="s">
        <v>1605</v>
      </c>
      <c r="O220" s="50" t="s">
        <v>314</v>
      </c>
      <c r="P220" s="52" t="s">
        <v>1606</v>
      </c>
      <c r="Q220" s="52" t="s">
        <v>1607</v>
      </c>
      <c r="R220" s="50" t="s">
        <v>448</v>
      </c>
      <c r="S220" s="50" t="s">
        <v>426</v>
      </c>
      <c r="T220" s="50" t="s">
        <v>322</v>
      </c>
      <c r="U220" s="52" t="s">
        <v>999</v>
      </c>
      <c r="V220" s="52" t="s">
        <v>1758</v>
      </c>
      <c r="W220" s="53" t="s">
        <v>314</v>
      </c>
      <c r="X220" s="52" t="s">
        <v>1609</v>
      </c>
      <c r="Y220" s="52" t="s">
        <v>1759</v>
      </c>
    </row>
    <row r="221" spans="1:25">
      <c r="A221" s="50">
        <v>218</v>
      </c>
      <c r="B221" s="51" t="s">
        <v>1760</v>
      </c>
      <c r="C221" s="52" t="s">
        <v>1761</v>
      </c>
      <c r="D221" s="50" t="s">
        <v>107</v>
      </c>
      <c r="E221" s="50" t="s">
        <v>994</v>
      </c>
      <c r="F221" s="52" t="s">
        <v>1762</v>
      </c>
      <c r="G221" s="52" t="s">
        <v>1763</v>
      </c>
      <c r="H221" s="52" t="s">
        <v>1710</v>
      </c>
      <c r="I221" s="50" t="s">
        <v>440</v>
      </c>
      <c r="J221" s="52" t="s">
        <v>1764</v>
      </c>
      <c r="K221" s="50" t="s">
        <v>442</v>
      </c>
      <c r="L221" s="50" t="s">
        <v>443</v>
      </c>
      <c r="M221" s="50" t="s">
        <v>444</v>
      </c>
      <c r="N221" s="52" t="s">
        <v>1605</v>
      </c>
      <c r="O221" s="50" t="s">
        <v>314</v>
      </c>
      <c r="P221" s="52" t="s">
        <v>1606</v>
      </c>
      <c r="Q221" s="52" t="s">
        <v>1607</v>
      </c>
      <c r="R221" s="50" t="s">
        <v>448</v>
      </c>
      <c r="S221" s="50" t="s">
        <v>426</v>
      </c>
      <c r="T221" s="50" t="s">
        <v>322</v>
      </c>
      <c r="U221" s="52" t="s">
        <v>999</v>
      </c>
      <c r="V221" s="52" t="s">
        <v>1765</v>
      </c>
      <c r="W221" s="53" t="s">
        <v>314</v>
      </c>
      <c r="X221" s="52" t="s">
        <v>1609</v>
      </c>
      <c r="Y221" s="52" t="s">
        <v>1766</v>
      </c>
    </row>
    <row r="222" spans="1:25">
      <c r="A222" s="50">
        <v>219</v>
      </c>
      <c r="B222" s="51" t="s">
        <v>1767</v>
      </c>
      <c r="C222" s="52" t="s">
        <v>1768</v>
      </c>
      <c r="D222" s="50" t="s">
        <v>107</v>
      </c>
      <c r="E222" s="50" t="s">
        <v>994</v>
      </c>
      <c r="F222" s="52" t="s">
        <v>1769</v>
      </c>
      <c r="G222" s="52" t="s">
        <v>1763</v>
      </c>
      <c r="H222" s="52" t="s">
        <v>1702</v>
      </c>
      <c r="I222" s="50" t="s">
        <v>440</v>
      </c>
      <c r="J222" s="52" t="s">
        <v>1770</v>
      </c>
      <c r="K222" s="50" t="s">
        <v>442</v>
      </c>
      <c r="L222" s="50" t="s">
        <v>443</v>
      </c>
      <c r="M222" s="50" t="s">
        <v>444</v>
      </c>
      <c r="N222" s="52" t="s">
        <v>1605</v>
      </c>
      <c r="O222" s="50" t="s">
        <v>314</v>
      </c>
      <c r="P222" s="52" t="s">
        <v>1606</v>
      </c>
      <c r="Q222" s="52" t="s">
        <v>1607</v>
      </c>
      <c r="R222" s="50" t="s">
        <v>448</v>
      </c>
      <c r="S222" s="50" t="s">
        <v>426</v>
      </c>
      <c r="T222" s="50" t="s">
        <v>322</v>
      </c>
      <c r="U222" s="52" t="s">
        <v>999</v>
      </c>
      <c r="V222" s="52" t="s">
        <v>1771</v>
      </c>
      <c r="W222" s="53" t="s">
        <v>314</v>
      </c>
      <c r="X222" s="52" t="s">
        <v>1609</v>
      </c>
      <c r="Y222" s="52" t="s">
        <v>1772</v>
      </c>
    </row>
    <row r="223" spans="1:25">
      <c r="A223" s="50">
        <v>220</v>
      </c>
      <c r="B223" s="51" t="s">
        <v>1773</v>
      </c>
      <c r="C223" s="52" t="s">
        <v>1774</v>
      </c>
      <c r="D223" s="50" t="s">
        <v>107</v>
      </c>
      <c r="E223" s="50" t="s">
        <v>994</v>
      </c>
      <c r="F223" s="52" t="s">
        <v>1775</v>
      </c>
      <c r="G223" s="52" t="s">
        <v>1776</v>
      </c>
      <c r="H223" s="52" t="s">
        <v>1710</v>
      </c>
      <c r="I223" s="50" t="s">
        <v>440</v>
      </c>
      <c r="J223" s="52" t="s">
        <v>1777</v>
      </c>
      <c r="K223" s="50" t="s">
        <v>442</v>
      </c>
      <c r="L223" s="50" t="s">
        <v>443</v>
      </c>
      <c r="M223" s="50" t="s">
        <v>444</v>
      </c>
      <c r="N223" s="52" t="s">
        <v>1605</v>
      </c>
      <c r="O223" s="50" t="s">
        <v>314</v>
      </c>
      <c r="P223" s="52" t="s">
        <v>1606</v>
      </c>
      <c r="Q223" s="52" t="s">
        <v>1607</v>
      </c>
      <c r="R223" s="50" t="s">
        <v>448</v>
      </c>
      <c r="S223" s="50" t="s">
        <v>426</v>
      </c>
      <c r="T223" s="50" t="s">
        <v>322</v>
      </c>
      <c r="U223" s="52" t="s">
        <v>999</v>
      </c>
      <c r="V223" s="52" t="s">
        <v>1778</v>
      </c>
      <c r="W223" s="53" t="s">
        <v>314</v>
      </c>
      <c r="X223" s="52" t="s">
        <v>1609</v>
      </c>
      <c r="Y223" s="52" t="s">
        <v>1779</v>
      </c>
    </row>
    <row r="224" spans="1:25">
      <c r="A224" s="50">
        <v>221</v>
      </c>
      <c r="B224" s="51" t="s">
        <v>1780</v>
      </c>
      <c r="C224" s="52" t="s">
        <v>1781</v>
      </c>
      <c r="D224" s="50" t="s">
        <v>107</v>
      </c>
      <c r="E224" s="50" t="s">
        <v>994</v>
      </c>
      <c r="F224" s="52" t="s">
        <v>1782</v>
      </c>
      <c r="G224" s="52" t="s">
        <v>1776</v>
      </c>
      <c r="H224" s="52" t="s">
        <v>1702</v>
      </c>
      <c r="I224" s="50" t="s">
        <v>440</v>
      </c>
      <c r="J224" s="52" t="s">
        <v>1783</v>
      </c>
      <c r="K224" s="50" t="s">
        <v>442</v>
      </c>
      <c r="L224" s="50" t="s">
        <v>443</v>
      </c>
      <c r="M224" s="50" t="s">
        <v>444</v>
      </c>
      <c r="N224" s="52" t="s">
        <v>1605</v>
      </c>
      <c r="O224" s="50" t="s">
        <v>314</v>
      </c>
      <c r="P224" s="52" t="s">
        <v>1606</v>
      </c>
      <c r="Q224" s="52" t="s">
        <v>1607</v>
      </c>
      <c r="R224" s="50" t="s">
        <v>448</v>
      </c>
      <c r="S224" s="50" t="s">
        <v>426</v>
      </c>
      <c r="T224" s="50" t="s">
        <v>322</v>
      </c>
      <c r="U224" s="52" t="s">
        <v>999</v>
      </c>
      <c r="V224" s="52" t="s">
        <v>1784</v>
      </c>
      <c r="W224" s="53" t="s">
        <v>314</v>
      </c>
      <c r="X224" s="52" t="s">
        <v>1609</v>
      </c>
      <c r="Y224" s="52" t="s">
        <v>1785</v>
      </c>
    </row>
    <row r="225" spans="1:25">
      <c r="A225" s="50">
        <v>222</v>
      </c>
      <c r="B225" s="51" t="s">
        <v>1786</v>
      </c>
      <c r="C225" s="52" t="s">
        <v>1787</v>
      </c>
      <c r="D225" s="50" t="s">
        <v>107</v>
      </c>
      <c r="E225" s="50" t="s">
        <v>994</v>
      </c>
      <c r="F225" s="52" t="s">
        <v>1788</v>
      </c>
      <c r="G225" s="52" t="s">
        <v>1789</v>
      </c>
      <c r="H225" s="52" t="s">
        <v>1710</v>
      </c>
      <c r="I225" s="50" t="s">
        <v>440</v>
      </c>
      <c r="J225" s="52" t="s">
        <v>1790</v>
      </c>
      <c r="K225" s="50" t="s">
        <v>442</v>
      </c>
      <c r="L225" s="50" t="s">
        <v>443</v>
      </c>
      <c r="M225" s="50" t="s">
        <v>444</v>
      </c>
      <c r="N225" s="52" t="s">
        <v>1605</v>
      </c>
      <c r="O225" s="50" t="s">
        <v>314</v>
      </c>
      <c r="P225" s="52" t="s">
        <v>1606</v>
      </c>
      <c r="Q225" s="52" t="s">
        <v>1607</v>
      </c>
      <c r="R225" s="50" t="s">
        <v>448</v>
      </c>
      <c r="S225" s="50" t="s">
        <v>426</v>
      </c>
      <c r="T225" s="50" t="s">
        <v>322</v>
      </c>
      <c r="U225" s="52" t="s">
        <v>999</v>
      </c>
      <c r="V225" s="52" t="s">
        <v>1791</v>
      </c>
      <c r="W225" s="53" t="s">
        <v>314</v>
      </c>
      <c r="X225" s="52" t="s">
        <v>1609</v>
      </c>
      <c r="Y225" s="52" t="s">
        <v>1792</v>
      </c>
    </row>
    <row r="226" spans="1:25">
      <c r="A226" s="50">
        <v>223</v>
      </c>
      <c r="B226" s="51" t="s">
        <v>1793</v>
      </c>
      <c r="C226" s="52" t="s">
        <v>1794</v>
      </c>
      <c r="D226" s="50" t="s">
        <v>107</v>
      </c>
      <c r="E226" s="50" t="s">
        <v>994</v>
      </c>
      <c r="F226" s="52" t="s">
        <v>1795</v>
      </c>
      <c r="G226" s="52" t="s">
        <v>1789</v>
      </c>
      <c r="H226" s="52" t="s">
        <v>1702</v>
      </c>
      <c r="I226" s="50" t="s">
        <v>440</v>
      </c>
      <c r="J226" s="52" t="s">
        <v>1796</v>
      </c>
      <c r="K226" s="50" t="s">
        <v>442</v>
      </c>
      <c r="L226" s="50" t="s">
        <v>443</v>
      </c>
      <c r="M226" s="50" t="s">
        <v>444</v>
      </c>
      <c r="N226" s="52" t="s">
        <v>1605</v>
      </c>
      <c r="O226" s="50" t="s">
        <v>314</v>
      </c>
      <c r="P226" s="52" t="s">
        <v>1606</v>
      </c>
      <c r="Q226" s="52" t="s">
        <v>1607</v>
      </c>
      <c r="R226" s="50" t="s">
        <v>448</v>
      </c>
      <c r="S226" s="50" t="s">
        <v>426</v>
      </c>
      <c r="T226" s="50" t="s">
        <v>322</v>
      </c>
      <c r="U226" s="52" t="s">
        <v>999</v>
      </c>
      <c r="V226" s="52" t="s">
        <v>1797</v>
      </c>
      <c r="W226" s="53" t="s">
        <v>314</v>
      </c>
      <c r="X226" s="52" t="s">
        <v>1609</v>
      </c>
      <c r="Y226" s="52" t="s">
        <v>1798</v>
      </c>
    </row>
    <row r="227" spans="1:25">
      <c r="A227" s="50">
        <v>224</v>
      </c>
      <c r="B227" s="51" t="s">
        <v>1799</v>
      </c>
      <c r="C227" s="52" t="s">
        <v>1800</v>
      </c>
      <c r="D227" s="50" t="s">
        <v>107</v>
      </c>
      <c r="E227" s="50" t="s">
        <v>994</v>
      </c>
      <c r="F227" s="52" t="s">
        <v>1801</v>
      </c>
      <c r="G227" s="52" t="s">
        <v>1802</v>
      </c>
      <c r="H227" s="52" t="s">
        <v>1803</v>
      </c>
      <c r="I227" s="50" t="s">
        <v>440</v>
      </c>
      <c r="J227" s="52" t="s">
        <v>1804</v>
      </c>
      <c r="K227" s="50" t="s">
        <v>442</v>
      </c>
      <c r="L227" s="50" t="s">
        <v>443</v>
      </c>
      <c r="M227" s="50" t="s">
        <v>444</v>
      </c>
      <c r="N227" s="52" t="s">
        <v>1605</v>
      </c>
      <c r="O227" s="50" t="s">
        <v>314</v>
      </c>
      <c r="P227" s="52" t="s">
        <v>1606</v>
      </c>
      <c r="Q227" s="52" t="s">
        <v>1607</v>
      </c>
      <c r="R227" s="50" t="s">
        <v>448</v>
      </c>
      <c r="S227" s="50" t="s">
        <v>426</v>
      </c>
      <c r="T227" s="50" t="s">
        <v>322</v>
      </c>
      <c r="U227" s="52" t="s">
        <v>999</v>
      </c>
      <c r="V227" s="52" t="s">
        <v>1805</v>
      </c>
      <c r="W227" s="53" t="s">
        <v>314</v>
      </c>
      <c r="X227" s="52" t="s">
        <v>1609</v>
      </c>
      <c r="Y227" s="52" t="s">
        <v>1806</v>
      </c>
    </row>
    <row r="228" spans="1:25">
      <c r="A228" s="50">
        <v>225</v>
      </c>
      <c r="B228" s="51" t="s">
        <v>1807</v>
      </c>
      <c r="C228" s="52" t="s">
        <v>1808</v>
      </c>
      <c r="D228" s="50" t="s">
        <v>107</v>
      </c>
      <c r="E228" s="50" t="s">
        <v>994</v>
      </c>
      <c r="F228" s="52" t="s">
        <v>1809</v>
      </c>
      <c r="G228" s="52" t="s">
        <v>1802</v>
      </c>
      <c r="H228" s="52" t="s">
        <v>1695</v>
      </c>
      <c r="I228" s="50" t="s">
        <v>440</v>
      </c>
      <c r="J228" s="52" t="s">
        <v>1810</v>
      </c>
      <c r="K228" s="50" t="s">
        <v>442</v>
      </c>
      <c r="L228" s="50" t="s">
        <v>443</v>
      </c>
      <c r="M228" s="50" t="s">
        <v>444</v>
      </c>
      <c r="N228" s="52" t="s">
        <v>1605</v>
      </c>
      <c r="O228" s="50" t="s">
        <v>314</v>
      </c>
      <c r="P228" s="52" t="s">
        <v>1606</v>
      </c>
      <c r="Q228" s="52" t="s">
        <v>1607</v>
      </c>
      <c r="R228" s="50" t="s">
        <v>448</v>
      </c>
      <c r="S228" s="50" t="s">
        <v>426</v>
      </c>
      <c r="T228" s="50" t="s">
        <v>322</v>
      </c>
      <c r="U228" s="52" t="s">
        <v>999</v>
      </c>
      <c r="V228" s="52" t="s">
        <v>1811</v>
      </c>
      <c r="W228" s="53" t="s">
        <v>314</v>
      </c>
      <c r="X228" s="52" t="s">
        <v>1609</v>
      </c>
      <c r="Y228" s="52" t="s">
        <v>1812</v>
      </c>
    </row>
    <row r="229" spans="1:25">
      <c r="A229" s="50">
        <v>226</v>
      </c>
      <c r="B229" s="51" t="s">
        <v>1813</v>
      </c>
      <c r="C229" s="52" t="s">
        <v>1814</v>
      </c>
      <c r="D229" s="50" t="s">
        <v>107</v>
      </c>
      <c r="E229" s="50" t="s">
        <v>994</v>
      </c>
      <c r="F229" s="52" t="s">
        <v>1815</v>
      </c>
      <c r="G229" s="52" t="s">
        <v>1802</v>
      </c>
      <c r="H229" s="52" t="s">
        <v>1702</v>
      </c>
      <c r="I229" s="50" t="s">
        <v>440</v>
      </c>
      <c r="J229" s="52" t="s">
        <v>1816</v>
      </c>
      <c r="K229" s="50" t="s">
        <v>442</v>
      </c>
      <c r="L229" s="50" t="s">
        <v>443</v>
      </c>
      <c r="M229" s="50" t="s">
        <v>444</v>
      </c>
      <c r="N229" s="52" t="s">
        <v>1605</v>
      </c>
      <c r="O229" s="50" t="s">
        <v>314</v>
      </c>
      <c r="P229" s="52" t="s">
        <v>1606</v>
      </c>
      <c r="Q229" s="52" t="s">
        <v>1607</v>
      </c>
      <c r="R229" s="50" t="s">
        <v>448</v>
      </c>
      <c r="S229" s="50" t="s">
        <v>426</v>
      </c>
      <c r="T229" s="50" t="s">
        <v>322</v>
      </c>
      <c r="U229" s="52" t="s">
        <v>999</v>
      </c>
      <c r="V229" s="52" t="s">
        <v>1817</v>
      </c>
      <c r="W229" s="53" t="s">
        <v>314</v>
      </c>
      <c r="X229" s="52" t="s">
        <v>1609</v>
      </c>
      <c r="Y229" s="52" t="s">
        <v>1818</v>
      </c>
    </row>
    <row r="230" spans="1:25">
      <c r="A230" s="50">
        <v>227</v>
      </c>
      <c r="B230" s="51" t="s">
        <v>1819</v>
      </c>
      <c r="C230" s="52" t="s">
        <v>1820</v>
      </c>
      <c r="D230" s="50" t="s">
        <v>107</v>
      </c>
      <c r="E230" s="50" t="s">
        <v>994</v>
      </c>
      <c r="F230" s="52" t="s">
        <v>1821</v>
      </c>
      <c r="G230" s="52" t="s">
        <v>1822</v>
      </c>
      <c r="H230" s="52" t="s">
        <v>1823</v>
      </c>
      <c r="I230" s="50" t="s">
        <v>440</v>
      </c>
      <c r="J230" s="52" t="s">
        <v>1824</v>
      </c>
      <c r="K230" s="50" t="s">
        <v>442</v>
      </c>
      <c r="L230" s="50" t="s">
        <v>443</v>
      </c>
      <c r="M230" s="50" t="s">
        <v>444</v>
      </c>
      <c r="N230" s="52" t="s">
        <v>1605</v>
      </c>
      <c r="O230" s="50" t="s">
        <v>314</v>
      </c>
      <c r="P230" s="52" t="s">
        <v>1606</v>
      </c>
      <c r="Q230" s="52" t="s">
        <v>1607</v>
      </c>
      <c r="R230" s="50" t="s">
        <v>448</v>
      </c>
      <c r="S230" s="50" t="s">
        <v>426</v>
      </c>
      <c r="T230" s="50" t="s">
        <v>322</v>
      </c>
      <c r="U230" s="52" t="s">
        <v>999</v>
      </c>
      <c r="V230" s="52" t="s">
        <v>1825</v>
      </c>
      <c r="W230" s="53" t="s">
        <v>314</v>
      </c>
      <c r="X230" s="52" t="s">
        <v>1609</v>
      </c>
      <c r="Y230" s="52" t="s">
        <v>1826</v>
      </c>
    </row>
    <row r="231" spans="1:25">
      <c r="A231" s="50">
        <v>228</v>
      </c>
      <c r="B231" s="51" t="s">
        <v>1827</v>
      </c>
      <c r="C231" s="52" t="s">
        <v>1828</v>
      </c>
      <c r="D231" s="50" t="s">
        <v>107</v>
      </c>
      <c r="E231" s="50" t="s">
        <v>994</v>
      </c>
      <c r="F231" s="52" t="s">
        <v>1829</v>
      </c>
      <c r="G231" s="52" t="s">
        <v>1822</v>
      </c>
      <c r="H231" s="52" t="s">
        <v>1702</v>
      </c>
      <c r="I231" s="50" t="s">
        <v>440</v>
      </c>
      <c r="J231" s="52" t="s">
        <v>1830</v>
      </c>
      <c r="K231" s="50" t="s">
        <v>442</v>
      </c>
      <c r="L231" s="50" t="s">
        <v>443</v>
      </c>
      <c r="M231" s="50" t="s">
        <v>444</v>
      </c>
      <c r="N231" s="52" t="s">
        <v>1605</v>
      </c>
      <c r="O231" s="50" t="s">
        <v>314</v>
      </c>
      <c r="P231" s="52" t="s">
        <v>1606</v>
      </c>
      <c r="Q231" s="52" t="s">
        <v>1607</v>
      </c>
      <c r="R231" s="50" t="s">
        <v>448</v>
      </c>
      <c r="S231" s="50" t="s">
        <v>426</v>
      </c>
      <c r="T231" s="50" t="s">
        <v>322</v>
      </c>
      <c r="U231" s="52" t="s">
        <v>999</v>
      </c>
      <c r="V231" s="52" t="s">
        <v>1831</v>
      </c>
      <c r="W231" s="53" t="s">
        <v>314</v>
      </c>
      <c r="X231" s="52" t="s">
        <v>1609</v>
      </c>
      <c r="Y231" s="52" t="s">
        <v>1832</v>
      </c>
    </row>
    <row r="232" spans="1:25">
      <c r="A232" s="50">
        <v>229</v>
      </c>
      <c r="B232" s="51" t="s">
        <v>1833</v>
      </c>
      <c r="C232" s="52" t="s">
        <v>1834</v>
      </c>
      <c r="D232" s="50" t="s">
        <v>107</v>
      </c>
      <c r="E232" s="50" t="s">
        <v>994</v>
      </c>
      <c r="F232" s="52" t="s">
        <v>1835</v>
      </c>
      <c r="G232" s="52" t="s">
        <v>1836</v>
      </c>
      <c r="H232" s="52" t="s">
        <v>1837</v>
      </c>
      <c r="I232" s="50" t="s">
        <v>440</v>
      </c>
      <c r="J232" s="52" t="s">
        <v>1838</v>
      </c>
      <c r="K232" s="50" t="s">
        <v>442</v>
      </c>
      <c r="L232" s="50" t="s">
        <v>443</v>
      </c>
      <c r="M232" s="50" t="s">
        <v>444</v>
      </c>
      <c r="N232" s="52" t="s">
        <v>1605</v>
      </c>
      <c r="O232" s="50" t="s">
        <v>314</v>
      </c>
      <c r="P232" s="52" t="s">
        <v>1606</v>
      </c>
      <c r="Q232" s="52" t="s">
        <v>1607</v>
      </c>
      <c r="R232" s="50" t="s">
        <v>448</v>
      </c>
      <c r="S232" s="50" t="s">
        <v>426</v>
      </c>
      <c r="T232" s="50" t="s">
        <v>322</v>
      </c>
      <c r="U232" s="52" t="s">
        <v>999</v>
      </c>
      <c r="V232" s="52" t="s">
        <v>1839</v>
      </c>
      <c r="W232" s="53" t="s">
        <v>314</v>
      </c>
      <c r="X232" s="52" t="s">
        <v>1609</v>
      </c>
      <c r="Y232" s="52" t="s">
        <v>1840</v>
      </c>
    </row>
    <row r="233" spans="1:25">
      <c r="A233" s="50">
        <v>230</v>
      </c>
      <c r="B233" s="51" t="s">
        <v>1841</v>
      </c>
      <c r="C233" s="52" t="s">
        <v>1842</v>
      </c>
      <c r="D233" s="50" t="s">
        <v>107</v>
      </c>
      <c r="E233" s="50" t="s">
        <v>994</v>
      </c>
      <c r="F233" s="52" t="s">
        <v>1843</v>
      </c>
      <c r="G233" s="52" t="s">
        <v>1836</v>
      </c>
      <c r="H233" s="52" t="s">
        <v>1844</v>
      </c>
      <c r="I233" s="50" t="s">
        <v>440</v>
      </c>
      <c r="J233" s="52" t="s">
        <v>1845</v>
      </c>
      <c r="K233" s="50" t="s">
        <v>442</v>
      </c>
      <c r="L233" s="50" t="s">
        <v>443</v>
      </c>
      <c r="M233" s="50" t="s">
        <v>444</v>
      </c>
      <c r="N233" s="52" t="s">
        <v>1605</v>
      </c>
      <c r="O233" s="50" t="s">
        <v>314</v>
      </c>
      <c r="P233" s="52" t="s">
        <v>1606</v>
      </c>
      <c r="Q233" s="52" t="s">
        <v>1607</v>
      </c>
      <c r="R233" s="50" t="s">
        <v>448</v>
      </c>
      <c r="S233" s="50" t="s">
        <v>426</v>
      </c>
      <c r="T233" s="50" t="s">
        <v>322</v>
      </c>
      <c r="U233" s="52" t="s">
        <v>999</v>
      </c>
      <c r="V233" s="52" t="s">
        <v>1846</v>
      </c>
      <c r="W233" s="53" t="s">
        <v>314</v>
      </c>
      <c r="X233" s="52" t="s">
        <v>1609</v>
      </c>
      <c r="Y233" s="52" t="s">
        <v>1847</v>
      </c>
    </row>
    <row r="234" spans="1:25">
      <c r="A234" s="50">
        <v>231</v>
      </c>
      <c r="B234" s="51" t="s">
        <v>1848</v>
      </c>
      <c r="C234" s="52" t="s">
        <v>1849</v>
      </c>
      <c r="D234" s="50" t="s">
        <v>107</v>
      </c>
      <c r="E234" s="50" t="s">
        <v>994</v>
      </c>
      <c r="F234" s="52" t="s">
        <v>1850</v>
      </c>
      <c r="G234" s="52" t="s">
        <v>1836</v>
      </c>
      <c r="H234" s="52" t="s">
        <v>1851</v>
      </c>
      <c r="I234" s="50" t="s">
        <v>440</v>
      </c>
      <c r="J234" s="52" t="s">
        <v>1852</v>
      </c>
      <c r="K234" s="50" t="s">
        <v>442</v>
      </c>
      <c r="L234" s="50" t="s">
        <v>443</v>
      </c>
      <c r="M234" s="50" t="s">
        <v>444</v>
      </c>
      <c r="N234" s="52" t="s">
        <v>1605</v>
      </c>
      <c r="O234" s="50" t="s">
        <v>314</v>
      </c>
      <c r="P234" s="52" t="s">
        <v>1606</v>
      </c>
      <c r="Q234" s="52" t="s">
        <v>1607</v>
      </c>
      <c r="R234" s="50" t="s">
        <v>448</v>
      </c>
      <c r="S234" s="50" t="s">
        <v>426</v>
      </c>
      <c r="T234" s="50" t="s">
        <v>322</v>
      </c>
      <c r="U234" s="52" t="s">
        <v>999</v>
      </c>
      <c r="V234" s="52" t="s">
        <v>1853</v>
      </c>
      <c r="W234" s="53" t="s">
        <v>314</v>
      </c>
      <c r="X234" s="52" t="s">
        <v>1609</v>
      </c>
      <c r="Y234" s="52" t="s">
        <v>1854</v>
      </c>
    </row>
    <row r="235" spans="1:25">
      <c r="A235" s="50">
        <v>232</v>
      </c>
      <c r="B235" s="51" t="s">
        <v>1855</v>
      </c>
      <c r="C235" s="52" t="s">
        <v>1856</v>
      </c>
      <c r="D235" s="50" t="s">
        <v>107</v>
      </c>
      <c r="E235" s="50" t="s">
        <v>994</v>
      </c>
      <c r="F235" s="52" t="s">
        <v>1857</v>
      </c>
      <c r="G235" s="52" t="s">
        <v>1836</v>
      </c>
      <c r="H235" s="52" t="s">
        <v>1702</v>
      </c>
      <c r="I235" s="50" t="s">
        <v>440</v>
      </c>
      <c r="J235" s="52" t="s">
        <v>1858</v>
      </c>
      <c r="K235" s="50" t="s">
        <v>442</v>
      </c>
      <c r="L235" s="50" t="s">
        <v>443</v>
      </c>
      <c r="M235" s="50" t="s">
        <v>444</v>
      </c>
      <c r="N235" s="52" t="s">
        <v>1605</v>
      </c>
      <c r="O235" s="50" t="s">
        <v>314</v>
      </c>
      <c r="P235" s="52" t="s">
        <v>1606</v>
      </c>
      <c r="Q235" s="52" t="s">
        <v>1607</v>
      </c>
      <c r="R235" s="50" t="s">
        <v>448</v>
      </c>
      <c r="S235" s="50" t="s">
        <v>426</v>
      </c>
      <c r="T235" s="50" t="s">
        <v>322</v>
      </c>
      <c r="U235" s="52" t="s">
        <v>999</v>
      </c>
      <c r="V235" s="52" t="s">
        <v>1859</v>
      </c>
      <c r="W235" s="53" t="s">
        <v>314</v>
      </c>
      <c r="X235" s="52" t="s">
        <v>1609</v>
      </c>
      <c r="Y235" s="52" t="s">
        <v>1860</v>
      </c>
    </row>
    <row r="236" spans="1:25">
      <c r="A236" s="50">
        <v>233</v>
      </c>
      <c r="B236" s="51" t="s">
        <v>1861</v>
      </c>
      <c r="C236" s="52" t="s">
        <v>1862</v>
      </c>
      <c r="D236" s="50" t="s">
        <v>107</v>
      </c>
      <c r="E236" s="50" t="s">
        <v>994</v>
      </c>
      <c r="F236" s="52" t="s">
        <v>1863</v>
      </c>
      <c r="G236" s="52" t="s">
        <v>1864</v>
      </c>
      <c r="H236" s="52" t="s">
        <v>1865</v>
      </c>
      <c r="I236" s="50" t="s">
        <v>440</v>
      </c>
      <c r="J236" s="52" t="s">
        <v>1866</v>
      </c>
      <c r="K236" s="50" t="s">
        <v>442</v>
      </c>
      <c r="L236" s="50" t="s">
        <v>443</v>
      </c>
      <c r="M236" s="50" t="s">
        <v>444</v>
      </c>
      <c r="N236" s="52" t="s">
        <v>1605</v>
      </c>
      <c r="O236" s="50" t="s">
        <v>314</v>
      </c>
      <c r="P236" s="52" t="s">
        <v>1606</v>
      </c>
      <c r="Q236" s="52" t="s">
        <v>1607</v>
      </c>
      <c r="R236" s="50" t="s">
        <v>448</v>
      </c>
      <c r="S236" s="50" t="s">
        <v>426</v>
      </c>
      <c r="T236" s="50" t="s">
        <v>322</v>
      </c>
      <c r="U236" s="52" t="s">
        <v>999</v>
      </c>
      <c r="V236" s="52" t="s">
        <v>1867</v>
      </c>
      <c r="W236" s="53" t="s">
        <v>314</v>
      </c>
      <c r="X236" s="52" t="s">
        <v>1609</v>
      </c>
      <c r="Y236" s="52" t="s">
        <v>1868</v>
      </c>
    </row>
    <row r="237" spans="1:25">
      <c r="A237" s="50">
        <v>234</v>
      </c>
      <c r="B237" s="51" t="s">
        <v>1869</v>
      </c>
      <c r="C237" s="52" t="s">
        <v>1870</v>
      </c>
      <c r="D237" s="50" t="s">
        <v>107</v>
      </c>
      <c r="E237" s="50" t="s">
        <v>994</v>
      </c>
      <c r="F237" s="52" t="s">
        <v>1871</v>
      </c>
      <c r="G237" s="52" t="s">
        <v>1864</v>
      </c>
      <c r="H237" s="52" t="s">
        <v>1872</v>
      </c>
      <c r="I237" s="50" t="s">
        <v>440</v>
      </c>
      <c r="J237" s="52" t="s">
        <v>1873</v>
      </c>
      <c r="K237" s="50" t="s">
        <v>442</v>
      </c>
      <c r="L237" s="50" t="s">
        <v>443</v>
      </c>
      <c r="M237" s="50" t="s">
        <v>444</v>
      </c>
      <c r="N237" s="52" t="s">
        <v>1605</v>
      </c>
      <c r="O237" s="50" t="s">
        <v>314</v>
      </c>
      <c r="P237" s="52" t="s">
        <v>1606</v>
      </c>
      <c r="Q237" s="52" t="s">
        <v>1607</v>
      </c>
      <c r="R237" s="50" t="s">
        <v>448</v>
      </c>
      <c r="S237" s="50" t="s">
        <v>426</v>
      </c>
      <c r="T237" s="50" t="s">
        <v>322</v>
      </c>
      <c r="U237" s="52" t="s">
        <v>999</v>
      </c>
      <c r="V237" s="52" t="s">
        <v>1874</v>
      </c>
      <c r="W237" s="53" t="s">
        <v>314</v>
      </c>
      <c r="X237" s="52" t="s">
        <v>1609</v>
      </c>
      <c r="Y237" s="52" t="s">
        <v>1875</v>
      </c>
    </row>
    <row r="238" spans="1:25">
      <c r="A238" s="50">
        <v>235</v>
      </c>
      <c r="B238" s="51" t="s">
        <v>1876</v>
      </c>
      <c r="C238" s="52" t="s">
        <v>1877</v>
      </c>
      <c r="D238" s="50" t="s">
        <v>107</v>
      </c>
      <c r="E238" s="50" t="s">
        <v>994</v>
      </c>
      <c r="F238" s="52" t="s">
        <v>1878</v>
      </c>
      <c r="G238" s="52" t="s">
        <v>1864</v>
      </c>
      <c r="H238" s="52" t="s">
        <v>1879</v>
      </c>
      <c r="I238" s="50" t="s">
        <v>440</v>
      </c>
      <c r="J238" s="52" t="s">
        <v>1880</v>
      </c>
      <c r="K238" s="50" t="s">
        <v>442</v>
      </c>
      <c r="L238" s="50" t="s">
        <v>443</v>
      </c>
      <c r="M238" s="50" t="s">
        <v>444</v>
      </c>
      <c r="N238" s="52" t="s">
        <v>1605</v>
      </c>
      <c r="O238" s="50" t="s">
        <v>314</v>
      </c>
      <c r="P238" s="52" t="s">
        <v>1606</v>
      </c>
      <c r="Q238" s="52" t="s">
        <v>1607</v>
      </c>
      <c r="R238" s="50" t="s">
        <v>448</v>
      </c>
      <c r="S238" s="50" t="s">
        <v>426</v>
      </c>
      <c r="T238" s="50" t="s">
        <v>322</v>
      </c>
      <c r="U238" s="52" t="s">
        <v>999</v>
      </c>
      <c r="V238" s="52" t="s">
        <v>1881</v>
      </c>
      <c r="W238" s="53" t="s">
        <v>314</v>
      </c>
      <c r="X238" s="52" t="s">
        <v>1609</v>
      </c>
      <c r="Y238" s="52" t="s">
        <v>1882</v>
      </c>
    </row>
    <row r="239" spans="1:25">
      <c r="A239" s="50">
        <v>236</v>
      </c>
      <c r="B239" s="51" t="s">
        <v>1883</v>
      </c>
      <c r="C239" s="52" t="s">
        <v>1884</v>
      </c>
      <c r="D239" s="50" t="s">
        <v>107</v>
      </c>
      <c r="E239" s="50" t="s">
        <v>994</v>
      </c>
      <c r="F239" s="52" t="s">
        <v>1885</v>
      </c>
      <c r="G239" s="52" t="s">
        <v>1886</v>
      </c>
      <c r="H239" s="52" t="s">
        <v>1887</v>
      </c>
      <c r="I239" s="50" t="s">
        <v>440</v>
      </c>
      <c r="J239" s="52" t="s">
        <v>1888</v>
      </c>
      <c r="K239" s="50" t="s">
        <v>442</v>
      </c>
      <c r="L239" s="50" t="s">
        <v>443</v>
      </c>
      <c r="M239" s="50" t="s">
        <v>444</v>
      </c>
      <c r="N239" s="52" t="s">
        <v>1605</v>
      </c>
      <c r="O239" s="50" t="s">
        <v>314</v>
      </c>
      <c r="P239" s="52" t="s">
        <v>1606</v>
      </c>
      <c r="Q239" s="52" t="s">
        <v>1607</v>
      </c>
      <c r="R239" s="50" t="s">
        <v>448</v>
      </c>
      <c r="S239" s="50" t="s">
        <v>426</v>
      </c>
      <c r="T239" s="50" t="s">
        <v>322</v>
      </c>
      <c r="U239" s="52" t="s">
        <v>999</v>
      </c>
      <c r="V239" s="52" t="s">
        <v>1889</v>
      </c>
      <c r="W239" s="53" t="s">
        <v>314</v>
      </c>
      <c r="X239" s="52" t="s">
        <v>1609</v>
      </c>
      <c r="Y239" s="52" t="s">
        <v>1890</v>
      </c>
    </row>
    <row r="240" spans="1:25">
      <c r="A240" s="50">
        <v>237</v>
      </c>
      <c r="B240" s="51" t="s">
        <v>1891</v>
      </c>
      <c r="C240" s="52" t="s">
        <v>1892</v>
      </c>
      <c r="D240" s="50" t="s">
        <v>107</v>
      </c>
      <c r="E240" s="50" t="s">
        <v>994</v>
      </c>
      <c r="F240" s="52" t="s">
        <v>1893</v>
      </c>
      <c r="G240" s="52" t="s">
        <v>1886</v>
      </c>
      <c r="H240" s="52" t="s">
        <v>1894</v>
      </c>
      <c r="I240" s="50" t="s">
        <v>440</v>
      </c>
      <c r="J240" s="52" t="s">
        <v>1895</v>
      </c>
      <c r="K240" s="50" t="s">
        <v>442</v>
      </c>
      <c r="L240" s="50" t="s">
        <v>443</v>
      </c>
      <c r="M240" s="50" t="s">
        <v>444</v>
      </c>
      <c r="N240" s="52" t="s">
        <v>1605</v>
      </c>
      <c r="O240" s="50" t="s">
        <v>314</v>
      </c>
      <c r="P240" s="52" t="s">
        <v>1606</v>
      </c>
      <c r="Q240" s="52" t="s">
        <v>1607</v>
      </c>
      <c r="R240" s="50" t="s">
        <v>448</v>
      </c>
      <c r="S240" s="50" t="s">
        <v>426</v>
      </c>
      <c r="T240" s="50" t="s">
        <v>322</v>
      </c>
      <c r="U240" s="52" t="s">
        <v>999</v>
      </c>
      <c r="V240" s="52" t="s">
        <v>1896</v>
      </c>
      <c r="W240" s="53" t="s">
        <v>314</v>
      </c>
      <c r="X240" s="52" t="s">
        <v>1609</v>
      </c>
      <c r="Y240" s="52" t="s">
        <v>1897</v>
      </c>
    </row>
    <row r="241" spans="1:25">
      <c r="A241" s="50">
        <v>238</v>
      </c>
      <c r="B241" s="51" t="s">
        <v>1898</v>
      </c>
      <c r="C241" s="52" t="s">
        <v>1899</v>
      </c>
      <c r="D241" s="50" t="s">
        <v>107</v>
      </c>
      <c r="E241" s="50" t="s">
        <v>994</v>
      </c>
      <c r="F241" s="52" t="s">
        <v>1900</v>
      </c>
      <c r="G241" s="52" t="s">
        <v>1886</v>
      </c>
      <c r="H241" s="52" t="s">
        <v>1894</v>
      </c>
      <c r="I241" s="50" t="s">
        <v>440</v>
      </c>
      <c r="J241" s="52" t="s">
        <v>1901</v>
      </c>
      <c r="K241" s="50" t="s">
        <v>442</v>
      </c>
      <c r="L241" s="50" t="s">
        <v>443</v>
      </c>
      <c r="M241" s="50" t="s">
        <v>444</v>
      </c>
      <c r="N241" s="52" t="s">
        <v>1605</v>
      </c>
      <c r="O241" s="50" t="s">
        <v>314</v>
      </c>
      <c r="P241" s="52" t="s">
        <v>1606</v>
      </c>
      <c r="Q241" s="52" t="s">
        <v>1607</v>
      </c>
      <c r="R241" s="50" t="s">
        <v>448</v>
      </c>
      <c r="S241" s="50" t="s">
        <v>426</v>
      </c>
      <c r="T241" s="50" t="s">
        <v>322</v>
      </c>
      <c r="U241" s="52" t="s">
        <v>999</v>
      </c>
      <c r="V241" s="52" t="s">
        <v>1902</v>
      </c>
      <c r="W241" s="53" t="s">
        <v>314</v>
      </c>
      <c r="X241" s="52" t="s">
        <v>1609</v>
      </c>
      <c r="Y241" s="52" t="s">
        <v>1903</v>
      </c>
    </row>
    <row r="242" spans="1:25">
      <c r="A242" s="50">
        <v>239</v>
      </c>
      <c r="B242" s="51" t="s">
        <v>1904</v>
      </c>
      <c r="C242" s="52" t="s">
        <v>1905</v>
      </c>
      <c r="D242" s="50" t="s">
        <v>107</v>
      </c>
      <c r="E242" s="50" t="s">
        <v>994</v>
      </c>
      <c r="F242" s="52" t="s">
        <v>1906</v>
      </c>
      <c r="G242" s="52" t="s">
        <v>1907</v>
      </c>
      <c r="H242" s="52" t="s">
        <v>1894</v>
      </c>
      <c r="I242" s="50" t="s">
        <v>440</v>
      </c>
      <c r="J242" s="52" t="s">
        <v>1908</v>
      </c>
      <c r="K242" s="50" t="s">
        <v>442</v>
      </c>
      <c r="L242" s="50" t="s">
        <v>443</v>
      </c>
      <c r="M242" s="50" t="s">
        <v>444</v>
      </c>
      <c r="N242" s="52" t="s">
        <v>1605</v>
      </c>
      <c r="O242" s="50" t="s">
        <v>314</v>
      </c>
      <c r="P242" s="52" t="s">
        <v>1606</v>
      </c>
      <c r="Q242" s="52" t="s">
        <v>1607</v>
      </c>
      <c r="R242" s="50" t="s">
        <v>448</v>
      </c>
      <c r="S242" s="50" t="s">
        <v>426</v>
      </c>
      <c r="T242" s="50" t="s">
        <v>322</v>
      </c>
      <c r="U242" s="52" t="s">
        <v>999</v>
      </c>
      <c r="V242" s="52" t="s">
        <v>1909</v>
      </c>
      <c r="W242" s="53" t="s">
        <v>314</v>
      </c>
      <c r="X242" s="52" t="s">
        <v>1609</v>
      </c>
      <c r="Y242" s="52" t="s">
        <v>1910</v>
      </c>
    </row>
    <row r="243" spans="1:25">
      <c r="A243" s="50">
        <v>240</v>
      </c>
      <c r="B243" s="51" t="s">
        <v>1911</v>
      </c>
      <c r="C243" s="52" t="s">
        <v>1912</v>
      </c>
      <c r="D243" s="50" t="s">
        <v>107</v>
      </c>
      <c r="E243" s="50" t="s">
        <v>994</v>
      </c>
      <c r="F243" s="52" t="s">
        <v>1913</v>
      </c>
      <c r="G243" s="52" t="s">
        <v>1907</v>
      </c>
      <c r="H243" s="52" t="s">
        <v>1894</v>
      </c>
      <c r="I243" s="50" t="s">
        <v>440</v>
      </c>
      <c r="J243" s="52" t="s">
        <v>1914</v>
      </c>
      <c r="K243" s="50" t="s">
        <v>442</v>
      </c>
      <c r="L243" s="50" t="s">
        <v>443</v>
      </c>
      <c r="M243" s="50" t="s">
        <v>444</v>
      </c>
      <c r="N243" s="52" t="s">
        <v>1605</v>
      </c>
      <c r="O243" s="50" t="s">
        <v>314</v>
      </c>
      <c r="P243" s="52" t="s">
        <v>1606</v>
      </c>
      <c r="Q243" s="52" t="s">
        <v>1607</v>
      </c>
      <c r="R243" s="50" t="s">
        <v>448</v>
      </c>
      <c r="S243" s="50" t="s">
        <v>426</v>
      </c>
      <c r="T243" s="50" t="s">
        <v>322</v>
      </c>
      <c r="U243" s="52" t="s">
        <v>999</v>
      </c>
      <c r="V243" s="52" t="s">
        <v>1915</v>
      </c>
      <c r="W243" s="53" t="s">
        <v>314</v>
      </c>
      <c r="X243" s="52" t="s">
        <v>1609</v>
      </c>
      <c r="Y243" s="52" t="s">
        <v>1916</v>
      </c>
    </row>
    <row r="244" spans="1:25">
      <c r="A244" s="50">
        <v>241</v>
      </c>
      <c r="B244" s="51" t="s">
        <v>40</v>
      </c>
      <c r="C244" s="52" t="s">
        <v>1917</v>
      </c>
      <c r="D244" s="50" t="s">
        <v>107</v>
      </c>
      <c r="E244" s="50" t="s">
        <v>994</v>
      </c>
      <c r="F244" s="52" t="s">
        <v>1918</v>
      </c>
      <c r="G244" s="52" t="s">
        <v>1919</v>
      </c>
      <c r="H244" s="52" t="s">
        <v>1894</v>
      </c>
      <c r="I244" s="50" t="s">
        <v>440</v>
      </c>
      <c r="J244" s="52" t="s">
        <v>1920</v>
      </c>
      <c r="K244" s="50" t="s">
        <v>442</v>
      </c>
      <c r="L244" s="50" t="s">
        <v>443</v>
      </c>
      <c r="M244" s="50" t="s">
        <v>444</v>
      </c>
      <c r="N244" s="52" t="s">
        <v>1605</v>
      </c>
      <c r="O244" s="50" t="s">
        <v>314</v>
      </c>
      <c r="P244" s="52" t="s">
        <v>1606</v>
      </c>
      <c r="Q244" s="52" t="s">
        <v>1607</v>
      </c>
      <c r="R244" s="50" t="s">
        <v>448</v>
      </c>
      <c r="S244" s="50" t="s">
        <v>426</v>
      </c>
      <c r="T244" s="50" t="s">
        <v>322</v>
      </c>
      <c r="U244" s="52" t="s">
        <v>999</v>
      </c>
      <c r="V244" s="52" t="s">
        <v>1921</v>
      </c>
      <c r="W244" s="53" t="s">
        <v>314</v>
      </c>
      <c r="X244" s="52" t="s">
        <v>1609</v>
      </c>
      <c r="Y244" s="52" t="s">
        <v>1922</v>
      </c>
    </row>
    <row r="245" spans="1:25">
      <c r="A245" s="50">
        <v>242</v>
      </c>
      <c r="B245" s="51" t="s">
        <v>1923</v>
      </c>
      <c r="C245" s="52" t="s">
        <v>1924</v>
      </c>
      <c r="D245" s="50" t="s">
        <v>107</v>
      </c>
      <c r="E245" s="50" t="s">
        <v>994</v>
      </c>
      <c r="F245" s="52" t="s">
        <v>1925</v>
      </c>
      <c r="G245" s="52" t="s">
        <v>1919</v>
      </c>
      <c r="H245" s="52" t="s">
        <v>1894</v>
      </c>
      <c r="I245" s="50" t="s">
        <v>440</v>
      </c>
      <c r="J245" s="52" t="s">
        <v>1926</v>
      </c>
      <c r="K245" s="50" t="s">
        <v>442</v>
      </c>
      <c r="L245" s="50" t="s">
        <v>443</v>
      </c>
      <c r="M245" s="50" t="s">
        <v>444</v>
      </c>
      <c r="N245" s="52" t="s">
        <v>1605</v>
      </c>
      <c r="O245" s="50" t="s">
        <v>314</v>
      </c>
      <c r="P245" s="52" t="s">
        <v>1606</v>
      </c>
      <c r="Q245" s="52" t="s">
        <v>1607</v>
      </c>
      <c r="R245" s="50" t="s">
        <v>448</v>
      </c>
      <c r="S245" s="50" t="s">
        <v>426</v>
      </c>
      <c r="T245" s="50" t="s">
        <v>322</v>
      </c>
      <c r="U245" s="52" t="s">
        <v>999</v>
      </c>
      <c r="V245" s="52" t="s">
        <v>1927</v>
      </c>
      <c r="W245" s="53" t="s">
        <v>314</v>
      </c>
      <c r="X245" s="52" t="s">
        <v>1609</v>
      </c>
      <c r="Y245" s="52" t="s">
        <v>1928</v>
      </c>
    </row>
    <row r="246" spans="1:25">
      <c r="A246" s="50">
        <v>243</v>
      </c>
      <c r="B246" s="51" t="s">
        <v>1929</v>
      </c>
      <c r="C246" s="52" t="s">
        <v>1930</v>
      </c>
      <c r="D246" s="50" t="s">
        <v>107</v>
      </c>
      <c r="E246" s="50" t="s">
        <v>994</v>
      </c>
      <c r="F246" s="52" t="s">
        <v>1931</v>
      </c>
      <c r="G246" s="52" t="s">
        <v>1932</v>
      </c>
      <c r="H246" s="52" t="s">
        <v>1894</v>
      </c>
      <c r="I246" s="50" t="s">
        <v>440</v>
      </c>
      <c r="J246" s="52" t="s">
        <v>1933</v>
      </c>
      <c r="K246" s="50" t="s">
        <v>442</v>
      </c>
      <c r="L246" s="50" t="s">
        <v>443</v>
      </c>
      <c r="M246" s="50" t="s">
        <v>444</v>
      </c>
      <c r="N246" s="52" t="s">
        <v>1605</v>
      </c>
      <c r="O246" s="50" t="s">
        <v>314</v>
      </c>
      <c r="P246" s="52" t="s">
        <v>1606</v>
      </c>
      <c r="Q246" s="52" t="s">
        <v>1607</v>
      </c>
      <c r="R246" s="50" t="s">
        <v>448</v>
      </c>
      <c r="S246" s="50" t="s">
        <v>426</v>
      </c>
      <c r="T246" s="50" t="s">
        <v>322</v>
      </c>
      <c r="U246" s="52" t="s">
        <v>999</v>
      </c>
      <c r="V246" s="52" t="s">
        <v>1934</v>
      </c>
      <c r="W246" s="53" t="s">
        <v>314</v>
      </c>
      <c r="X246" s="52" t="s">
        <v>1609</v>
      </c>
      <c r="Y246" s="52" t="s">
        <v>1935</v>
      </c>
    </row>
    <row r="247" spans="1:25">
      <c r="A247" s="50">
        <v>244</v>
      </c>
      <c r="B247" s="51" t="s">
        <v>1936</v>
      </c>
      <c r="C247" s="52" t="s">
        <v>1937</v>
      </c>
      <c r="D247" s="50" t="s">
        <v>107</v>
      </c>
      <c r="E247" s="50" t="s">
        <v>994</v>
      </c>
      <c r="F247" s="52" t="s">
        <v>1938</v>
      </c>
      <c r="G247" s="52" t="s">
        <v>1932</v>
      </c>
      <c r="H247" s="52" t="s">
        <v>1894</v>
      </c>
      <c r="I247" s="50" t="s">
        <v>440</v>
      </c>
      <c r="J247" s="52" t="s">
        <v>1939</v>
      </c>
      <c r="K247" s="50" t="s">
        <v>442</v>
      </c>
      <c r="L247" s="50" t="s">
        <v>443</v>
      </c>
      <c r="M247" s="50" t="s">
        <v>444</v>
      </c>
      <c r="N247" s="52" t="s">
        <v>1605</v>
      </c>
      <c r="O247" s="50" t="s">
        <v>314</v>
      </c>
      <c r="P247" s="52" t="s">
        <v>1606</v>
      </c>
      <c r="Q247" s="52" t="s">
        <v>1607</v>
      </c>
      <c r="R247" s="50" t="s">
        <v>448</v>
      </c>
      <c r="S247" s="50" t="s">
        <v>426</v>
      </c>
      <c r="T247" s="50" t="s">
        <v>322</v>
      </c>
      <c r="U247" s="52" t="s">
        <v>999</v>
      </c>
      <c r="V247" s="52" t="s">
        <v>1940</v>
      </c>
      <c r="W247" s="53" t="s">
        <v>314</v>
      </c>
      <c r="X247" s="52" t="s">
        <v>1609</v>
      </c>
      <c r="Y247" s="52" t="s">
        <v>1941</v>
      </c>
    </row>
    <row r="248" spans="1:25">
      <c r="A248" s="50">
        <v>245</v>
      </c>
      <c r="B248" s="51" t="s">
        <v>1942</v>
      </c>
      <c r="C248" s="52" t="s">
        <v>1943</v>
      </c>
      <c r="D248" s="50" t="s">
        <v>107</v>
      </c>
      <c r="E248" s="50" t="s">
        <v>994</v>
      </c>
      <c r="F248" s="52" t="s">
        <v>1944</v>
      </c>
      <c r="G248" s="52" t="s">
        <v>1945</v>
      </c>
      <c r="H248" s="52" t="s">
        <v>1894</v>
      </c>
      <c r="I248" s="50" t="s">
        <v>440</v>
      </c>
      <c r="J248" s="52" t="s">
        <v>1946</v>
      </c>
      <c r="K248" s="50" t="s">
        <v>442</v>
      </c>
      <c r="L248" s="50" t="s">
        <v>443</v>
      </c>
      <c r="M248" s="50" t="s">
        <v>444</v>
      </c>
      <c r="N248" s="52" t="s">
        <v>1605</v>
      </c>
      <c r="O248" s="50" t="s">
        <v>314</v>
      </c>
      <c r="P248" s="52" t="s">
        <v>1606</v>
      </c>
      <c r="Q248" s="52" t="s">
        <v>1607</v>
      </c>
      <c r="R248" s="50" t="s">
        <v>448</v>
      </c>
      <c r="S248" s="50" t="s">
        <v>426</v>
      </c>
      <c r="T248" s="50" t="s">
        <v>322</v>
      </c>
      <c r="U248" s="52" t="s">
        <v>999</v>
      </c>
      <c r="V248" s="52" t="s">
        <v>1947</v>
      </c>
      <c r="W248" s="53" t="s">
        <v>314</v>
      </c>
      <c r="X248" s="52" t="s">
        <v>1609</v>
      </c>
      <c r="Y248" s="52" t="s">
        <v>1948</v>
      </c>
    </row>
    <row r="249" spans="1:25">
      <c r="A249" s="50">
        <v>246</v>
      </c>
      <c r="B249" s="51" t="s">
        <v>1949</v>
      </c>
      <c r="C249" s="52" t="s">
        <v>1950</v>
      </c>
      <c r="D249" s="50" t="s">
        <v>107</v>
      </c>
      <c r="E249" s="50" t="s">
        <v>994</v>
      </c>
      <c r="F249" s="52" t="s">
        <v>1951</v>
      </c>
      <c r="G249" s="52" t="s">
        <v>1945</v>
      </c>
      <c r="H249" s="52" t="s">
        <v>1894</v>
      </c>
      <c r="I249" s="50" t="s">
        <v>440</v>
      </c>
      <c r="J249" s="52" t="s">
        <v>1952</v>
      </c>
      <c r="K249" s="50" t="s">
        <v>442</v>
      </c>
      <c r="L249" s="50" t="s">
        <v>443</v>
      </c>
      <c r="M249" s="50" t="s">
        <v>444</v>
      </c>
      <c r="N249" s="52" t="s">
        <v>1605</v>
      </c>
      <c r="O249" s="50" t="s">
        <v>314</v>
      </c>
      <c r="P249" s="52" t="s">
        <v>1606</v>
      </c>
      <c r="Q249" s="52" t="s">
        <v>1607</v>
      </c>
      <c r="R249" s="50" t="s">
        <v>448</v>
      </c>
      <c r="S249" s="50" t="s">
        <v>426</v>
      </c>
      <c r="T249" s="50" t="s">
        <v>322</v>
      </c>
      <c r="U249" s="52" t="s">
        <v>999</v>
      </c>
      <c r="V249" s="52" t="s">
        <v>1953</v>
      </c>
      <c r="W249" s="53" t="s">
        <v>314</v>
      </c>
      <c r="X249" s="52" t="s">
        <v>1609</v>
      </c>
      <c r="Y249" s="52" t="s">
        <v>1954</v>
      </c>
    </row>
    <row r="250" spans="1:25">
      <c r="A250" s="50">
        <v>247</v>
      </c>
      <c r="B250" s="51" t="s">
        <v>1955</v>
      </c>
      <c r="C250" s="52" t="s">
        <v>1956</v>
      </c>
      <c r="D250" s="50" t="s">
        <v>107</v>
      </c>
      <c r="E250" s="50" t="s">
        <v>994</v>
      </c>
      <c r="F250" s="52" t="s">
        <v>1957</v>
      </c>
      <c r="G250" s="52" t="s">
        <v>1958</v>
      </c>
      <c r="H250" s="52" t="s">
        <v>1894</v>
      </c>
      <c r="I250" s="50" t="s">
        <v>440</v>
      </c>
      <c r="J250" s="52" t="s">
        <v>1959</v>
      </c>
      <c r="K250" s="50" t="s">
        <v>442</v>
      </c>
      <c r="L250" s="50" t="s">
        <v>443</v>
      </c>
      <c r="M250" s="50" t="s">
        <v>444</v>
      </c>
      <c r="N250" s="52" t="s">
        <v>1605</v>
      </c>
      <c r="O250" s="50" t="s">
        <v>314</v>
      </c>
      <c r="P250" s="52" t="s">
        <v>1606</v>
      </c>
      <c r="Q250" s="52" t="s">
        <v>1607</v>
      </c>
      <c r="R250" s="50" t="s">
        <v>448</v>
      </c>
      <c r="S250" s="50" t="s">
        <v>426</v>
      </c>
      <c r="T250" s="50" t="s">
        <v>322</v>
      </c>
      <c r="U250" s="52" t="s">
        <v>999</v>
      </c>
      <c r="V250" s="52" t="s">
        <v>1960</v>
      </c>
      <c r="W250" s="53" t="s">
        <v>314</v>
      </c>
      <c r="X250" s="52" t="s">
        <v>1609</v>
      </c>
      <c r="Y250" s="52" t="s">
        <v>1961</v>
      </c>
    </row>
    <row r="251" spans="1:25">
      <c r="A251" s="50">
        <v>248</v>
      </c>
      <c r="B251" s="51" t="s">
        <v>1962</v>
      </c>
      <c r="C251" s="52" t="s">
        <v>1963</v>
      </c>
      <c r="D251" s="50" t="s">
        <v>107</v>
      </c>
      <c r="E251" s="50" t="s">
        <v>994</v>
      </c>
      <c r="F251" s="52" t="s">
        <v>1964</v>
      </c>
      <c r="G251" s="52" t="s">
        <v>1958</v>
      </c>
      <c r="H251" s="52" t="s">
        <v>1894</v>
      </c>
      <c r="I251" s="50" t="s">
        <v>440</v>
      </c>
      <c r="J251" s="52" t="s">
        <v>1965</v>
      </c>
      <c r="K251" s="50" t="s">
        <v>442</v>
      </c>
      <c r="L251" s="50" t="s">
        <v>443</v>
      </c>
      <c r="M251" s="50" t="s">
        <v>444</v>
      </c>
      <c r="N251" s="52" t="s">
        <v>1605</v>
      </c>
      <c r="O251" s="50" t="s">
        <v>314</v>
      </c>
      <c r="P251" s="52" t="s">
        <v>1606</v>
      </c>
      <c r="Q251" s="52" t="s">
        <v>1607</v>
      </c>
      <c r="R251" s="50" t="s">
        <v>448</v>
      </c>
      <c r="S251" s="50" t="s">
        <v>426</v>
      </c>
      <c r="T251" s="50" t="s">
        <v>322</v>
      </c>
      <c r="U251" s="52" t="s">
        <v>999</v>
      </c>
      <c r="V251" s="52" t="s">
        <v>1966</v>
      </c>
      <c r="W251" s="53" t="s">
        <v>314</v>
      </c>
      <c r="X251" s="52" t="s">
        <v>1609</v>
      </c>
      <c r="Y251" s="52" t="s">
        <v>1967</v>
      </c>
    </row>
    <row r="252" spans="1:25">
      <c r="A252" s="50">
        <v>249</v>
      </c>
      <c r="B252" s="51" t="s">
        <v>1968</v>
      </c>
      <c r="C252" s="52" t="s">
        <v>1969</v>
      </c>
      <c r="D252" s="50" t="s">
        <v>107</v>
      </c>
      <c r="E252" s="50" t="s">
        <v>994</v>
      </c>
      <c r="F252" s="52" t="s">
        <v>1970</v>
      </c>
      <c r="G252" s="52" t="s">
        <v>1971</v>
      </c>
      <c r="H252" s="52" t="s">
        <v>1894</v>
      </c>
      <c r="I252" s="50" t="s">
        <v>440</v>
      </c>
      <c r="J252" s="52" t="s">
        <v>1972</v>
      </c>
      <c r="K252" s="50" t="s">
        <v>442</v>
      </c>
      <c r="L252" s="50" t="s">
        <v>443</v>
      </c>
      <c r="M252" s="50" t="s">
        <v>444</v>
      </c>
      <c r="N252" s="52" t="s">
        <v>1605</v>
      </c>
      <c r="O252" s="50" t="s">
        <v>314</v>
      </c>
      <c r="P252" s="52" t="s">
        <v>1606</v>
      </c>
      <c r="Q252" s="52" t="s">
        <v>1607</v>
      </c>
      <c r="R252" s="50" t="s">
        <v>448</v>
      </c>
      <c r="S252" s="50" t="s">
        <v>426</v>
      </c>
      <c r="T252" s="50" t="s">
        <v>322</v>
      </c>
      <c r="U252" s="52" t="s">
        <v>999</v>
      </c>
      <c r="V252" s="52" t="s">
        <v>1973</v>
      </c>
      <c r="W252" s="53" t="s">
        <v>314</v>
      </c>
      <c r="X252" s="52" t="s">
        <v>1609</v>
      </c>
      <c r="Y252" s="52" t="s">
        <v>1974</v>
      </c>
    </row>
    <row r="253" spans="1:25">
      <c r="A253" s="50">
        <v>250</v>
      </c>
      <c r="B253" s="51" t="s">
        <v>1975</v>
      </c>
      <c r="C253" s="52" t="s">
        <v>1976</v>
      </c>
      <c r="D253" s="50" t="s">
        <v>107</v>
      </c>
      <c r="E253" s="50" t="s">
        <v>994</v>
      </c>
      <c r="F253" s="52" t="s">
        <v>1977</v>
      </c>
      <c r="G253" s="52" t="s">
        <v>1971</v>
      </c>
      <c r="H253" s="52" t="s">
        <v>1894</v>
      </c>
      <c r="I253" s="50" t="s">
        <v>440</v>
      </c>
      <c r="J253" s="52" t="s">
        <v>1978</v>
      </c>
      <c r="K253" s="50" t="s">
        <v>442</v>
      </c>
      <c r="L253" s="50" t="s">
        <v>443</v>
      </c>
      <c r="M253" s="50" t="s">
        <v>444</v>
      </c>
      <c r="N253" s="52" t="s">
        <v>1605</v>
      </c>
      <c r="O253" s="50" t="s">
        <v>314</v>
      </c>
      <c r="P253" s="52" t="s">
        <v>1606</v>
      </c>
      <c r="Q253" s="52" t="s">
        <v>1607</v>
      </c>
      <c r="R253" s="50" t="s">
        <v>448</v>
      </c>
      <c r="S253" s="50" t="s">
        <v>426</v>
      </c>
      <c r="T253" s="50" t="s">
        <v>322</v>
      </c>
      <c r="U253" s="52" t="s">
        <v>999</v>
      </c>
      <c r="V253" s="52" t="s">
        <v>1979</v>
      </c>
      <c r="W253" s="53" t="s">
        <v>314</v>
      </c>
      <c r="X253" s="52" t="s">
        <v>1609</v>
      </c>
      <c r="Y253" s="52" t="s">
        <v>1980</v>
      </c>
    </row>
    <row r="254" spans="1:25">
      <c r="A254" s="50">
        <v>251</v>
      </c>
      <c r="B254" s="51" t="s">
        <v>1981</v>
      </c>
      <c r="C254" s="52" t="s">
        <v>1982</v>
      </c>
      <c r="D254" s="50" t="s">
        <v>107</v>
      </c>
      <c r="E254" s="50" t="s">
        <v>994</v>
      </c>
      <c r="F254" s="52" t="s">
        <v>1983</v>
      </c>
      <c r="G254" s="52" t="s">
        <v>1984</v>
      </c>
      <c r="H254" s="52" t="s">
        <v>1887</v>
      </c>
      <c r="I254" s="50" t="s">
        <v>440</v>
      </c>
      <c r="J254" s="52" t="s">
        <v>1985</v>
      </c>
      <c r="K254" s="50" t="s">
        <v>442</v>
      </c>
      <c r="L254" s="50" t="s">
        <v>443</v>
      </c>
      <c r="M254" s="50" t="s">
        <v>444</v>
      </c>
      <c r="N254" s="52" t="s">
        <v>1605</v>
      </c>
      <c r="O254" s="50" t="s">
        <v>314</v>
      </c>
      <c r="P254" s="52" t="s">
        <v>1606</v>
      </c>
      <c r="Q254" s="52" t="s">
        <v>1607</v>
      </c>
      <c r="R254" s="50" t="s">
        <v>448</v>
      </c>
      <c r="S254" s="50" t="s">
        <v>426</v>
      </c>
      <c r="T254" s="50" t="s">
        <v>322</v>
      </c>
      <c r="U254" s="52" t="s">
        <v>999</v>
      </c>
      <c r="V254" s="52" t="s">
        <v>1986</v>
      </c>
      <c r="W254" s="53" t="s">
        <v>314</v>
      </c>
      <c r="X254" s="52" t="s">
        <v>1609</v>
      </c>
      <c r="Y254" s="52" t="s">
        <v>1987</v>
      </c>
    </row>
    <row r="255" spans="1:25">
      <c r="A255" s="50">
        <v>252</v>
      </c>
      <c r="B255" s="51" t="s">
        <v>1988</v>
      </c>
      <c r="C255" s="52" t="s">
        <v>1989</v>
      </c>
      <c r="D255" s="50" t="s">
        <v>107</v>
      </c>
      <c r="E255" s="50" t="s">
        <v>994</v>
      </c>
      <c r="F255" s="52" t="s">
        <v>1990</v>
      </c>
      <c r="G255" s="52" t="s">
        <v>1984</v>
      </c>
      <c r="H255" s="52" t="s">
        <v>1894</v>
      </c>
      <c r="I255" s="50" t="s">
        <v>440</v>
      </c>
      <c r="J255" s="52" t="s">
        <v>1991</v>
      </c>
      <c r="K255" s="50" t="s">
        <v>442</v>
      </c>
      <c r="L255" s="50" t="s">
        <v>443</v>
      </c>
      <c r="M255" s="50" t="s">
        <v>444</v>
      </c>
      <c r="N255" s="52" t="s">
        <v>1605</v>
      </c>
      <c r="O255" s="50" t="s">
        <v>314</v>
      </c>
      <c r="P255" s="52" t="s">
        <v>1606</v>
      </c>
      <c r="Q255" s="52" t="s">
        <v>1607</v>
      </c>
      <c r="R255" s="50" t="s">
        <v>448</v>
      </c>
      <c r="S255" s="50" t="s">
        <v>426</v>
      </c>
      <c r="T255" s="50" t="s">
        <v>322</v>
      </c>
      <c r="U255" s="52" t="s">
        <v>999</v>
      </c>
      <c r="V255" s="52" t="s">
        <v>1992</v>
      </c>
      <c r="W255" s="53" t="s">
        <v>314</v>
      </c>
      <c r="X255" s="52" t="s">
        <v>1609</v>
      </c>
      <c r="Y255" s="52" t="s">
        <v>1993</v>
      </c>
    </row>
    <row r="256" spans="1:25">
      <c r="A256" s="50">
        <v>253</v>
      </c>
      <c r="B256" s="51" t="s">
        <v>1994</v>
      </c>
      <c r="C256" s="52" t="s">
        <v>1995</v>
      </c>
      <c r="D256" s="50" t="s">
        <v>107</v>
      </c>
      <c r="E256" s="50" t="s">
        <v>994</v>
      </c>
      <c r="F256" s="52" t="s">
        <v>1996</v>
      </c>
      <c r="G256" s="52" t="s">
        <v>1984</v>
      </c>
      <c r="H256" s="52" t="s">
        <v>1894</v>
      </c>
      <c r="I256" s="50" t="s">
        <v>440</v>
      </c>
      <c r="J256" s="52" t="s">
        <v>1997</v>
      </c>
      <c r="K256" s="50" t="s">
        <v>442</v>
      </c>
      <c r="L256" s="50" t="s">
        <v>443</v>
      </c>
      <c r="M256" s="50" t="s">
        <v>444</v>
      </c>
      <c r="N256" s="52" t="s">
        <v>1605</v>
      </c>
      <c r="O256" s="50" t="s">
        <v>314</v>
      </c>
      <c r="P256" s="52" t="s">
        <v>1606</v>
      </c>
      <c r="Q256" s="52" t="s">
        <v>1607</v>
      </c>
      <c r="R256" s="50" t="s">
        <v>448</v>
      </c>
      <c r="S256" s="50" t="s">
        <v>426</v>
      </c>
      <c r="T256" s="50" t="s">
        <v>322</v>
      </c>
      <c r="U256" s="52" t="s">
        <v>999</v>
      </c>
      <c r="V256" s="52" t="s">
        <v>1998</v>
      </c>
      <c r="W256" s="53" t="s">
        <v>314</v>
      </c>
      <c r="X256" s="52" t="s">
        <v>1609</v>
      </c>
      <c r="Y256" s="52" t="s">
        <v>1999</v>
      </c>
    </row>
    <row r="257" spans="1:25">
      <c r="A257" s="50">
        <v>254</v>
      </c>
      <c r="B257" s="51" t="s">
        <v>2000</v>
      </c>
      <c r="C257" s="52" t="s">
        <v>2001</v>
      </c>
      <c r="D257" s="50" t="s">
        <v>107</v>
      </c>
      <c r="E257" s="50" t="s">
        <v>994</v>
      </c>
      <c r="F257" s="52" t="s">
        <v>2002</v>
      </c>
      <c r="G257" s="52" t="s">
        <v>2003</v>
      </c>
      <c r="H257" s="52" t="s">
        <v>2004</v>
      </c>
      <c r="I257" s="50" t="s">
        <v>440</v>
      </c>
      <c r="J257" s="52" t="s">
        <v>2005</v>
      </c>
      <c r="K257" s="50" t="s">
        <v>442</v>
      </c>
      <c r="L257" s="50" t="s">
        <v>443</v>
      </c>
      <c r="M257" s="50" t="s">
        <v>444</v>
      </c>
      <c r="N257" s="52" t="s">
        <v>1605</v>
      </c>
      <c r="O257" s="50" t="s">
        <v>314</v>
      </c>
      <c r="P257" s="52" t="s">
        <v>1606</v>
      </c>
      <c r="Q257" s="52" t="s">
        <v>1607</v>
      </c>
      <c r="R257" s="50" t="s">
        <v>448</v>
      </c>
      <c r="S257" s="50" t="s">
        <v>426</v>
      </c>
      <c r="T257" s="50" t="s">
        <v>322</v>
      </c>
      <c r="U257" s="52" t="s">
        <v>999</v>
      </c>
      <c r="V257" s="52" t="s">
        <v>2006</v>
      </c>
      <c r="W257" s="53" t="s">
        <v>314</v>
      </c>
      <c r="X257" s="52" t="s">
        <v>1609</v>
      </c>
      <c r="Y257" s="52" t="s">
        <v>2007</v>
      </c>
    </row>
    <row r="258" spans="1:25">
      <c r="A258" s="50">
        <v>255</v>
      </c>
      <c r="B258" s="51" t="s">
        <v>2008</v>
      </c>
      <c r="C258" s="52" t="s">
        <v>2009</v>
      </c>
      <c r="D258" s="50" t="s">
        <v>107</v>
      </c>
      <c r="E258" s="50" t="s">
        <v>994</v>
      </c>
      <c r="F258" s="52" t="s">
        <v>2010</v>
      </c>
      <c r="G258" s="52" t="s">
        <v>1694</v>
      </c>
      <c r="H258" s="52" t="s">
        <v>1695</v>
      </c>
      <c r="I258" s="50" t="s">
        <v>440</v>
      </c>
      <c r="J258" s="52" t="s">
        <v>2011</v>
      </c>
      <c r="K258" s="50" t="s">
        <v>498</v>
      </c>
      <c r="L258" s="50" t="s">
        <v>522</v>
      </c>
      <c r="M258" s="50" t="s">
        <v>523</v>
      </c>
      <c r="N258" s="52" t="s">
        <v>996</v>
      </c>
      <c r="O258" s="50" t="s">
        <v>314</v>
      </c>
      <c r="P258" s="52" t="s">
        <v>2012</v>
      </c>
      <c r="Q258" s="52" t="s">
        <v>2013</v>
      </c>
      <c r="R258" s="50" t="s">
        <v>448</v>
      </c>
      <c r="S258" s="50" t="s">
        <v>426</v>
      </c>
      <c r="T258" s="50" t="s">
        <v>322</v>
      </c>
      <c r="U258" s="52" t="s">
        <v>999</v>
      </c>
      <c r="V258" s="52" t="s">
        <v>2014</v>
      </c>
      <c r="W258" s="53" t="s">
        <v>314</v>
      </c>
      <c r="X258" s="52" t="s">
        <v>2015</v>
      </c>
      <c r="Y258" s="52" t="s">
        <v>2016</v>
      </c>
    </row>
    <row r="259" spans="1:25">
      <c r="A259" s="50">
        <v>256</v>
      </c>
      <c r="B259" s="51" t="s">
        <v>2017</v>
      </c>
      <c r="C259" s="52" t="s">
        <v>2018</v>
      </c>
      <c r="D259" s="50" t="s">
        <v>107</v>
      </c>
      <c r="E259" s="50" t="s">
        <v>994</v>
      </c>
      <c r="F259" s="52" t="s">
        <v>2019</v>
      </c>
      <c r="G259" s="52" t="s">
        <v>1709</v>
      </c>
      <c r="H259" s="52" t="s">
        <v>1710</v>
      </c>
      <c r="I259" s="50" t="s">
        <v>440</v>
      </c>
      <c r="J259" s="52" t="s">
        <v>2020</v>
      </c>
      <c r="K259" s="50" t="s">
        <v>498</v>
      </c>
      <c r="L259" s="50" t="s">
        <v>522</v>
      </c>
      <c r="M259" s="50" t="s">
        <v>523</v>
      </c>
      <c r="N259" s="52" t="s">
        <v>996</v>
      </c>
      <c r="O259" s="50" t="s">
        <v>314</v>
      </c>
      <c r="P259" s="52" t="s">
        <v>2012</v>
      </c>
      <c r="Q259" s="52" t="s">
        <v>2013</v>
      </c>
      <c r="R259" s="50" t="s">
        <v>448</v>
      </c>
      <c r="S259" s="50" t="s">
        <v>426</v>
      </c>
      <c r="T259" s="50" t="s">
        <v>322</v>
      </c>
      <c r="U259" s="52" t="s">
        <v>999</v>
      </c>
      <c r="V259" s="52" t="s">
        <v>2021</v>
      </c>
      <c r="W259" s="53" t="s">
        <v>314</v>
      </c>
      <c r="X259" s="52" t="s">
        <v>2015</v>
      </c>
      <c r="Y259" s="52" t="s">
        <v>2022</v>
      </c>
    </row>
    <row r="260" spans="1:25">
      <c r="A260" s="50">
        <v>257</v>
      </c>
      <c r="B260" s="51" t="s">
        <v>2023</v>
      </c>
      <c r="C260" s="52" t="s">
        <v>2024</v>
      </c>
      <c r="D260" s="50" t="s">
        <v>107</v>
      </c>
      <c r="E260" s="50" t="s">
        <v>994</v>
      </c>
      <c r="F260" s="52" t="s">
        <v>2025</v>
      </c>
      <c r="G260" s="52" t="s">
        <v>1723</v>
      </c>
      <c r="H260" s="52" t="s">
        <v>1710</v>
      </c>
      <c r="I260" s="50" t="s">
        <v>440</v>
      </c>
      <c r="J260" s="52" t="s">
        <v>2026</v>
      </c>
      <c r="K260" s="50" t="s">
        <v>498</v>
      </c>
      <c r="L260" s="50" t="s">
        <v>522</v>
      </c>
      <c r="M260" s="50" t="s">
        <v>523</v>
      </c>
      <c r="N260" s="52" t="s">
        <v>996</v>
      </c>
      <c r="O260" s="50" t="s">
        <v>314</v>
      </c>
      <c r="P260" s="52" t="s">
        <v>2012</v>
      </c>
      <c r="Q260" s="52" t="s">
        <v>2013</v>
      </c>
      <c r="R260" s="50" t="s">
        <v>448</v>
      </c>
      <c r="S260" s="50" t="s">
        <v>426</v>
      </c>
      <c r="T260" s="50" t="s">
        <v>322</v>
      </c>
      <c r="U260" s="52" t="s">
        <v>999</v>
      </c>
      <c r="V260" s="52" t="s">
        <v>2027</v>
      </c>
      <c r="W260" s="53" t="s">
        <v>314</v>
      </c>
      <c r="X260" s="52" t="s">
        <v>2015</v>
      </c>
      <c r="Y260" s="52" t="s">
        <v>2028</v>
      </c>
    </row>
    <row r="261" spans="1:25">
      <c r="A261" s="50">
        <v>258</v>
      </c>
      <c r="B261" s="51" t="s">
        <v>2029</v>
      </c>
      <c r="C261" s="52" t="s">
        <v>2030</v>
      </c>
      <c r="D261" s="50" t="s">
        <v>107</v>
      </c>
      <c r="E261" s="50" t="s">
        <v>994</v>
      </c>
      <c r="F261" s="52" t="s">
        <v>2031</v>
      </c>
      <c r="G261" s="52" t="s">
        <v>1789</v>
      </c>
      <c r="H261" s="52" t="s">
        <v>1710</v>
      </c>
      <c r="I261" s="50" t="s">
        <v>440</v>
      </c>
      <c r="J261" s="52" t="s">
        <v>2032</v>
      </c>
      <c r="K261" s="50" t="s">
        <v>498</v>
      </c>
      <c r="L261" s="50" t="s">
        <v>522</v>
      </c>
      <c r="M261" s="50" t="s">
        <v>523</v>
      </c>
      <c r="N261" s="52" t="s">
        <v>996</v>
      </c>
      <c r="O261" s="50" t="s">
        <v>314</v>
      </c>
      <c r="P261" s="52" t="s">
        <v>2012</v>
      </c>
      <c r="Q261" s="52" t="s">
        <v>2013</v>
      </c>
      <c r="R261" s="50" t="s">
        <v>448</v>
      </c>
      <c r="S261" s="50" t="s">
        <v>426</v>
      </c>
      <c r="T261" s="50" t="s">
        <v>322</v>
      </c>
      <c r="U261" s="52" t="s">
        <v>999</v>
      </c>
      <c r="V261" s="52" t="s">
        <v>2033</v>
      </c>
      <c r="W261" s="53" t="s">
        <v>314</v>
      </c>
      <c r="X261" s="52" t="s">
        <v>2015</v>
      </c>
      <c r="Y261" s="52" t="s">
        <v>2034</v>
      </c>
    </row>
    <row r="262" spans="1:25">
      <c r="A262" s="50">
        <v>259</v>
      </c>
      <c r="B262" s="51" t="s">
        <v>2035</v>
      </c>
      <c r="C262" s="52" t="s">
        <v>2036</v>
      </c>
      <c r="D262" s="50" t="s">
        <v>107</v>
      </c>
      <c r="E262" s="50" t="s">
        <v>1257</v>
      </c>
      <c r="F262" s="52" t="s">
        <v>2037</v>
      </c>
      <c r="G262" s="52" t="s">
        <v>1694</v>
      </c>
      <c r="H262" s="52" t="s">
        <v>1695</v>
      </c>
      <c r="I262" s="50" t="s">
        <v>440</v>
      </c>
      <c r="J262" s="52" t="s">
        <v>2038</v>
      </c>
      <c r="K262" s="50" t="s">
        <v>536</v>
      </c>
      <c r="L262" s="50" t="s">
        <v>522</v>
      </c>
      <c r="M262" s="50" t="s">
        <v>523</v>
      </c>
      <c r="N262" s="52" t="s">
        <v>996</v>
      </c>
      <c r="O262" s="50" t="s">
        <v>314</v>
      </c>
      <c r="P262" s="52" t="s">
        <v>2039</v>
      </c>
      <c r="Q262" s="52" t="s">
        <v>2040</v>
      </c>
      <c r="R262" s="50" t="s">
        <v>510</v>
      </c>
      <c r="S262" s="50" t="s">
        <v>426</v>
      </c>
      <c r="T262" s="50" t="s">
        <v>322</v>
      </c>
      <c r="U262" s="52" t="s">
        <v>999</v>
      </c>
      <c r="V262" s="52" t="s">
        <v>2041</v>
      </c>
      <c r="W262" s="53" t="s">
        <v>2042</v>
      </c>
      <c r="X262" s="52" t="s">
        <v>2043</v>
      </c>
      <c r="Y262" s="52" t="s">
        <v>2044</v>
      </c>
    </row>
    <row r="263" spans="1:25">
      <c r="A263" s="50">
        <v>260</v>
      </c>
      <c r="B263" s="51" t="s">
        <v>2045</v>
      </c>
      <c r="C263" s="52" t="s">
        <v>2046</v>
      </c>
      <c r="D263" s="50" t="s">
        <v>107</v>
      </c>
      <c r="E263" s="50" t="s">
        <v>1257</v>
      </c>
      <c r="F263" s="52" t="s">
        <v>2047</v>
      </c>
      <c r="G263" s="52" t="s">
        <v>1709</v>
      </c>
      <c r="H263" s="52" t="s">
        <v>1710</v>
      </c>
      <c r="I263" s="50" t="s">
        <v>440</v>
      </c>
      <c r="J263" s="52" t="s">
        <v>2048</v>
      </c>
      <c r="K263" s="50" t="s">
        <v>536</v>
      </c>
      <c r="L263" s="50" t="s">
        <v>522</v>
      </c>
      <c r="M263" s="50" t="s">
        <v>523</v>
      </c>
      <c r="N263" s="52" t="s">
        <v>996</v>
      </c>
      <c r="O263" s="50" t="s">
        <v>314</v>
      </c>
      <c r="P263" s="52" t="s">
        <v>2039</v>
      </c>
      <c r="Q263" s="52" t="s">
        <v>2040</v>
      </c>
      <c r="R263" s="50" t="s">
        <v>510</v>
      </c>
      <c r="S263" s="50" t="s">
        <v>426</v>
      </c>
      <c r="T263" s="50" t="s">
        <v>322</v>
      </c>
      <c r="U263" s="52" t="s">
        <v>999</v>
      </c>
      <c r="V263" s="52" t="s">
        <v>2049</v>
      </c>
      <c r="W263" s="53" t="s">
        <v>2050</v>
      </c>
      <c r="X263" s="52" t="s">
        <v>2043</v>
      </c>
      <c r="Y263" s="52" t="s">
        <v>2051</v>
      </c>
    </row>
    <row r="264" spans="1:25">
      <c r="A264" s="50">
        <v>261</v>
      </c>
      <c r="B264" s="51" t="s">
        <v>2052</v>
      </c>
      <c r="C264" s="52" t="s">
        <v>2053</v>
      </c>
      <c r="D264" s="50" t="s">
        <v>107</v>
      </c>
      <c r="E264" s="50" t="s">
        <v>1257</v>
      </c>
      <c r="F264" s="52" t="s">
        <v>2054</v>
      </c>
      <c r="G264" s="52" t="s">
        <v>1709</v>
      </c>
      <c r="H264" s="52" t="s">
        <v>1702</v>
      </c>
      <c r="I264" s="50" t="s">
        <v>440</v>
      </c>
      <c r="J264" s="52" t="s">
        <v>2055</v>
      </c>
      <c r="K264" s="50" t="s">
        <v>536</v>
      </c>
      <c r="L264" s="50" t="s">
        <v>522</v>
      </c>
      <c r="M264" s="50" t="s">
        <v>523</v>
      </c>
      <c r="N264" s="52" t="s">
        <v>996</v>
      </c>
      <c r="O264" s="50" t="s">
        <v>314</v>
      </c>
      <c r="P264" s="52" t="s">
        <v>2039</v>
      </c>
      <c r="Q264" s="52" t="s">
        <v>2040</v>
      </c>
      <c r="R264" s="50" t="s">
        <v>510</v>
      </c>
      <c r="S264" s="50" t="s">
        <v>426</v>
      </c>
      <c r="T264" s="50" t="s">
        <v>322</v>
      </c>
      <c r="U264" s="52" t="s">
        <v>999</v>
      </c>
      <c r="V264" s="52" t="s">
        <v>2056</v>
      </c>
      <c r="W264" s="53" t="s">
        <v>2057</v>
      </c>
      <c r="X264" s="52" t="s">
        <v>2043</v>
      </c>
      <c r="Y264" s="52" t="s">
        <v>2058</v>
      </c>
    </row>
    <row r="265" spans="1:25">
      <c r="A265" s="50">
        <v>262</v>
      </c>
      <c r="B265" s="51" t="s">
        <v>2059</v>
      </c>
      <c r="C265" s="52" t="s">
        <v>2060</v>
      </c>
      <c r="D265" s="50" t="s">
        <v>107</v>
      </c>
      <c r="E265" s="50" t="s">
        <v>1257</v>
      </c>
      <c r="F265" s="52" t="s">
        <v>2061</v>
      </c>
      <c r="G265" s="52" t="s">
        <v>1723</v>
      </c>
      <c r="H265" s="52" t="s">
        <v>1710</v>
      </c>
      <c r="I265" s="50" t="s">
        <v>440</v>
      </c>
      <c r="J265" s="52" t="s">
        <v>2062</v>
      </c>
      <c r="K265" s="50" t="s">
        <v>536</v>
      </c>
      <c r="L265" s="50" t="s">
        <v>522</v>
      </c>
      <c r="M265" s="50" t="s">
        <v>523</v>
      </c>
      <c r="N265" s="52" t="s">
        <v>996</v>
      </c>
      <c r="O265" s="50" t="s">
        <v>314</v>
      </c>
      <c r="P265" s="52" t="s">
        <v>2039</v>
      </c>
      <c r="Q265" s="52" t="s">
        <v>2040</v>
      </c>
      <c r="R265" s="50" t="s">
        <v>510</v>
      </c>
      <c r="S265" s="50" t="s">
        <v>426</v>
      </c>
      <c r="T265" s="50" t="s">
        <v>322</v>
      </c>
      <c r="U265" s="52" t="s">
        <v>999</v>
      </c>
      <c r="V265" s="52" t="s">
        <v>2063</v>
      </c>
      <c r="W265" s="53" t="s">
        <v>2064</v>
      </c>
      <c r="X265" s="52" t="s">
        <v>2043</v>
      </c>
      <c r="Y265" s="52" t="s">
        <v>2065</v>
      </c>
    </row>
    <row r="266" spans="1:25">
      <c r="A266" s="50">
        <v>263</v>
      </c>
      <c r="B266" s="51" t="s">
        <v>2066</v>
      </c>
      <c r="C266" s="52" t="s">
        <v>2067</v>
      </c>
      <c r="D266" s="50" t="s">
        <v>107</v>
      </c>
      <c r="E266" s="50" t="s">
        <v>1257</v>
      </c>
      <c r="F266" s="52" t="s">
        <v>2068</v>
      </c>
      <c r="G266" s="52" t="s">
        <v>1723</v>
      </c>
      <c r="H266" s="52" t="s">
        <v>1702</v>
      </c>
      <c r="I266" s="50" t="s">
        <v>440</v>
      </c>
      <c r="J266" s="52" t="s">
        <v>2069</v>
      </c>
      <c r="K266" s="50" t="s">
        <v>536</v>
      </c>
      <c r="L266" s="50" t="s">
        <v>522</v>
      </c>
      <c r="M266" s="50" t="s">
        <v>523</v>
      </c>
      <c r="N266" s="52" t="s">
        <v>996</v>
      </c>
      <c r="O266" s="50" t="s">
        <v>314</v>
      </c>
      <c r="P266" s="52" t="s">
        <v>2039</v>
      </c>
      <c r="Q266" s="52" t="s">
        <v>2040</v>
      </c>
      <c r="R266" s="50" t="s">
        <v>510</v>
      </c>
      <c r="S266" s="50" t="s">
        <v>426</v>
      </c>
      <c r="T266" s="50" t="s">
        <v>322</v>
      </c>
      <c r="U266" s="52" t="s">
        <v>999</v>
      </c>
      <c r="V266" s="52" t="s">
        <v>2070</v>
      </c>
      <c r="W266" s="53" t="s">
        <v>2071</v>
      </c>
      <c r="X266" s="52" t="s">
        <v>2043</v>
      </c>
      <c r="Y266" s="52" t="s">
        <v>2072</v>
      </c>
    </row>
    <row r="267" spans="1:25">
      <c r="A267" s="50">
        <v>264</v>
      </c>
      <c r="B267" s="51" t="s">
        <v>2073</v>
      </c>
      <c r="C267" s="52" t="s">
        <v>2074</v>
      </c>
      <c r="D267" s="50" t="s">
        <v>107</v>
      </c>
      <c r="E267" s="50" t="s">
        <v>1257</v>
      </c>
      <c r="F267" s="52" t="s">
        <v>2075</v>
      </c>
      <c r="G267" s="52" t="s">
        <v>1736</v>
      </c>
      <c r="H267" s="52" t="s">
        <v>1710</v>
      </c>
      <c r="I267" s="50" t="s">
        <v>440</v>
      </c>
      <c r="J267" s="52" t="s">
        <v>2076</v>
      </c>
      <c r="K267" s="50" t="s">
        <v>536</v>
      </c>
      <c r="L267" s="50" t="s">
        <v>522</v>
      </c>
      <c r="M267" s="50" t="s">
        <v>523</v>
      </c>
      <c r="N267" s="52" t="s">
        <v>996</v>
      </c>
      <c r="O267" s="50" t="s">
        <v>314</v>
      </c>
      <c r="P267" s="52" t="s">
        <v>2039</v>
      </c>
      <c r="Q267" s="52" t="s">
        <v>2040</v>
      </c>
      <c r="R267" s="50" t="s">
        <v>510</v>
      </c>
      <c r="S267" s="50" t="s">
        <v>426</v>
      </c>
      <c r="T267" s="50" t="s">
        <v>322</v>
      </c>
      <c r="U267" s="52" t="s">
        <v>999</v>
      </c>
      <c r="V267" s="52" t="s">
        <v>2077</v>
      </c>
      <c r="W267" s="53" t="s">
        <v>2078</v>
      </c>
      <c r="X267" s="52" t="s">
        <v>2043</v>
      </c>
      <c r="Y267" s="52" t="s">
        <v>2079</v>
      </c>
    </row>
    <row r="268" spans="1:25">
      <c r="A268" s="50">
        <v>265</v>
      </c>
      <c r="B268" s="51" t="s">
        <v>2080</v>
      </c>
      <c r="C268" s="52" t="s">
        <v>2081</v>
      </c>
      <c r="D268" s="50" t="s">
        <v>107</v>
      </c>
      <c r="E268" s="50" t="s">
        <v>1257</v>
      </c>
      <c r="F268" s="52" t="s">
        <v>2082</v>
      </c>
      <c r="G268" s="52" t="s">
        <v>1736</v>
      </c>
      <c r="H268" s="52" t="s">
        <v>1702</v>
      </c>
      <c r="I268" s="50" t="s">
        <v>440</v>
      </c>
      <c r="J268" s="52" t="s">
        <v>2083</v>
      </c>
      <c r="K268" s="50" t="s">
        <v>536</v>
      </c>
      <c r="L268" s="50" t="s">
        <v>522</v>
      </c>
      <c r="M268" s="50" t="s">
        <v>523</v>
      </c>
      <c r="N268" s="52" t="s">
        <v>996</v>
      </c>
      <c r="O268" s="50" t="s">
        <v>314</v>
      </c>
      <c r="P268" s="52" t="s">
        <v>2039</v>
      </c>
      <c r="Q268" s="52" t="s">
        <v>2040</v>
      </c>
      <c r="R268" s="50" t="s">
        <v>510</v>
      </c>
      <c r="S268" s="50" t="s">
        <v>426</v>
      </c>
      <c r="T268" s="50" t="s">
        <v>322</v>
      </c>
      <c r="U268" s="52" t="s">
        <v>999</v>
      </c>
      <c r="V268" s="52" t="s">
        <v>2084</v>
      </c>
      <c r="W268" s="53" t="s">
        <v>2085</v>
      </c>
      <c r="X268" s="52" t="s">
        <v>2043</v>
      </c>
      <c r="Y268" s="52" t="s">
        <v>2086</v>
      </c>
    </row>
    <row r="269" spans="1:25">
      <c r="A269" s="50">
        <v>266</v>
      </c>
      <c r="B269" s="51" t="s">
        <v>2087</v>
      </c>
      <c r="C269" s="52" t="s">
        <v>2088</v>
      </c>
      <c r="D269" s="50" t="s">
        <v>107</v>
      </c>
      <c r="E269" s="50" t="s">
        <v>1257</v>
      </c>
      <c r="F269" s="52" t="s">
        <v>2089</v>
      </c>
      <c r="G269" s="52" t="s">
        <v>1749</v>
      </c>
      <c r="H269" s="52" t="s">
        <v>1750</v>
      </c>
      <c r="I269" s="50" t="s">
        <v>440</v>
      </c>
      <c r="J269" s="52" t="s">
        <v>2090</v>
      </c>
      <c r="K269" s="50" t="s">
        <v>536</v>
      </c>
      <c r="L269" s="50" t="s">
        <v>522</v>
      </c>
      <c r="M269" s="50" t="s">
        <v>523</v>
      </c>
      <c r="N269" s="52" t="s">
        <v>996</v>
      </c>
      <c r="O269" s="50" t="s">
        <v>314</v>
      </c>
      <c r="P269" s="52" t="s">
        <v>2039</v>
      </c>
      <c r="Q269" s="52" t="s">
        <v>2040</v>
      </c>
      <c r="R269" s="50" t="s">
        <v>510</v>
      </c>
      <c r="S269" s="50" t="s">
        <v>426</v>
      </c>
      <c r="T269" s="50" t="s">
        <v>322</v>
      </c>
      <c r="U269" s="52" t="s">
        <v>999</v>
      </c>
      <c r="V269" s="52" t="s">
        <v>2091</v>
      </c>
      <c r="W269" s="53" t="s">
        <v>2092</v>
      </c>
      <c r="X269" s="52" t="s">
        <v>2043</v>
      </c>
      <c r="Y269" s="52" t="s">
        <v>2093</v>
      </c>
    </row>
    <row r="270" spans="1:25">
      <c r="A270" s="50">
        <v>267</v>
      </c>
      <c r="B270" s="51" t="s">
        <v>2094</v>
      </c>
      <c r="C270" s="52" t="s">
        <v>2095</v>
      </c>
      <c r="D270" s="50" t="s">
        <v>107</v>
      </c>
      <c r="E270" s="50" t="s">
        <v>1257</v>
      </c>
      <c r="F270" s="52" t="s">
        <v>2096</v>
      </c>
      <c r="G270" s="52" t="s">
        <v>1749</v>
      </c>
      <c r="H270" s="52" t="s">
        <v>1702</v>
      </c>
      <c r="I270" s="50" t="s">
        <v>440</v>
      </c>
      <c r="J270" s="52" t="s">
        <v>2097</v>
      </c>
      <c r="K270" s="50" t="s">
        <v>536</v>
      </c>
      <c r="L270" s="50" t="s">
        <v>522</v>
      </c>
      <c r="M270" s="50" t="s">
        <v>523</v>
      </c>
      <c r="N270" s="52" t="s">
        <v>996</v>
      </c>
      <c r="O270" s="50" t="s">
        <v>314</v>
      </c>
      <c r="P270" s="52" t="s">
        <v>2039</v>
      </c>
      <c r="Q270" s="52" t="s">
        <v>2040</v>
      </c>
      <c r="R270" s="50" t="s">
        <v>510</v>
      </c>
      <c r="S270" s="50" t="s">
        <v>426</v>
      </c>
      <c r="T270" s="50" t="s">
        <v>322</v>
      </c>
      <c r="U270" s="52" t="s">
        <v>999</v>
      </c>
      <c r="V270" s="52" t="s">
        <v>2098</v>
      </c>
      <c r="W270" s="53" t="s">
        <v>2099</v>
      </c>
      <c r="X270" s="52" t="s">
        <v>2043</v>
      </c>
      <c r="Y270" s="52" t="s">
        <v>2100</v>
      </c>
    </row>
    <row r="271" spans="1:25">
      <c r="A271" s="50">
        <v>268</v>
      </c>
      <c r="B271" s="51" t="s">
        <v>2101</v>
      </c>
      <c r="C271" s="52" t="s">
        <v>2102</v>
      </c>
      <c r="D271" s="50" t="s">
        <v>107</v>
      </c>
      <c r="E271" s="50" t="s">
        <v>1257</v>
      </c>
      <c r="F271" s="52" t="s">
        <v>2103</v>
      </c>
      <c r="G271" s="52" t="s">
        <v>1763</v>
      </c>
      <c r="H271" s="52" t="s">
        <v>1710</v>
      </c>
      <c r="I271" s="50" t="s">
        <v>440</v>
      </c>
      <c r="J271" s="52" t="s">
        <v>2104</v>
      </c>
      <c r="K271" s="50" t="s">
        <v>536</v>
      </c>
      <c r="L271" s="50" t="s">
        <v>522</v>
      </c>
      <c r="M271" s="50" t="s">
        <v>523</v>
      </c>
      <c r="N271" s="52" t="s">
        <v>996</v>
      </c>
      <c r="O271" s="50" t="s">
        <v>314</v>
      </c>
      <c r="P271" s="52" t="s">
        <v>2039</v>
      </c>
      <c r="Q271" s="52" t="s">
        <v>2040</v>
      </c>
      <c r="R271" s="50" t="s">
        <v>510</v>
      </c>
      <c r="S271" s="50" t="s">
        <v>426</v>
      </c>
      <c r="T271" s="50" t="s">
        <v>322</v>
      </c>
      <c r="U271" s="52" t="s">
        <v>999</v>
      </c>
      <c r="V271" s="52" t="s">
        <v>2105</v>
      </c>
      <c r="W271" s="53" t="s">
        <v>2106</v>
      </c>
      <c r="X271" s="52" t="s">
        <v>2043</v>
      </c>
      <c r="Y271" s="52" t="s">
        <v>2107</v>
      </c>
    </row>
    <row r="272" spans="1:25">
      <c r="A272" s="50">
        <v>269</v>
      </c>
      <c r="B272" s="51" t="s">
        <v>2108</v>
      </c>
      <c r="C272" s="52" t="s">
        <v>2109</v>
      </c>
      <c r="D272" s="50" t="s">
        <v>107</v>
      </c>
      <c r="E272" s="50" t="s">
        <v>1257</v>
      </c>
      <c r="F272" s="52" t="s">
        <v>2110</v>
      </c>
      <c r="G272" s="52" t="s">
        <v>1763</v>
      </c>
      <c r="H272" s="52" t="s">
        <v>1702</v>
      </c>
      <c r="I272" s="50" t="s">
        <v>440</v>
      </c>
      <c r="J272" s="52" t="s">
        <v>2111</v>
      </c>
      <c r="K272" s="50" t="s">
        <v>536</v>
      </c>
      <c r="L272" s="50" t="s">
        <v>522</v>
      </c>
      <c r="M272" s="50" t="s">
        <v>523</v>
      </c>
      <c r="N272" s="52" t="s">
        <v>996</v>
      </c>
      <c r="O272" s="50" t="s">
        <v>314</v>
      </c>
      <c r="P272" s="52" t="s">
        <v>2039</v>
      </c>
      <c r="Q272" s="52" t="s">
        <v>2040</v>
      </c>
      <c r="R272" s="50" t="s">
        <v>510</v>
      </c>
      <c r="S272" s="50" t="s">
        <v>426</v>
      </c>
      <c r="T272" s="50" t="s">
        <v>322</v>
      </c>
      <c r="U272" s="52" t="s">
        <v>999</v>
      </c>
      <c r="V272" s="52" t="s">
        <v>2112</v>
      </c>
      <c r="W272" s="53" t="s">
        <v>2113</v>
      </c>
      <c r="X272" s="52" t="s">
        <v>2043</v>
      </c>
      <c r="Y272" s="52" t="s">
        <v>2114</v>
      </c>
    </row>
    <row r="273" spans="1:25">
      <c r="A273" s="50">
        <v>270</v>
      </c>
      <c r="B273" s="51" t="s">
        <v>2115</v>
      </c>
      <c r="C273" s="52" t="s">
        <v>2116</v>
      </c>
      <c r="D273" s="50" t="s">
        <v>107</v>
      </c>
      <c r="E273" s="50" t="s">
        <v>1257</v>
      </c>
      <c r="F273" s="52" t="s">
        <v>2117</v>
      </c>
      <c r="G273" s="52" t="s">
        <v>1776</v>
      </c>
      <c r="H273" s="52" t="s">
        <v>1710</v>
      </c>
      <c r="I273" s="50" t="s">
        <v>440</v>
      </c>
      <c r="J273" s="52" t="s">
        <v>2118</v>
      </c>
      <c r="K273" s="50" t="s">
        <v>536</v>
      </c>
      <c r="L273" s="50" t="s">
        <v>522</v>
      </c>
      <c r="M273" s="50" t="s">
        <v>523</v>
      </c>
      <c r="N273" s="52" t="s">
        <v>996</v>
      </c>
      <c r="O273" s="50" t="s">
        <v>314</v>
      </c>
      <c r="P273" s="52" t="s">
        <v>2039</v>
      </c>
      <c r="Q273" s="52" t="s">
        <v>2040</v>
      </c>
      <c r="R273" s="50" t="s">
        <v>510</v>
      </c>
      <c r="S273" s="50" t="s">
        <v>426</v>
      </c>
      <c r="T273" s="50" t="s">
        <v>322</v>
      </c>
      <c r="U273" s="52" t="s">
        <v>999</v>
      </c>
      <c r="V273" s="52" t="s">
        <v>2119</v>
      </c>
      <c r="W273" s="53" t="s">
        <v>2120</v>
      </c>
      <c r="X273" s="52" t="s">
        <v>2043</v>
      </c>
      <c r="Y273" s="52" t="s">
        <v>2121</v>
      </c>
    </row>
    <row r="274" spans="1:25">
      <c r="A274" s="50">
        <v>271</v>
      </c>
      <c r="B274" s="51" t="s">
        <v>2122</v>
      </c>
      <c r="C274" s="52" t="s">
        <v>2123</v>
      </c>
      <c r="D274" s="50" t="s">
        <v>107</v>
      </c>
      <c r="E274" s="50" t="s">
        <v>1257</v>
      </c>
      <c r="F274" s="52" t="s">
        <v>2124</v>
      </c>
      <c r="G274" s="52" t="s">
        <v>1776</v>
      </c>
      <c r="H274" s="52" t="s">
        <v>1702</v>
      </c>
      <c r="I274" s="50" t="s">
        <v>440</v>
      </c>
      <c r="J274" s="52" t="s">
        <v>2125</v>
      </c>
      <c r="K274" s="50" t="s">
        <v>536</v>
      </c>
      <c r="L274" s="50" t="s">
        <v>522</v>
      </c>
      <c r="M274" s="50" t="s">
        <v>523</v>
      </c>
      <c r="N274" s="52" t="s">
        <v>996</v>
      </c>
      <c r="O274" s="50" t="s">
        <v>314</v>
      </c>
      <c r="P274" s="52" t="s">
        <v>2039</v>
      </c>
      <c r="Q274" s="52" t="s">
        <v>2040</v>
      </c>
      <c r="R274" s="50" t="s">
        <v>510</v>
      </c>
      <c r="S274" s="50" t="s">
        <v>426</v>
      </c>
      <c r="T274" s="50" t="s">
        <v>322</v>
      </c>
      <c r="U274" s="52" t="s">
        <v>999</v>
      </c>
      <c r="V274" s="52" t="s">
        <v>2126</v>
      </c>
      <c r="W274" s="53" t="s">
        <v>2127</v>
      </c>
      <c r="X274" s="52" t="s">
        <v>2043</v>
      </c>
      <c r="Y274" s="52" t="s">
        <v>2128</v>
      </c>
    </row>
    <row r="275" spans="1:25">
      <c r="A275" s="50">
        <v>272</v>
      </c>
      <c r="B275" s="51" t="s">
        <v>2129</v>
      </c>
      <c r="C275" s="52" t="s">
        <v>2130</v>
      </c>
      <c r="D275" s="50" t="s">
        <v>107</v>
      </c>
      <c r="E275" s="50" t="s">
        <v>1257</v>
      </c>
      <c r="F275" s="52" t="s">
        <v>2131</v>
      </c>
      <c r="G275" s="52" t="s">
        <v>1789</v>
      </c>
      <c r="H275" s="52" t="s">
        <v>1710</v>
      </c>
      <c r="I275" s="50" t="s">
        <v>440</v>
      </c>
      <c r="J275" s="52" t="s">
        <v>2132</v>
      </c>
      <c r="K275" s="50" t="s">
        <v>536</v>
      </c>
      <c r="L275" s="50" t="s">
        <v>522</v>
      </c>
      <c r="M275" s="50" t="s">
        <v>523</v>
      </c>
      <c r="N275" s="52" t="s">
        <v>996</v>
      </c>
      <c r="O275" s="50" t="s">
        <v>314</v>
      </c>
      <c r="P275" s="52" t="s">
        <v>2039</v>
      </c>
      <c r="Q275" s="52" t="s">
        <v>2040</v>
      </c>
      <c r="R275" s="50" t="s">
        <v>510</v>
      </c>
      <c r="S275" s="50" t="s">
        <v>426</v>
      </c>
      <c r="T275" s="50" t="s">
        <v>322</v>
      </c>
      <c r="U275" s="52" t="s">
        <v>999</v>
      </c>
      <c r="V275" s="52" t="s">
        <v>2133</v>
      </c>
      <c r="W275" s="53" t="s">
        <v>2134</v>
      </c>
      <c r="X275" s="52" t="s">
        <v>2043</v>
      </c>
      <c r="Y275" s="52" t="s">
        <v>2135</v>
      </c>
    </row>
    <row r="276" spans="1:25">
      <c r="A276" s="50">
        <v>273</v>
      </c>
      <c r="B276" s="51" t="s">
        <v>2136</v>
      </c>
      <c r="C276" s="52" t="s">
        <v>2137</v>
      </c>
      <c r="D276" s="50" t="s">
        <v>107</v>
      </c>
      <c r="E276" s="50" t="s">
        <v>1257</v>
      </c>
      <c r="F276" s="52" t="s">
        <v>2138</v>
      </c>
      <c r="G276" s="52" t="s">
        <v>1789</v>
      </c>
      <c r="H276" s="52" t="s">
        <v>1702</v>
      </c>
      <c r="I276" s="50" t="s">
        <v>440</v>
      </c>
      <c r="J276" s="52" t="s">
        <v>2139</v>
      </c>
      <c r="K276" s="50" t="s">
        <v>536</v>
      </c>
      <c r="L276" s="50" t="s">
        <v>522</v>
      </c>
      <c r="M276" s="50" t="s">
        <v>523</v>
      </c>
      <c r="N276" s="52" t="s">
        <v>996</v>
      </c>
      <c r="O276" s="50" t="s">
        <v>314</v>
      </c>
      <c r="P276" s="52" t="s">
        <v>2039</v>
      </c>
      <c r="Q276" s="52" t="s">
        <v>2040</v>
      </c>
      <c r="R276" s="50" t="s">
        <v>510</v>
      </c>
      <c r="S276" s="50" t="s">
        <v>426</v>
      </c>
      <c r="T276" s="50" t="s">
        <v>322</v>
      </c>
      <c r="U276" s="52" t="s">
        <v>999</v>
      </c>
      <c r="V276" s="52" t="s">
        <v>2140</v>
      </c>
      <c r="W276" s="53" t="s">
        <v>2141</v>
      </c>
      <c r="X276" s="52" t="s">
        <v>2043</v>
      </c>
      <c r="Y276" s="52" t="s">
        <v>2142</v>
      </c>
    </row>
    <row r="277" spans="1:25">
      <c r="A277" s="50">
        <v>274</v>
      </c>
      <c r="B277" s="51" t="s">
        <v>2143</v>
      </c>
      <c r="C277" s="52" t="s">
        <v>2144</v>
      </c>
      <c r="D277" s="50" t="s">
        <v>107</v>
      </c>
      <c r="E277" s="50" t="s">
        <v>994</v>
      </c>
      <c r="F277" s="52" t="s">
        <v>2145</v>
      </c>
      <c r="G277" s="52" t="s">
        <v>1709</v>
      </c>
      <c r="H277" s="52" t="s">
        <v>1710</v>
      </c>
      <c r="I277" s="50" t="s">
        <v>669</v>
      </c>
      <c r="J277" s="52" t="s">
        <v>2146</v>
      </c>
      <c r="K277" s="50" t="s">
        <v>671</v>
      </c>
      <c r="L277" s="50" t="s">
        <v>522</v>
      </c>
      <c r="M277" s="50" t="s">
        <v>523</v>
      </c>
      <c r="N277" s="52" t="s">
        <v>996</v>
      </c>
      <c r="O277" s="50" t="s">
        <v>314</v>
      </c>
      <c r="P277" s="52" t="s">
        <v>1564</v>
      </c>
      <c r="Q277" s="52" t="s">
        <v>2147</v>
      </c>
      <c r="R277" s="50" t="s">
        <v>1566</v>
      </c>
      <c r="S277" s="50" t="s">
        <v>426</v>
      </c>
      <c r="T277" s="50" t="s">
        <v>322</v>
      </c>
      <c r="U277" s="52" t="s">
        <v>1512</v>
      </c>
      <c r="V277" s="52" t="s">
        <v>2148</v>
      </c>
      <c r="W277" s="53" t="s">
        <v>314</v>
      </c>
      <c r="X277" s="52" t="s">
        <v>2149</v>
      </c>
      <c r="Y277" s="52" t="s">
        <v>2150</v>
      </c>
    </row>
    <row r="278" spans="1:25">
      <c r="A278" s="50">
        <v>275</v>
      </c>
      <c r="B278" s="51" t="s">
        <v>2151</v>
      </c>
      <c r="C278" s="52" t="s">
        <v>2152</v>
      </c>
      <c r="D278" s="50" t="s">
        <v>107</v>
      </c>
      <c r="E278" s="50" t="s">
        <v>994</v>
      </c>
      <c r="F278" s="52" t="s">
        <v>2153</v>
      </c>
      <c r="G278" s="52" t="s">
        <v>1709</v>
      </c>
      <c r="H278" s="52" t="s">
        <v>1702</v>
      </c>
      <c r="I278" s="50" t="s">
        <v>669</v>
      </c>
      <c r="J278" s="52" t="s">
        <v>2154</v>
      </c>
      <c r="K278" s="50" t="s">
        <v>671</v>
      </c>
      <c r="L278" s="50" t="s">
        <v>522</v>
      </c>
      <c r="M278" s="50" t="s">
        <v>523</v>
      </c>
      <c r="N278" s="52" t="s">
        <v>996</v>
      </c>
      <c r="O278" s="50" t="s">
        <v>314</v>
      </c>
      <c r="P278" s="52" t="s">
        <v>1564</v>
      </c>
      <c r="Q278" s="52" t="s">
        <v>2147</v>
      </c>
      <c r="R278" s="50" t="s">
        <v>1566</v>
      </c>
      <c r="S278" s="50" t="s">
        <v>426</v>
      </c>
      <c r="T278" s="50" t="s">
        <v>322</v>
      </c>
      <c r="U278" s="52" t="s">
        <v>1512</v>
      </c>
      <c r="V278" s="52" t="s">
        <v>2155</v>
      </c>
      <c r="W278" s="53" t="s">
        <v>314</v>
      </c>
      <c r="X278" s="52" t="s">
        <v>2149</v>
      </c>
      <c r="Y278" s="52" t="s">
        <v>2156</v>
      </c>
    </row>
    <row r="279" spans="1:25">
      <c r="A279" s="50">
        <v>276</v>
      </c>
      <c r="B279" s="51" t="s">
        <v>2157</v>
      </c>
      <c r="C279" s="52" t="s">
        <v>2158</v>
      </c>
      <c r="D279" s="50" t="s">
        <v>107</v>
      </c>
      <c r="E279" s="50" t="s">
        <v>994</v>
      </c>
      <c r="F279" s="52" t="s">
        <v>2159</v>
      </c>
      <c r="G279" s="52" t="s">
        <v>1723</v>
      </c>
      <c r="H279" s="52" t="s">
        <v>1710</v>
      </c>
      <c r="I279" s="50" t="s">
        <v>669</v>
      </c>
      <c r="J279" s="52" t="s">
        <v>2160</v>
      </c>
      <c r="K279" s="50" t="s">
        <v>671</v>
      </c>
      <c r="L279" s="50" t="s">
        <v>522</v>
      </c>
      <c r="M279" s="50" t="s">
        <v>523</v>
      </c>
      <c r="N279" s="52" t="s">
        <v>996</v>
      </c>
      <c r="O279" s="50" t="s">
        <v>314</v>
      </c>
      <c r="P279" s="52" t="s">
        <v>1564</v>
      </c>
      <c r="Q279" s="52" t="s">
        <v>2147</v>
      </c>
      <c r="R279" s="50" t="s">
        <v>1566</v>
      </c>
      <c r="S279" s="50" t="s">
        <v>426</v>
      </c>
      <c r="T279" s="50" t="s">
        <v>322</v>
      </c>
      <c r="U279" s="52" t="s">
        <v>1512</v>
      </c>
      <c r="V279" s="52" t="s">
        <v>2161</v>
      </c>
      <c r="W279" s="53" t="s">
        <v>314</v>
      </c>
      <c r="X279" s="52" t="s">
        <v>2149</v>
      </c>
      <c r="Y279" s="52" t="s">
        <v>2162</v>
      </c>
    </row>
    <row r="280" spans="1:25">
      <c r="A280" s="50">
        <v>277</v>
      </c>
      <c r="B280" s="51" t="s">
        <v>2163</v>
      </c>
      <c r="C280" s="52" t="s">
        <v>2164</v>
      </c>
      <c r="D280" s="50" t="s">
        <v>107</v>
      </c>
      <c r="E280" s="50" t="s">
        <v>994</v>
      </c>
      <c r="F280" s="52" t="s">
        <v>2165</v>
      </c>
      <c r="G280" s="52" t="s">
        <v>1723</v>
      </c>
      <c r="H280" s="52" t="s">
        <v>1702</v>
      </c>
      <c r="I280" s="50" t="s">
        <v>669</v>
      </c>
      <c r="J280" s="52" t="s">
        <v>2166</v>
      </c>
      <c r="K280" s="50" t="s">
        <v>671</v>
      </c>
      <c r="L280" s="50" t="s">
        <v>522</v>
      </c>
      <c r="M280" s="50" t="s">
        <v>523</v>
      </c>
      <c r="N280" s="52" t="s">
        <v>996</v>
      </c>
      <c r="O280" s="50" t="s">
        <v>314</v>
      </c>
      <c r="P280" s="52" t="s">
        <v>1564</v>
      </c>
      <c r="Q280" s="52" t="s">
        <v>2147</v>
      </c>
      <c r="R280" s="50" t="s">
        <v>1566</v>
      </c>
      <c r="S280" s="50" t="s">
        <v>426</v>
      </c>
      <c r="T280" s="50" t="s">
        <v>322</v>
      </c>
      <c r="U280" s="52" t="s">
        <v>1512</v>
      </c>
      <c r="V280" s="52" t="s">
        <v>2167</v>
      </c>
      <c r="W280" s="53" t="s">
        <v>314</v>
      </c>
      <c r="X280" s="52" t="s">
        <v>2149</v>
      </c>
      <c r="Y280" s="52" t="s">
        <v>2168</v>
      </c>
    </row>
    <row r="281" spans="1:25">
      <c r="A281" s="50">
        <v>278</v>
      </c>
      <c r="B281" s="51" t="s">
        <v>2169</v>
      </c>
      <c r="C281" s="52" t="s">
        <v>2170</v>
      </c>
      <c r="D281" s="50" t="s">
        <v>107</v>
      </c>
      <c r="E281" s="50" t="s">
        <v>994</v>
      </c>
      <c r="F281" s="52" t="s">
        <v>2171</v>
      </c>
      <c r="G281" s="52" t="s">
        <v>1736</v>
      </c>
      <c r="H281" s="52" t="s">
        <v>1710</v>
      </c>
      <c r="I281" s="50" t="s">
        <v>669</v>
      </c>
      <c r="J281" s="52" t="s">
        <v>2172</v>
      </c>
      <c r="K281" s="50" t="s">
        <v>671</v>
      </c>
      <c r="L281" s="50" t="s">
        <v>522</v>
      </c>
      <c r="M281" s="50" t="s">
        <v>523</v>
      </c>
      <c r="N281" s="52" t="s">
        <v>996</v>
      </c>
      <c r="O281" s="50" t="s">
        <v>314</v>
      </c>
      <c r="P281" s="52" t="s">
        <v>1564</v>
      </c>
      <c r="Q281" s="52" t="s">
        <v>2147</v>
      </c>
      <c r="R281" s="50" t="s">
        <v>1566</v>
      </c>
      <c r="S281" s="50" t="s">
        <v>426</v>
      </c>
      <c r="T281" s="50" t="s">
        <v>322</v>
      </c>
      <c r="U281" s="52" t="s">
        <v>1512</v>
      </c>
      <c r="V281" s="52" t="s">
        <v>2173</v>
      </c>
      <c r="W281" s="53" t="s">
        <v>314</v>
      </c>
      <c r="X281" s="52" t="s">
        <v>2149</v>
      </c>
      <c r="Y281" s="52" t="s">
        <v>2174</v>
      </c>
    </row>
    <row r="282" spans="1:25">
      <c r="A282" s="50">
        <v>279</v>
      </c>
      <c r="B282" s="51" t="s">
        <v>2175</v>
      </c>
      <c r="C282" s="52" t="s">
        <v>2176</v>
      </c>
      <c r="D282" s="50" t="s">
        <v>107</v>
      </c>
      <c r="E282" s="50" t="s">
        <v>994</v>
      </c>
      <c r="F282" s="52" t="s">
        <v>2177</v>
      </c>
      <c r="G282" s="52" t="s">
        <v>1736</v>
      </c>
      <c r="H282" s="52" t="s">
        <v>1702</v>
      </c>
      <c r="I282" s="50" t="s">
        <v>669</v>
      </c>
      <c r="J282" s="52" t="s">
        <v>2178</v>
      </c>
      <c r="K282" s="50" t="s">
        <v>671</v>
      </c>
      <c r="L282" s="50" t="s">
        <v>522</v>
      </c>
      <c r="M282" s="50" t="s">
        <v>523</v>
      </c>
      <c r="N282" s="52" t="s">
        <v>996</v>
      </c>
      <c r="O282" s="50" t="s">
        <v>314</v>
      </c>
      <c r="P282" s="52" t="s">
        <v>1564</v>
      </c>
      <c r="Q282" s="52" t="s">
        <v>2147</v>
      </c>
      <c r="R282" s="50" t="s">
        <v>1566</v>
      </c>
      <c r="S282" s="50" t="s">
        <v>426</v>
      </c>
      <c r="T282" s="50" t="s">
        <v>322</v>
      </c>
      <c r="U282" s="52" t="s">
        <v>1512</v>
      </c>
      <c r="V282" s="52" t="s">
        <v>2179</v>
      </c>
      <c r="W282" s="53" t="s">
        <v>314</v>
      </c>
      <c r="X282" s="52" t="s">
        <v>2149</v>
      </c>
      <c r="Y282" s="52" t="s">
        <v>2180</v>
      </c>
    </row>
    <row r="283" spans="1:25">
      <c r="A283" s="50">
        <v>280</v>
      </c>
      <c r="B283" s="51" t="s">
        <v>2181</v>
      </c>
      <c r="C283" s="52" t="s">
        <v>2182</v>
      </c>
      <c r="D283" s="50" t="s">
        <v>107</v>
      </c>
      <c r="E283" s="50" t="s">
        <v>994</v>
      </c>
      <c r="F283" s="52" t="s">
        <v>2183</v>
      </c>
      <c r="G283" s="52" t="s">
        <v>1749</v>
      </c>
      <c r="H283" s="52" t="s">
        <v>1750</v>
      </c>
      <c r="I283" s="50" t="s">
        <v>669</v>
      </c>
      <c r="J283" s="52" t="s">
        <v>2184</v>
      </c>
      <c r="K283" s="50" t="s">
        <v>671</v>
      </c>
      <c r="L283" s="50" t="s">
        <v>522</v>
      </c>
      <c r="M283" s="50" t="s">
        <v>523</v>
      </c>
      <c r="N283" s="52" t="s">
        <v>996</v>
      </c>
      <c r="O283" s="50" t="s">
        <v>314</v>
      </c>
      <c r="P283" s="52" t="s">
        <v>1564</v>
      </c>
      <c r="Q283" s="52" t="s">
        <v>2147</v>
      </c>
      <c r="R283" s="50" t="s">
        <v>1566</v>
      </c>
      <c r="S283" s="50" t="s">
        <v>426</v>
      </c>
      <c r="T283" s="50" t="s">
        <v>322</v>
      </c>
      <c r="U283" s="52" t="s">
        <v>1512</v>
      </c>
      <c r="V283" s="52" t="s">
        <v>2185</v>
      </c>
      <c r="W283" s="53" t="s">
        <v>314</v>
      </c>
      <c r="X283" s="52" t="s">
        <v>2149</v>
      </c>
      <c r="Y283" s="52" t="s">
        <v>2186</v>
      </c>
    </row>
    <row r="284" spans="1:25">
      <c r="A284" s="50">
        <v>281</v>
      </c>
      <c r="B284" s="51" t="s">
        <v>2187</v>
      </c>
      <c r="C284" s="52" t="s">
        <v>2188</v>
      </c>
      <c r="D284" s="50" t="s">
        <v>107</v>
      </c>
      <c r="E284" s="50" t="s">
        <v>994</v>
      </c>
      <c r="F284" s="52" t="s">
        <v>2189</v>
      </c>
      <c r="G284" s="52" t="s">
        <v>1749</v>
      </c>
      <c r="H284" s="52" t="s">
        <v>1702</v>
      </c>
      <c r="I284" s="50" t="s">
        <v>669</v>
      </c>
      <c r="J284" s="52" t="s">
        <v>2190</v>
      </c>
      <c r="K284" s="50" t="s">
        <v>671</v>
      </c>
      <c r="L284" s="50" t="s">
        <v>522</v>
      </c>
      <c r="M284" s="50" t="s">
        <v>523</v>
      </c>
      <c r="N284" s="52" t="s">
        <v>996</v>
      </c>
      <c r="O284" s="50" t="s">
        <v>314</v>
      </c>
      <c r="P284" s="52" t="s">
        <v>1564</v>
      </c>
      <c r="Q284" s="52" t="s">
        <v>2147</v>
      </c>
      <c r="R284" s="50" t="s">
        <v>1566</v>
      </c>
      <c r="S284" s="50" t="s">
        <v>426</v>
      </c>
      <c r="T284" s="50" t="s">
        <v>322</v>
      </c>
      <c r="U284" s="52" t="s">
        <v>1512</v>
      </c>
      <c r="V284" s="52" t="s">
        <v>2191</v>
      </c>
      <c r="W284" s="53" t="s">
        <v>314</v>
      </c>
      <c r="X284" s="52" t="s">
        <v>2149</v>
      </c>
      <c r="Y284" s="52" t="s">
        <v>2192</v>
      </c>
    </row>
    <row r="285" spans="1:25">
      <c r="A285" s="50">
        <v>282</v>
      </c>
      <c r="B285" s="51" t="s">
        <v>2193</v>
      </c>
      <c r="C285" s="52" t="s">
        <v>2194</v>
      </c>
      <c r="D285" s="50" t="s">
        <v>107</v>
      </c>
      <c r="E285" s="50" t="s">
        <v>994</v>
      </c>
      <c r="F285" s="52" t="s">
        <v>2195</v>
      </c>
      <c r="G285" s="52" t="s">
        <v>1763</v>
      </c>
      <c r="H285" s="52" t="s">
        <v>1710</v>
      </c>
      <c r="I285" s="50" t="s">
        <v>669</v>
      </c>
      <c r="J285" s="52" t="s">
        <v>2196</v>
      </c>
      <c r="K285" s="50" t="s">
        <v>671</v>
      </c>
      <c r="L285" s="50" t="s">
        <v>522</v>
      </c>
      <c r="M285" s="50" t="s">
        <v>523</v>
      </c>
      <c r="N285" s="52" t="s">
        <v>996</v>
      </c>
      <c r="O285" s="50" t="s">
        <v>314</v>
      </c>
      <c r="P285" s="52" t="s">
        <v>1564</v>
      </c>
      <c r="Q285" s="52" t="s">
        <v>2147</v>
      </c>
      <c r="R285" s="50" t="s">
        <v>1566</v>
      </c>
      <c r="S285" s="50" t="s">
        <v>426</v>
      </c>
      <c r="T285" s="50" t="s">
        <v>322</v>
      </c>
      <c r="U285" s="52" t="s">
        <v>1512</v>
      </c>
      <c r="V285" s="52" t="s">
        <v>2197</v>
      </c>
      <c r="W285" s="53" t="s">
        <v>314</v>
      </c>
      <c r="X285" s="52" t="s">
        <v>2149</v>
      </c>
      <c r="Y285" s="52" t="s">
        <v>2198</v>
      </c>
    </row>
    <row r="286" spans="1:25">
      <c r="A286" s="50">
        <v>283</v>
      </c>
      <c r="B286" s="51" t="s">
        <v>2199</v>
      </c>
      <c r="C286" s="52" t="s">
        <v>2200</v>
      </c>
      <c r="D286" s="50" t="s">
        <v>107</v>
      </c>
      <c r="E286" s="50" t="s">
        <v>994</v>
      </c>
      <c r="F286" s="52" t="s">
        <v>2201</v>
      </c>
      <c r="G286" s="52" t="s">
        <v>1763</v>
      </c>
      <c r="H286" s="52" t="s">
        <v>1702</v>
      </c>
      <c r="I286" s="50" t="s">
        <v>669</v>
      </c>
      <c r="J286" s="52" t="s">
        <v>2202</v>
      </c>
      <c r="K286" s="50" t="s">
        <v>671</v>
      </c>
      <c r="L286" s="50" t="s">
        <v>522</v>
      </c>
      <c r="M286" s="50" t="s">
        <v>523</v>
      </c>
      <c r="N286" s="52" t="s">
        <v>996</v>
      </c>
      <c r="O286" s="50" t="s">
        <v>314</v>
      </c>
      <c r="P286" s="52" t="s">
        <v>1564</v>
      </c>
      <c r="Q286" s="52" t="s">
        <v>2147</v>
      </c>
      <c r="R286" s="50" t="s">
        <v>1566</v>
      </c>
      <c r="S286" s="50" t="s">
        <v>426</v>
      </c>
      <c r="T286" s="50" t="s">
        <v>322</v>
      </c>
      <c r="U286" s="52" t="s">
        <v>1512</v>
      </c>
      <c r="V286" s="52" t="s">
        <v>2203</v>
      </c>
      <c r="W286" s="53" t="s">
        <v>314</v>
      </c>
      <c r="X286" s="52" t="s">
        <v>2149</v>
      </c>
      <c r="Y286" s="52" t="s">
        <v>2204</v>
      </c>
    </row>
    <row r="287" spans="1:25">
      <c r="A287" s="50">
        <v>284</v>
      </c>
      <c r="B287" s="51" t="s">
        <v>2205</v>
      </c>
      <c r="C287" s="52" t="s">
        <v>2206</v>
      </c>
      <c r="D287" s="50" t="s">
        <v>107</v>
      </c>
      <c r="E287" s="50" t="s">
        <v>994</v>
      </c>
      <c r="F287" s="52" t="s">
        <v>2207</v>
      </c>
      <c r="G287" s="52" t="s">
        <v>1776</v>
      </c>
      <c r="H287" s="52" t="s">
        <v>1710</v>
      </c>
      <c r="I287" s="50" t="s">
        <v>669</v>
      </c>
      <c r="J287" s="52" t="s">
        <v>2208</v>
      </c>
      <c r="K287" s="50" t="s">
        <v>671</v>
      </c>
      <c r="L287" s="50" t="s">
        <v>522</v>
      </c>
      <c r="M287" s="50" t="s">
        <v>523</v>
      </c>
      <c r="N287" s="52" t="s">
        <v>996</v>
      </c>
      <c r="O287" s="50" t="s">
        <v>314</v>
      </c>
      <c r="P287" s="52" t="s">
        <v>1564</v>
      </c>
      <c r="Q287" s="52" t="s">
        <v>2147</v>
      </c>
      <c r="R287" s="50" t="s">
        <v>1566</v>
      </c>
      <c r="S287" s="50" t="s">
        <v>426</v>
      </c>
      <c r="T287" s="50" t="s">
        <v>322</v>
      </c>
      <c r="U287" s="52" t="s">
        <v>1512</v>
      </c>
      <c r="V287" s="52" t="s">
        <v>2209</v>
      </c>
      <c r="W287" s="53" t="s">
        <v>314</v>
      </c>
      <c r="X287" s="52" t="s">
        <v>2149</v>
      </c>
      <c r="Y287" s="52" t="s">
        <v>2210</v>
      </c>
    </row>
    <row r="288" spans="1:25">
      <c r="A288" s="50">
        <v>285</v>
      </c>
      <c r="B288" s="51" t="s">
        <v>2211</v>
      </c>
      <c r="C288" s="52" t="s">
        <v>2212</v>
      </c>
      <c r="D288" s="50" t="s">
        <v>107</v>
      </c>
      <c r="E288" s="50" t="s">
        <v>994</v>
      </c>
      <c r="F288" s="52" t="s">
        <v>2213</v>
      </c>
      <c r="G288" s="52" t="s">
        <v>1776</v>
      </c>
      <c r="H288" s="52" t="s">
        <v>1702</v>
      </c>
      <c r="I288" s="50" t="s">
        <v>669</v>
      </c>
      <c r="J288" s="52" t="s">
        <v>2214</v>
      </c>
      <c r="K288" s="50" t="s">
        <v>671</v>
      </c>
      <c r="L288" s="50" t="s">
        <v>522</v>
      </c>
      <c r="M288" s="50" t="s">
        <v>523</v>
      </c>
      <c r="N288" s="52" t="s">
        <v>996</v>
      </c>
      <c r="O288" s="50" t="s">
        <v>314</v>
      </c>
      <c r="P288" s="52" t="s">
        <v>1564</v>
      </c>
      <c r="Q288" s="52" t="s">
        <v>2147</v>
      </c>
      <c r="R288" s="50" t="s">
        <v>1566</v>
      </c>
      <c r="S288" s="50" t="s">
        <v>426</v>
      </c>
      <c r="T288" s="50" t="s">
        <v>322</v>
      </c>
      <c r="U288" s="52" t="s">
        <v>1512</v>
      </c>
      <c r="V288" s="52" t="s">
        <v>2215</v>
      </c>
      <c r="W288" s="53" t="s">
        <v>314</v>
      </c>
      <c r="X288" s="52" t="s">
        <v>2149</v>
      </c>
      <c r="Y288" s="52" t="s">
        <v>2216</v>
      </c>
    </row>
    <row r="289" spans="1:25">
      <c r="A289" s="50">
        <v>286</v>
      </c>
      <c r="B289" s="51" t="s">
        <v>2217</v>
      </c>
      <c r="C289" s="52" t="s">
        <v>2218</v>
      </c>
      <c r="D289" s="50" t="s">
        <v>107</v>
      </c>
      <c r="E289" s="50" t="s">
        <v>994</v>
      </c>
      <c r="F289" s="52" t="s">
        <v>2219</v>
      </c>
      <c r="G289" s="52" t="s">
        <v>1789</v>
      </c>
      <c r="H289" s="52" t="s">
        <v>1710</v>
      </c>
      <c r="I289" s="50" t="s">
        <v>669</v>
      </c>
      <c r="J289" s="52" t="s">
        <v>2220</v>
      </c>
      <c r="K289" s="50" t="s">
        <v>671</v>
      </c>
      <c r="L289" s="50" t="s">
        <v>522</v>
      </c>
      <c r="M289" s="50" t="s">
        <v>523</v>
      </c>
      <c r="N289" s="52" t="s">
        <v>996</v>
      </c>
      <c r="O289" s="50" t="s">
        <v>314</v>
      </c>
      <c r="P289" s="52" t="s">
        <v>1564</v>
      </c>
      <c r="Q289" s="52" t="s">
        <v>2147</v>
      </c>
      <c r="R289" s="50" t="s">
        <v>1566</v>
      </c>
      <c r="S289" s="50" t="s">
        <v>426</v>
      </c>
      <c r="T289" s="50" t="s">
        <v>322</v>
      </c>
      <c r="U289" s="52" t="s">
        <v>1512</v>
      </c>
      <c r="V289" s="52" t="s">
        <v>2221</v>
      </c>
      <c r="W289" s="53" t="s">
        <v>314</v>
      </c>
      <c r="X289" s="52" t="s">
        <v>2149</v>
      </c>
      <c r="Y289" s="52" t="s">
        <v>2222</v>
      </c>
    </row>
    <row r="290" spans="1:25">
      <c r="A290" s="50">
        <v>287</v>
      </c>
      <c r="B290" s="51" t="s">
        <v>2223</v>
      </c>
      <c r="C290" s="52" t="s">
        <v>2224</v>
      </c>
      <c r="D290" s="50" t="s">
        <v>107</v>
      </c>
      <c r="E290" s="50" t="s">
        <v>994</v>
      </c>
      <c r="F290" s="52" t="s">
        <v>2225</v>
      </c>
      <c r="G290" s="52" t="s">
        <v>1789</v>
      </c>
      <c r="H290" s="52" t="s">
        <v>1702</v>
      </c>
      <c r="I290" s="50" t="s">
        <v>669</v>
      </c>
      <c r="J290" s="52" t="s">
        <v>2226</v>
      </c>
      <c r="K290" s="50" t="s">
        <v>671</v>
      </c>
      <c r="L290" s="50" t="s">
        <v>522</v>
      </c>
      <c r="M290" s="50" t="s">
        <v>523</v>
      </c>
      <c r="N290" s="52" t="s">
        <v>996</v>
      </c>
      <c r="O290" s="50" t="s">
        <v>314</v>
      </c>
      <c r="P290" s="52" t="s">
        <v>1564</v>
      </c>
      <c r="Q290" s="52" t="s">
        <v>2147</v>
      </c>
      <c r="R290" s="50" t="s">
        <v>1566</v>
      </c>
      <c r="S290" s="50" t="s">
        <v>426</v>
      </c>
      <c r="T290" s="50" t="s">
        <v>322</v>
      </c>
      <c r="U290" s="52" t="s">
        <v>1512</v>
      </c>
      <c r="V290" s="52" t="s">
        <v>2227</v>
      </c>
      <c r="W290" s="53" t="s">
        <v>314</v>
      </c>
      <c r="X290" s="52" t="s">
        <v>2149</v>
      </c>
      <c r="Y290" s="52" t="s">
        <v>2228</v>
      </c>
    </row>
    <row r="291" spans="1:25">
      <c r="A291" s="50">
        <v>288</v>
      </c>
      <c r="B291" s="51" t="s">
        <v>2229</v>
      </c>
      <c r="C291" s="52" t="s">
        <v>2230</v>
      </c>
      <c r="D291" s="50" t="s">
        <v>107</v>
      </c>
      <c r="E291" s="50" t="s">
        <v>994</v>
      </c>
      <c r="F291" s="52" t="s">
        <v>2231</v>
      </c>
      <c r="G291" s="52" t="s">
        <v>1836</v>
      </c>
      <c r="H291" s="52" t="s">
        <v>1837</v>
      </c>
      <c r="I291" s="50" t="s">
        <v>669</v>
      </c>
      <c r="J291" s="52" t="s">
        <v>2232</v>
      </c>
      <c r="K291" s="50" t="s">
        <v>712</v>
      </c>
      <c r="L291" s="50" t="s">
        <v>499</v>
      </c>
      <c r="M291" s="50" t="s">
        <v>500</v>
      </c>
      <c r="N291" s="52" t="s">
        <v>996</v>
      </c>
      <c r="O291" s="50" t="s">
        <v>314</v>
      </c>
      <c r="P291" s="52" t="s">
        <v>1564</v>
      </c>
      <c r="Q291" s="52" t="s">
        <v>2147</v>
      </c>
      <c r="R291" s="50" t="s">
        <v>1566</v>
      </c>
      <c r="S291" s="50" t="s">
        <v>426</v>
      </c>
      <c r="T291" s="50" t="s">
        <v>322</v>
      </c>
      <c r="U291" s="52" t="s">
        <v>1512</v>
      </c>
      <c r="V291" s="52" t="s">
        <v>1839</v>
      </c>
      <c r="W291" s="53" t="s">
        <v>314</v>
      </c>
      <c r="X291" s="52" t="s">
        <v>2149</v>
      </c>
      <c r="Y291" s="52" t="s">
        <v>2233</v>
      </c>
    </row>
    <row r="292" spans="1:25">
      <c r="A292" s="50">
        <v>289</v>
      </c>
      <c r="B292" s="51" t="s">
        <v>2234</v>
      </c>
      <c r="C292" s="52" t="s">
        <v>2235</v>
      </c>
      <c r="D292" s="50" t="s">
        <v>107</v>
      </c>
      <c r="E292" s="50" t="s">
        <v>994</v>
      </c>
      <c r="F292" s="52" t="s">
        <v>2236</v>
      </c>
      <c r="G292" s="52" t="s">
        <v>1836</v>
      </c>
      <c r="H292" s="52" t="s">
        <v>1844</v>
      </c>
      <c r="I292" s="50" t="s">
        <v>669</v>
      </c>
      <c r="J292" s="52" t="s">
        <v>2237</v>
      </c>
      <c r="K292" s="50" t="s">
        <v>712</v>
      </c>
      <c r="L292" s="50" t="s">
        <v>499</v>
      </c>
      <c r="M292" s="50" t="s">
        <v>500</v>
      </c>
      <c r="N292" s="52" t="s">
        <v>996</v>
      </c>
      <c r="O292" s="50" t="s">
        <v>314</v>
      </c>
      <c r="P292" s="52" t="s">
        <v>1564</v>
      </c>
      <c r="Q292" s="52" t="s">
        <v>2147</v>
      </c>
      <c r="R292" s="50" t="s">
        <v>1566</v>
      </c>
      <c r="S292" s="50" t="s">
        <v>426</v>
      </c>
      <c r="T292" s="50" t="s">
        <v>322</v>
      </c>
      <c r="U292" s="52" t="s">
        <v>1512</v>
      </c>
      <c r="V292" s="52" t="s">
        <v>1846</v>
      </c>
      <c r="W292" s="53" t="s">
        <v>314</v>
      </c>
      <c r="X292" s="52" t="s">
        <v>2149</v>
      </c>
      <c r="Y292" s="52" t="s">
        <v>2238</v>
      </c>
    </row>
    <row r="293" spans="1:25">
      <c r="A293" s="50">
        <v>290</v>
      </c>
      <c r="B293" s="51" t="s">
        <v>2239</v>
      </c>
      <c r="C293" s="52" t="s">
        <v>2240</v>
      </c>
      <c r="D293" s="50" t="s">
        <v>107</v>
      </c>
      <c r="E293" s="50" t="s">
        <v>994</v>
      </c>
      <c r="F293" s="52" t="s">
        <v>2241</v>
      </c>
      <c r="G293" s="52" t="s">
        <v>1836</v>
      </c>
      <c r="H293" s="52" t="s">
        <v>1851</v>
      </c>
      <c r="I293" s="50" t="s">
        <v>669</v>
      </c>
      <c r="J293" s="52" t="s">
        <v>2242</v>
      </c>
      <c r="K293" s="50" t="s">
        <v>712</v>
      </c>
      <c r="L293" s="50" t="s">
        <v>499</v>
      </c>
      <c r="M293" s="50" t="s">
        <v>500</v>
      </c>
      <c r="N293" s="52" t="s">
        <v>996</v>
      </c>
      <c r="O293" s="50" t="s">
        <v>314</v>
      </c>
      <c r="P293" s="52" t="s">
        <v>1564</v>
      </c>
      <c r="Q293" s="52" t="s">
        <v>2147</v>
      </c>
      <c r="R293" s="50" t="s">
        <v>1566</v>
      </c>
      <c r="S293" s="50" t="s">
        <v>426</v>
      </c>
      <c r="T293" s="50" t="s">
        <v>322</v>
      </c>
      <c r="U293" s="52" t="s">
        <v>1512</v>
      </c>
      <c r="V293" s="52" t="s">
        <v>1853</v>
      </c>
      <c r="W293" s="53" t="s">
        <v>314</v>
      </c>
      <c r="X293" s="52" t="s">
        <v>2149</v>
      </c>
      <c r="Y293" s="52" t="s">
        <v>2243</v>
      </c>
    </row>
    <row r="294" spans="1:25">
      <c r="A294" s="50">
        <v>291</v>
      </c>
      <c r="B294" s="51" t="s">
        <v>2244</v>
      </c>
      <c r="C294" s="52" t="s">
        <v>2245</v>
      </c>
      <c r="D294" s="50" t="s">
        <v>107</v>
      </c>
      <c r="E294" s="50" t="s">
        <v>994</v>
      </c>
      <c r="F294" s="52" t="s">
        <v>2246</v>
      </c>
      <c r="G294" s="52" t="s">
        <v>1836</v>
      </c>
      <c r="H294" s="52" t="s">
        <v>1702</v>
      </c>
      <c r="I294" s="50" t="s">
        <v>669</v>
      </c>
      <c r="J294" s="52" t="s">
        <v>2247</v>
      </c>
      <c r="K294" s="50" t="s">
        <v>712</v>
      </c>
      <c r="L294" s="50" t="s">
        <v>499</v>
      </c>
      <c r="M294" s="50" t="s">
        <v>500</v>
      </c>
      <c r="N294" s="52" t="s">
        <v>996</v>
      </c>
      <c r="O294" s="50" t="s">
        <v>314</v>
      </c>
      <c r="P294" s="52" t="s">
        <v>1564</v>
      </c>
      <c r="Q294" s="52" t="s">
        <v>2147</v>
      </c>
      <c r="R294" s="50" t="s">
        <v>1566</v>
      </c>
      <c r="S294" s="50" t="s">
        <v>426</v>
      </c>
      <c r="T294" s="50" t="s">
        <v>322</v>
      </c>
      <c r="U294" s="52" t="s">
        <v>1512</v>
      </c>
      <c r="V294" s="52" t="s">
        <v>1859</v>
      </c>
      <c r="W294" s="53" t="s">
        <v>314</v>
      </c>
      <c r="X294" s="52" t="s">
        <v>2149</v>
      </c>
      <c r="Y294" s="52" t="s">
        <v>2248</v>
      </c>
    </row>
    <row r="295" spans="1:25">
      <c r="A295" s="50">
        <v>292</v>
      </c>
      <c r="B295" s="51" t="s">
        <v>2249</v>
      </c>
      <c r="C295" s="52" t="s">
        <v>2250</v>
      </c>
      <c r="D295" s="50" t="s">
        <v>107</v>
      </c>
      <c r="E295" s="50" t="s">
        <v>994</v>
      </c>
      <c r="F295" s="52" t="s">
        <v>2251</v>
      </c>
      <c r="G295" s="52" t="s">
        <v>1864</v>
      </c>
      <c r="H295" s="52" t="s">
        <v>1865</v>
      </c>
      <c r="I295" s="50" t="s">
        <v>669</v>
      </c>
      <c r="J295" s="52" t="s">
        <v>2252</v>
      </c>
      <c r="K295" s="50" t="s">
        <v>498</v>
      </c>
      <c r="L295" s="50" t="s">
        <v>522</v>
      </c>
      <c r="M295" s="50" t="s">
        <v>523</v>
      </c>
      <c r="N295" s="52" t="s">
        <v>996</v>
      </c>
      <c r="O295" s="50" t="s">
        <v>314</v>
      </c>
      <c r="P295" s="52" t="s">
        <v>1564</v>
      </c>
      <c r="Q295" s="52" t="s">
        <v>2147</v>
      </c>
      <c r="R295" s="50" t="s">
        <v>1566</v>
      </c>
      <c r="S295" s="50" t="s">
        <v>426</v>
      </c>
      <c r="T295" s="50" t="s">
        <v>322</v>
      </c>
      <c r="U295" s="52" t="s">
        <v>1512</v>
      </c>
      <c r="V295" s="52" t="s">
        <v>1867</v>
      </c>
      <c r="W295" s="53" t="s">
        <v>314</v>
      </c>
      <c r="X295" s="52" t="s">
        <v>2149</v>
      </c>
      <c r="Y295" s="52" t="s">
        <v>2253</v>
      </c>
    </row>
    <row r="296" spans="1:25">
      <c r="A296" s="50">
        <v>293</v>
      </c>
      <c r="B296" s="51" t="s">
        <v>2254</v>
      </c>
      <c r="C296" s="52" t="s">
        <v>2255</v>
      </c>
      <c r="D296" s="50" t="s">
        <v>107</v>
      </c>
      <c r="E296" s="50" t="s">
        <v>994</v>
      </c>
      <c r="F296" s="52" t="s">
        <v>2256</v>
      </c>
      <c r="G296" s="52" t="s">
        <v>1864</v>
      </c>
      <c r="H296" s="52" t="s">
        <v>1872</v>
      </c>
      <c r="I296" s="50" t="s">
        <v>669</v>
      </c>
      <c r="J296" s="52" t="s">
        <v>2257</v>
      </c>
      <c r="K296" s="50" t="s">
        <v>498</v>
      </c>
      <c r="L296" s="50" t="s">
        <v>522</v>
      </c>
      <c r="M296" s="50" t="s">
        <v>523</v>
      </c>
      <c r="N296" s="52" t="s">
        <v>996</v>
      </c>
      <c r="O296" s="50" t="s">
        <v>314</v>
      </c>
      <c r="P296" s="52" t="s">
        <v>1564</v>
      </c>
      <c r="Q296" s="52" t="s">
        <v>2147</v>
      </c>
      <c r="R296" s="50" t="s">
        <v>1566</v>
      </c>
      <c r="S296" s="50" t="s">
        <v>426</v>
      </c>
      <c r="T296" s="50" t="s">
        <v>322</v>
      </c>
      <c r="U296" s="52" t="s">
        <v>1512</v>
      </c>
      <c r="V296" s="52" t="s">
        <v>1874</v>
      </c>
      <c r="W296" s="53" t="s">
        <v>314</v>
      </c>
      <c r="X296" s="52" t="s">
        <v>2149</v>
      </c>
      <c r="Y296" s="52" t="s">
        <v>2258</v>
      </c>
    </row>
    <row r="297" spans="1:25">
      <c r="A297" s="50">
        <v>294</v>
      </c>
      <c r="B297" s="51" t="s">
        <v>2259</v>
      </c>
      <c r="C297" s="52" t="s">
        <v>2260</v>
      </c>
      <c r="D297" s="50" t="s">
        <v>107</v>
      </c>
      <c r="E297" s="50" t="s">
        <v>994</v>
      </c>
      <c r="F297" s="52" t="s">
        <v>2261</v>
      </c>
      <c r="G297" s="52" t="s">
        <v>1864</v>
      </c>
      <c r="H297" s="52" t="s">
        <v>1879</v>
      </c>
      <c r="I297" s="50" t="s">
        <v>669</v>
      </c>
      <c r="J297" s="52" t="s">
        <v>2262</v>
      </c>
      <c r="K297" s="50" t="s">
        <v>498</v>
      </c>
      <c r="L297" s="50" t="s">
        <v>522</v>
      </c>
      <c r="M297" s="50" t="s">
        <v>523</v>
      </c>
      <c r="N297" s="52" t="s">
        <v>996</v>
      </c>
      <c r="O297" s="50" t="s">
        <v>314</v>
      </c>
      <c r="P297" s="52" t="s">
        <v>1564</v>
      </c>
      <c r="Q297" s="52" t="s">
        <v>2147</v>
      </c>
      <c r="R297" s="50" t="s">
        <v>1566</v>
      </c>
      <c r="S297" s="50" t="s">
        <v>426</v>
      </c>
      <c r="T297" s="50" t="s">
        <v>322</v>
      </c>
      <c r="U297" s="52" t="s">
        <v>1512</v>
      </c>
      <c r="V297" s="52" t="s">
        <v>1881</v>
      </c>
      <c r="W297" s="53" t="s">
        <v>314</v>
      </c>
      <c r="X297" s="52" t="s">
        <v>2149</v>
      </c>
      <c r="Y297" s="52" t="s">
        <v>2263</v>
      </c>
    </row>
    <row r="298" spans="1:25">
      <c r="A298" s="50">
        <v>295</v>
      </c>
      <c r="B298" s="51" t="s">
        <v>2264</v>
      </c>
      <c r="C298" s="52" t="s">
        <v>2265</v>
      </c>
      <c r="D298" s="50" t="s">
        <v>107</v>
      </c>
      <c r="E298" s="50" t="s">
        <v>994</v>
      </c>
      <c r="F298" s="52" t="s">
        <v>2266</v>
      </c>
      <c r="G298" s="52" t="s">
        <v>1886</v>
      </c>
      <c r="H298" s="52" t="s">
        <v>1887</v>
      </c>
      <c r="I298" s="50" t="s">
        <v>669</v>
      </c>
      <c r="J298" s="52" t="s">
        <v>2267</v>
      </c>
      <c r="K298" s="50" t="s">
        <v>2268</v>
      </c>
      <c r="L298" s="50" t="s">
        <v>499</v>
      </c>
      <c r="M298" s="50" t="s">
        <v>500</v>
      </c>
      <c r="N298" s="52" t="s">
        <v>996</v>
      </c>
      <c r="O298" s="50" t="s">
        <v>314</v>
      </c>
      <c r="P298" s="52" t="s">
        <v>1564</v>
      </c>
      <c r="Q298" s="52" t="s">
        <v>2147</v>
      </c>
      <c r="R298" s="50" t="s">
        <v>1566</v>
      </c>
      <c r="S298" s="50" t="s">
        <v>426</v>
      </c>
      <c r="T298" s="50" t="s">
        <v>322</v>
      </c>
      <c r="U298" s="52" t="s">
        <v>1512</v>
      </c>
      <c r="V298" s="52" t="s">
        <v>1889</v>
      </c>
      <c r="W298" s="53" t="s">
        <v>314</v>
      </c>
      <c r="X298" s="52" t="s">
        <v>2149</v>
      </c>
      <c r="Y298" s="52" t="s">
        <v>2269</v>
      </c>
    </row>
    <row r="299" spans="1:25">
      <c r="A299" s="50">
        <v>296</v>
      </c>
      <c r="B299" s="51" t="s">
        <v>2270</v>
      </c>
      <c r="C299" s="52" t="s">
        <v>2271</v>
      </c>
      <c r="D299" s="50" t="s">
        <v>107</v>
      </c>
      <c r="E299" s="50" t="s">
        <v>994</v>
      </c>
      <c r="F299" s="52" t="s">
        <v>2272</v>
      </c>
      <c r="G299" s="52" t="s">
        <v>1886</v>
      </c>
      <c r="H299" s="52" t="s">
        <v>1894</v>
      </c>
      <c r="I299" s="50" t="s">
        <v>669</v>
      </c>
      <c r="J299" s="52" t="s">
        <v>2273</v>
      </c>
      <c r="K299" s="50" t="s">
        <v>498</v>
      </c>
      <c r="L299" s="50" t="s">
        <v>522</v>
      </c>
      <c r="M299" s="50" t="s">
        <v>523</v>
      </c>
      <c r="N299" s="52" t="s">
        <v>996</v>
      </c>
      <c r="O299" s="50" t="s">
        <v>314</v>
      </c>
      <c r="P299" s="52" t="s">
        <v>1564</v>
      </c>
      <c r="Q299" s="52" t="s">
        <v>2147</v>
      </c>
      <c r="R299" s="50" t="s">
        <v>1566</v>
      </c>
      <c r="S299" s="50" t="s">
        <v>426</v>
      </c>
      <c r="T299" s="50" t="s">
        <v>322</v>
      </c>
      <c r="U299" s="52" t="s">
        <v>1512</v>
      </c>
      <c r="V299" s="52" t="s">
        <v>1896</v>
      </c>
      <c r="W299" s="53" t="s">
        <v>314</v>
      </c>
      <c r="X299" s="52" t="s">
        <v>2149</v>
      </c>
      <c r="Y299" s="52" t="s">
        <v>2274</v>
      </c>
    </row>
    <row r="300" spans="1:25">
      <c r="A300" s="50">
        <v>297</v>
      </c>
      <c r="B300" s="51" t="s">
        <v>2275</v>
      </c>
      <c r="C300" s="52" t="s">
        <v>2276</v>
      </c>
      <c r="D300" s="50" t="s">
        <v>107</v>
      </c>
      <c r="E300" s="50" t="s">
        <v>994</v>
      </c>
      <c r="F300" s="52" t="s">
        <v>2277</v>
      </c>
      <c r="G300" s="52" t="s">
        <v>1886</v>
      </c>
      <c r="H300" s="52" t="s">
        <v>1894</v>
      </c>
      <c r="I300" s="50" t="s">
        <v>669</v>
      </c>
      <c r="J300" s="52" t="s">
        <v>2278</v>
      </c>
      <c r="K300" s="50" t="s">
        <v>498</v>
      </c>
      <c r="L300" s="50" t="s">
        <v>522</v>
      </c>
      <c r="M300" s="50" t="s">
        <v>523</v>
      </c>
      <c r="N300" s="52" t="s">
        <v>996</v>
      </c>
      <c r="O300" s="50" t="s">
        <v>314</v>
      </c>
      <c r="P300" s="52" t="s">
        <v>1564</v>
      </c>
      <c r="Q300" s="52" t="s">
        <v>2147</v>
      </c>
      <c r="R300" s="50" t="s">
        <v>1566</v>
      </c>
      <c r="S300" s="50" t="s">
        <v>426</v>
      </c>
      <c r="T300" s="50" t="s">
        <v>322</v>
      </c>
      <c r="U300" s="52" t="s">
        <v>1512</v>
      </c>
      <c r="V300" s="52" t="s">
        <v>1902</v>
      </c>
      <c r="W300" s="53" t="s">
        <v>314</v>
      </c>
      <c r="X300" s="52" t="s">
        <v>2149</v>
      </c>
      <c r="Y300" s="52" t="s">
        <v>2279</v>
      </c>
    </row>
    <row r="301" spans="1:25">
      <c r="A301" s="50">
        <v>298</v>
      </c>
      <c r="B301" s="51" t="s">
        <v>2280</v>
      </c>
      <c r="C301" s="52" t="s">
        <v>2281</v>
      </c>
      <c r="D301" s="50" t="s">
        <v>107</v>
      </c>
      <c r="E301" s="50" t="s">
        <v>994</v>
      </c>
      <c r="F301" s="52" t="s">
        <v>2282</v>
      </c>
      <c r="G301" s="52" t="s">
        <v>1907</v>
      </c>
      <c r="H301" s="52" t="s">
        <v>1894</v>
      </c>
      <c r="I301" s="50" t="s">
        <v>669</v>
      </c>
      <c r="J301" s="52" t="s">
        <v>2283</v>
      </c>
      <c r="K301" s="50" t="s">
        <v>498</v>
      </c>
      <c r="L301" s="50" t="s">
        <v>522</v>
      </c>
      <c r="M301" s="50" t="s">
        <v>523</v>
      </c>
      <c r="N301" s="52" t="s">
        <v>996</v>
      </c>
      <c r="O301" s="50" t="s">
        <v>314</v>
      </c>
      <c r="P301" s="52" t="s">
        <v>1564</v>
      </c>
      <c r="Q301" s="52" t="s">
        <v>2147</v>
      </c>
      <c r="R301" s="50" t="s">
        <v>1566</v>
      </c>
      <c r="S301" s="50" t="s">
        <v>426</v>
      </c>
      <c r="T301" s="50" t="s">
        <v>322</v>
      </c>
      <c r="U301" s="52" t="s">
        <v>1512</v>
      </c>
      <c r="V301" s="52" t="s">
        <v>1909</v>
      </c>
      <c r="W301" s="53" t="s">
        <v>314</v>
      </c>
      <c r="X301" s="52" t="s">
        <v>2149</v>
      </c>
      <c r="Y301" s="52" t="s">
        <v>2284</v>
      </c>
    </row>
    <row r="302" spans="1:25">
      <c r="A302" s="50">
        <v>299</v>
      </c>
      <c r="B302" s="51" t="s">
        <v>2285</v>
      </c>
      <c r="C302" s="52" t="s">
        <v>2286</v>
      </c>
      <c r="D302" s="50" t="s">
        <v>107</v>
      </c>
      <c r="E302" s="50" t="s">
        <v>994</v>
      </c>
      <c r="F302" s="52" t="s">
        <v>2287</v>
      </c>
      <c r="G302" s="52" t="s">
        <v>1907</v>
      </c>
      <c r="H302" s="52" t="s">
        <v>1894</v>
      </c>
      <c r="I302" s="50" t="s">
        <v>669</v>
      </c>
      <c r="J302" s="52" t="s">
        <v>2288</v>
      </c>
      <c r="K302" s="50" t="s">
        <v>498</v>
      </c>
      <c r="L302" s="50" t="s">
        <v>522</v>
      </c>
      <c r="M302" s="50" t="s">
        <v>523</v>
      </c>
      <c r="N302" s="52" t="s">
        <v>996</v>
      </c>
      <c r="O302" s="50" t="s">
        <v>314</v>
      </c>
      <c r="P302" s="52" t="s">
        <v>1564</v>
      </c>
      <c r="Q302" s="52" t="s">
        <v>2147</v>
      </c>
      <c r="R302" s="50" t="s">
        <v>1566</v>
      </c>
      <c r="S302" s="50" t="s">
        <v>426</v>
      </c>
      <c r="T302" s="50" t="s">
        <v>322</v>
      </c>
      <c r="U302" s="52" t="s">
        <v>1512</v>
      </c>
      <c r="V302" s="52" t="s">
        <v>1915</v>
      </c>
      <c r="W302" s="53" t="s">
        <v>314</v>
      </c>
      <c r="X302" s="52" t="s">
        <v>2149</v>
      </c>
      <c r="Y302" s="52" t="s">
        <v>2289</v>
      </c>
    </row>
    <row r="303" spans="1:25">
      <c r="A303" s="50">
        <v>300</v>
      </c>
      <c r="B303" s="51" t="s">
        <v>2290</v>
      </c>
      <c r="C303" s="52" t="s">
        <v>2291</v>
      </c>
      <c r="D303" s="50" t="s">
        <v>107</v>
      </c>
      <c r="E303" s="50" t="s">
        <v>994</v>
      </c>
      <c r="F303" s="52" t="s">
        <v>2292</v>
      </c>
      <c r="G303" s="52" t="s">
        <v>1919</v>
      </c>
      <c r="H303" s="52" t="s">
        <v>1894</v>
      </c>
      <c r="I303" s="50" t="s">
        <v>669</v>
      </c>
      <c r="J303" s="52" t="s">
        <v>2293</v>
      </c>
      <c r="K303" s="50" t="s">
        <v>498</v>
      </c>
      <c r="L303" s="50" t="s">
        <v>522</v>
      </c>
      <c r="M303" s="50" t="s">
        <v>523</v>
      </c>
      <c r="N303" s="52" t="s">
        <v>996</v>
      </c>
      <c r="O303" s="50" t="s">
        <v>314</v>
      </c>
      <c r="P303" s="52" t="s">
        <v>1564</v>
      </c>
      <c r="Q303" s="52" t="s">
        <v>2147</v>
      </c>
      <c r="R303" s="50" t="s">
        <v>1566</v>
      </c>
      <c r="S303" s="50" t="s">
        <v>426</v>
      </c>
      <c r="T303" s="50" t="s">
        <v>322</v>
      </c>
      <c r="U303" s="52" t="s">
        <v>1512</v>
      </c>
      <c r="V303" s="52" t="s">
        <v>1921</v>
      </c>
      <c r="W303" s="53" t="s">
        <v>314</v>
      </c>
      <c r="X303" s="52" t="s">
        <v>2149</v>
      </c>
      <c r="Y303" s="52" t="s">
        <v>2294</v>
      </c>
    </row>
    <row r="304" spans="1:25">
      <c r="A304" s="50">
        <v>301</v>
      </c>
      <c r="B304" s="51" t="s">
        <v>2295</v>
      </c>
      <c r="C304" s="52" t="s">
        <v>2296</v>
      </c>
      <c r="D304" s="50" t="s">
        <v>107</v>
      </c>
      <c r="E304" s="50" t="s">
        <v>994</v>
      </c>
      <c r="F304" s="52" t="s">
        <v>2297</v>
      </c>
      <c r="G304" s="52" t="s">
        <v>1919</v>
      </c>
      <c r="H304" s="52" t="s">
        <v>1894</v>
      </c>
      <c r="I304" s="50" t="s">
        <v>669</v>
      </c>
      <c r="J304" s="52" t="s">
        <v>2298</v>
      </c>
      <c r="K304" s="50" t="s">
        <v>498</v>
      </c>
      <c r="L304" s="50" t="s">
        <v>522</v>
      </c>
      <c r="M304" s="50" t="s">
        <v>523</v>
      </c>
      <c r="N304" s="52" t="s">
        <v>996</v>
      </c>
      <c r="O304" s="50" t="s">
        <v>314</v>
      </c>
      <c r="P304" s="52" t="s">
        <v>1564</v>
      </c>
      <c r="Q304" s="52" t="s">
        <v>2147</v>
      </c>
      <c r="R304" s="50" t="s">
        <v>1566</v>
      </c>
      <c r="S304" s="50" t="s">
        <v>426</v>
      </c>
      <c r="T304" s="50" t="s">
        <v>322</v>
      </c>
      <c r="U304" s="52" t="s">
        <v>1512</v>
      </c>
      <c r="V304" s="52" t="s">
        <v>1927</v>
      </c>
      <c r="W304" s="53" t="s">
        <v>314</v>
      </c>
      <c r="X304" s="52" t="s">
        <v>2149</v>
      </c>
      <c r="Y304" s="52" t="s">
        <v>2299</v>
      </c>
    </row>
    <row r="305" spans="1:25">
      <c r="A305" s="50">
        <v>302</v>
      </c>
      <c r="B305" s="51" t="s">
        <v>2300</v>
      </c>
      <c r="C305" s="52" t="s">
        <v>2301</v>
      </c>
      <c r="D305" s="50" t="s">
        <v>107</v>
      </c>
      <c r="E305" s="50" t="s">
        <v>994</v>
      </c>
      <c r="F305" s="52" t="s">
        <v>2302</v>
      </c>
      <c r="G305" s="52" t="s">
        <v>1932</v>
      </c>
      <c r="H305" s="52" t="s">
        <v>1894</v>
      </c>
      <c r="I305" s="50" t="s">
        <v>669</v>
      </c>
      <c r="J305" s="52" t="s">
        <v>2303</v>
      </c>
      <c r="K305" s="50" t="s">
        <v>498</v>
      </c>
      <c r="L305" s="50" t="s">
        <v>522</v>
      </c>
      <c r="M305" s="50" t="s">
        <v>523</v>
      </c>
      <c r="N305" s="52" t="s">
        <v>996</v>
      </c>
      <c r="O305" s="50" t="s">
        <v>314</v>
      </c>
      <c r="P305" s="52" t="s">
        <v>1564</v>
      </c>
      <c r="Q305" s="52" t="s">
        <v>2147</v>
      </c>
      <c r="R305" s="50" t="s">
        <v>1566</v>
      </c>
      <c r="S305" s="50" t="s">
        <v>426</v>
      </c>
      <c r="T305" s="50" t="s">
        <v>322</v>
      </c>
      <c r="U305" s="52" t="s">
        <v>1512</v>
      </c>
      <c r="V305" s="52" t="s">
        <v>1934</v>
      </c>
      <c r="W305" s="53" t="s">
        <v>314</v>
      </c>
      <c r="X305" s="52" t="s">
        <v>2149</v>
      </c>
      <c r="Y305" s="52" t="s">
        <v>2304</v>
      </c>
    </row>
    <row r="306" spans="1:25">
      <c r="A306" s="50">
        <v>303</v>
      </c>
      <c r="B306" s="51" t="s">
        <v>2305</v>
      </c>
      <c r="C306" s="52" t="s">
        <v>2306</v>
      </c>
      <c r="D306" s="50" t="s">
        <v>107</v>
      </c>
      <c r="E306" s="50" t="s">
        <v>994</v>
      </c>
      <c r="F306" s="52" t="s">
        <v>2307</v>
      </c>
      <c r="G306" s="52" t="s">
        <v>1932</v>
      </c>
      <c r="H306" s="52" t="s">
        <v>1894</v>
      </c>
      <c r="I306" s="50" t="s">
        <v>669</v>
      </c>
      <c r="J306" s="52" t="s">
        <v>2308</v>
      </c>
      <c r="K306" s="50" t="s">
        <v>498</v>
      </c>
      <c r="L306" s="50" t="s">
        <v>522</v>
      </c>
      <c r="M306" s="50" t="s">
        <v>523</v>
      </c>
      <c r="N306" s="52" t="s">
        <v>996</v>
      </c>
      <c r="O306" s="50" t="s">
        <v>314</v>
      </c>
      <c r="P306" s="52" t="s">
        <v>1564</v>
      </c>
      <c r="Q306" s="52" t="s">
        <v>2147</v>
      </c>
      <c r="R306" s="50" t="s">
        <v>1566</v>
      </c>
      <c r="S306" s="50" t="s">
        <v>426</v>
      </c>
      <c r="T306" s="50" t="s">
        <v>322</v>
      </c>
      <c r="U306" s="52" t="s">
        <v>1512</v>
      </c>
      <c r="V306" s="52" t="s">
        <v>1940</v>
      </c>
      <c r="W306" s="53" t="s">
        <v>314</v>
      </c>
      <c r="X306" s="52" t="s">
        <v>2149</v>
      </c>
      <c r="Y306" s="52" t="s">
        <v>2309</v>
      </c>
    </row>
    <row r="307" spans="1:25">
      <c r="A307" s="50">
        <v>304</v>
      </c>
      <c r="B307" s="51" t="s">
        <v>2310</v>
      </c>
      <c r="C307" s="52" t="s">
        <v>2311</v>
      </c>
      <c r="D307" s="50" t="s">
        <v>107</v>
      </c>
      <c r="E307" s="50" t="s">
        <v>994</v>
      </c>
      <c r="F307" s="52" t="s">
        <v>2312</v>
      </c>
      <c r="G307" s="52" t="s">
        <v>1945</v>
      </c>
      <c r="H307" s="52" t="s">
        <v>1894</v>
      </c>
      <c r="I307" s="50" t="s">
        <v>669</v>
      </c>
      <c r="J307" s="52" t="s">
        <v>2313</v>
      </c>
      <c r="K307" s="50" t="s">
        <v>498</v>
      </c>
      <c r="L307" s="50" t="s">
        <v>522</v>
      </c>
      <c r="M307" s="50" t="s">
        <v>523</v>
      </c>
      <c r="N307" s="52" t="s">
        <v>996</v>
      </c>
      <c r="O307" s="50" t="s">
        <v>314</v>
      </c>
      <c r="P307" s="52" t="s">
        <v>1564</v>
      </c>
      <c r="Q307" s="52" t="s">
        <v>2147</v>
      </c>
      <c r="R307" s="50" t="s">
        <v>1566</v>
      </c>
      <c r="S307" s="50" t="s">
        <v>426</v>
      </c>
      <c r="T307" s="50" t="s">
        <v>322</v>
      </c>
      <c r="U307" s="52" t="s">
        <v>1512</v>
      </c>
      <c r="V307" s="52" t="s">
        <v>1947</v>
      </c>
      <c r="W307" s="53" t="s">
        <v>314</v>
      </c>
      <c r="X307" s="52" t="s">
        <v>2149</v>
      </c>
      <c r="Y307" s="52" t="s">
        <v>2314</v>
      </c>
    </row>
    <row r="308" spans="1:25">
      <c r="A308" s="50">
        <v>305</v>
      </c>
      <c r="B308" s="51" t="s">
        <v>2315</v>
      </c>
      <c r="C308" s="52" t="s">
        <v>2316</v>
      </c>
      <c r="D308" s="50" t="s">
        <v>107</v>
      </c>
      <c r="E308" s="50" t="s">
        <v>994</v>
      </c>
      <c r="F308" s="52" t="s">
        <v>2317</v>
      </c>
      <c r="G308" s="52" t="s">
        <v>1945</v>
      </c>
      <c r="H308" s="52" t="s">
        <v>1894</v>
      </c>
      <c r="I308" s="50" t="s">
        <v>669</v>
      </c>
      <c r="J308" s="52" t="s">
        <v>2318</v>
      </c>
      <c r="K308" s="50" t="s">
        <v>498</v>
      </c>
      <c r="L308" s="50" t="s">
        <v>522</v>
      </c>
      <c r="M308" s="50" t="s">
        <v>523</v>
      </c>
      <c r="N308" s="52" t="s">
        <v>996</v>
      </c>
      <c r="O308" s="50" t="s">
        <v>314</v>
      </c>
      <c r="P308" s="52" t="s">
        <v>1564</v>
      </c>
      <c r="Q308" s="52" t="s">
        <v>2147</v>
      </c>
      <c r="R308" s="50" t="s">
        <v>1566</v>
      </c>
      <c r="S308" s="50" t="s">
        <v>426</v>
      </c>
      <c r="T308" s="50" t="s">
        <v>322</v>
      </c>
      <c r="U308" s="52" t="s">
        <v>1512</v>
      </c>
      <c r="V308" s="52" t="s">
        <v>1953</v>
      </c>
      <c r="W308" s="53" t="s">
        <v>314</v>
      </c>
      <c r="X308" s="52" t="s">
        <v>2149</v>
      </c>
      <c r="Y308" s="52" t="s">
        <v>2319</v>
      </c>
    </row>
    <row r="309" spans="1:25">
      <c r="A309" s="50">
        <v>306</v>
      </c>
      <c r="B309" s="51" t="s">
        <v>2320</v>
      </c>
      <c r="C309" s="52" t="s">
        <v>2321</v>
      </c>
      <c r="D309" s="50" t="s">
        <v>107</v>
      </c>
      <c r="E309" s="50" t="s">
        <v>994</v>
      </c>
      <c r="F309" s="52" t="s">
        <v>2322</v>
      </c>
      <c r="G309" s="52" t="s">
        <v>1958</v>
      </c>
      <c r="H309" s="52" t="s">
        <v>1894</v>
      </c>
      <c r="I309" s="50" t="s">
        <v>669</v>
      </c>
      <c r="J309" s="52" t="s">
        <v>2323</v>
      </c>
      <c r="K309" s="50" t="s">
        <v>498</v>
      </c>
      <c r="L309" s="50" t="s">
        <v>522</v>
      </c>
      <c r="M309" s="50" t="s">
        <v>523</v>
      </c>
      <c r="N309" s="52" t="s">
        <v>996</v>
      </c>
      <c r="O309" s="50" t="s">
        <v>314</v>
      </c>
      <c r="P309" s="52" t="s">
        <v>1564</v>
      </c>
      <c r="Q309" s="52" t="s">
        <v>2147</v>
      </c>
      <c r="R309" s="50" t="s">
        <v>1566</v>
      </c>
      <c r="S309" s="50" t="s">
        <v>426</v>
      </c>
      <c r="T309" s="50" t="s">
        <v>322</v>
      </c>
      <c r="U309" s="52" t="s">
        <v>1512</v>
      </c>
      <c r="V309" s="52" t="s">
        <v>1960</v>
      </c>
      <c r="W309" s="53" t="s">
        <v>314</v>
      </c>
      <c r="X309" s="52" t="s">
        <v>2149</v>
      </c>
      <c r="Y309" s="52" t="s">
        <v>2324</v>
      </c>
    </row>
    <row r="310" spans="1:25">
      <c r="A310" s="50">
        <v>307</v>
      </c>
      <c r="B310" s="51" t="s">
        <v>2325</v>
      </c>
      <c r="C310" s="52" t="s">
        <v>2326</v>
      </c>
      <c r="D310" s="50" t="s">
        <v>107</v>
      </c>
      <c r="E310" s="50" t="s">
        <v>994</v>
      </c>
      <c r="F310" s="52" t="s">
        <v>2327</v>
      </c>
      <c r="G310" s="52" t="s">
        <v>1958</v>
      </c>
      <c r="H310" s="52" t="s">
        <v>1894</v>
      </c>
      <c r="I310" s="50" t="s">
        <v>669</v>
      </c>
      <c r="J310" s="52" t="s">
        <v>2328</v>
      </c>
      <c r="K310" s="50" t="s">
        <v>498</v>
      </c>
      <c r="L310" s="50" t="s">
        <v>522</v>
      </c>
      <c r="M310" s="50" t="s">
        <v>523</v>
      </c>
      <c r="N310" s="52" t="s">
        <v>996</v>
      </c>
      <c r="O310" s="50" t="s">
        <v>314</v>
      </c>
      <c r="P310" s="52" t="s">
        <v>1564</v>
      </c>
      <c r="Q310" s="52" t="s">
        <v>2147</v>
      </c>
      <c r="R310" s="50" t="s">
        <v>1566</v>
      </c>
      <c r="S310" s="50" t="s">
        <v>426</v>
      </c>
      <c r="T310" s="50" t="s">
        <v>322</v>
      </c>
      <c r="U310" s="52" t="s">
        <v>1512</v>
      </c>
      <c r="V310" s="52" t="s">
        <v>1966</v>
      </c>
      <c r="W310" s="53" t="s">
        <v>314</v>
      </c>
      <c r="X310" s="52" t="s">
        <v>2149</v>
      </c>
      <c r="Y310" s="52" t="s">
        <v>2329</v>
      </c>
    </row>
    <row r="311" spans="1:25">
      <c r="A311" s="50">
        <v>308</v>
      </c>
      <c r="B311" s="51" t="s">
        <v>2330</v>
      </c>
      <c r="C311" s="52" t="s">
        <v>2331</v>
      </c>
      <c r="D311" s="50" t="s">
        <v>107</v>
      </c>
      <c r="E311" s="50" t="s">
        <v>994</v>
      </c>
      <c r="F311" s="52" t="s">
        <v>2332</v>
      </c>
      <c r="G311" s="52" t="s">
        <v>1971</v>
      </c>
      <c r="H311" s="52" t="s">
        <v>1894</v>
      </c>
      <c r="I311" s="50" t="s">
        <v>669</v>
      </c>
      <c r="J311" s="52" t="s">
        <v>2333</v>
      </c>
      <c r="K311" s="50" t="s">
        <v>498</v>
      </c>
      <c r="L311" s="50" t="s">
        <v>522</v>
      </c>
      <c r="M311" s="50" t="s">
        <v>523</v>
      </c>
      <c r="N311" s="52" t="s">
        <v>996</v>
      </c>
      <c r="O311" s="50" t="s">
        <v>314</v>
      </c>
      <c r="P311" s="52" t="s">
        <v>1564</v>
      </c>
      <c r="Q311" s="52" t="s">
        <v>2147</v>
      </c>
      <c r="R311" s="50" t="s">
        <v>1566</v>
      </c>
      <c r="S311" s="50" t="s">
        <v>426</v>
      </c>
      <c r="T311" s="50" t="s">
        <v>322</v>
      </c>
      <c r="U311" s="52" t="s">
        <v>1512</v>
      </c>
      <c r="V311" s="52" t="s">
        <v>1973</v>
      </c>
      <c r="W311" s="53" t="s">
        <v>314</v>
      </c>
      <c r="X311" s="52" t="s">
        <v>2149</v>
      </c>
      <c r="Y311" s="52" t="s">
        <v>2334</v>
      </c>
    </row>
    <row r="312" spans="1:25">
      <c r="A312" s="50">
        <v>309</v>
      </c>
      <c r="B312" s="51" t="s">
        <v>2335</v>
      </c>
      <c r="C312" s="52" t="s">
        <v>2336</v>
      </c>
      <c r="D312" s="50" t="s">
        <v>107</v>
      </c>
      <c r="E312" s="50" t="s">
        <v>994</v>
      </c>
      <c r="F312" s="52" t="s">
        <v>2337</v>
      </c>
      <c r="G312" s="52" t="s">
        <v>1971</v>
      </c>
      <c r="H312" s="52" t="s">
        <v>1894</v>
      </c>
      <c r="I312" s="50" t="s">
        <v>669</v>
      </c>
      <c r="J312" s="52" t="s">
        <v>2338</v>
      </c>
      <c r="K312" s="50" t="s">
        <v>498</v>
      </c>
      <c r="L312" s="50" t="s">
        <v>522</v>
      </c>
      <c r="M312" s="50" t="s">
        <v>523</v>
      </c>
      <c r="N312" s="52" t="s">
        <v>996</v>
      </c>
      <c r="O312" s="50" t="s">
        <v>314</v>
      </c>
      <c r="P312" s="52" t="s">
        <v>1564</v>
      </c>
      <c r="Q312" s="52" t="s">
        <v>2147</v>
      </c>
      <c r="R312" s="50" t="s">
        <v>1566</v>
      </c>
      <c r="S312" s="50" t="s">
        <v>426</v>
      </c>
      <c r="T312" s="50" t="s">
        <v>322</v>
      </c>
      <c r="U312" s="52" t="s">
        <v>1512</v>
      </c>
      <c r="V312" s="52" t="s">
        <v>1979</v>
      </c>
      <c r="W312" s="53" t="s">
        <v>314</v>
      </c>
      <c r="X312" s="52" t="s">
        <v>2149</v>
      </c>
      <c r="Y312" s="52" t="s">
        <v>2339</v>
      </c>
    </row>
    <row r="313" spans="1:25">
      <c r="A313" s="50">
        <v>310</v>
      </c>
      <c r="B313" s="51" t="s">
        <v>2340</v>
      </c>
      <c r="C313" s="52" t="s">
        <v>2341</v>
      </c>
      <c r="D313" s="50" t="s">
        <v>107</v>
      </c>
      <c r="E313" s="50" t="s">
        <v>994</v>
      </c>
      <c r="F313" s="52" t="s">
        <v>2342</v>
      </c>
      <c r="G313" s="52" t="s">
        <v>1984</v>
      </c>
      <c r="H313" s="52" t="s">
        <v>1887</v>
      </c>
      <c r="I313" s="50" t="s">
        <v>669</v>
      </c>
      <c r="J313" s="52" t="s">
        <v>2343</v>
      </c>
      <c r="K313" s="50" t="s">
        <v>2268</v>
      </c>
      <c r="L313" s="50" t="s">
        <v>499</v>
      </c>
      <c r="M313" s="50" t="s">
        <v>500</v>
      </c>
      <c r="N313" s="52" t="s">
        <v>996</v>
      </c>
      <c r="O313" s="50" t="s">
        <v>314</v>
      </c>
      <c r="P313" s="52" t="s">
        <v>1564</v>
      </c>
      <c r="Q313" s="52" t="s">
        <v>2147</v>
      </c>
      <c r="R313" s="50" t="s">
        <v>1566</v>
      </c>
      <c r="S313" s="50" t="s">
        <v>426</v>
      </c>
      <c r="T313" s="50" t="s">
        <v>322</v>
      </c>
      <c r="U313" s="52" t="s">
        <v>1512</v>
      </c>
      <c r="V313" s="52" t="s">
        <v>1986</v>
      </c>
      <c r="W313" s="53" t="s">
        <v>314</v>
      </c>
      <c r="X313" s="52" t="s">
        <v>2149</v>
      </c>
      <c r="Y313" s="52" t="s">
        <v>2344</v>
      </c>
    </row>
    <row r="314" spans="1:25">
      <c r="A314" s="50">
        <v>311</v>
      </c>
      <c r="B314" s="51" t="s">
        <v>2345</v>
      </c>
      <c r="C314" s="52" t="s">
        <v>2346</v>
      </c>
      <c r="D314" s="50" t="s">
        <v>107</v>
      </c>
      <c r="E314" s="50" t="s">
        <v>994</v>
      </c>
      <c r="F314" s="52" t="s">
        <v>2347</v>
      </c>
      <c r="G314" s="52" t="s">
        <v>1984</v>
      </c>
      <c r="H314" s="52" t="s">
        <v>1894</v>
      </c>
      <c r="I314" s="50" t="s">
        <v>669</v>
      </c>
      <c r="J314" s="52" t="s">
        <v>2348</v>
      </c>
      <c r="K314" s="50" t="s">
        <v>498</v>
      </c>
      <c r="L314" s="50" t="s">
        <v>522</v>
      </c>
      <c r="M314" s="50" t="s">
        <v>523</v>
      </c>
      <c r="N314" s="52" t="s">
        <v>996</v>
      </c>
      <c r="O314" s="50" t="s">
        <v>314</v>
      </c>
      <c r="P314" s="52" t="s">
        <v>1564</v>
      </c>
      <c r="Q314" s="52" t="s">
        <v>2147</v>
      </c>
      <c r="R314" s="50" t="s">
        <v>1566</v>
      </c>
      <c r="S314" s="50" t="s">
        <v>426</v>
      </c>
      <c r="T314" s="50" t="s">
        <v>322</v>
      </c>
      <c r="U314" s="52" t="s">
        <v>1512</v>
      </c>
      <c r="V314" s="52" t="s">
        <v>1992</v>
      </c>
      <c r="W314" s="53" t="s">
        <v>314</v>
      </c>
      <c r="X314" s="52" t="s">
        <v>2149</v>
      </c>
      <c r="Y314" s="52" t="s">
        <v>2349</v>
      </c>
    </row>
    <row r="315" spans="1:25">
      <c r="A315" s="50">
        <v>312</v>
      </c>
      <c r="B315" s="51" t="s">
        <v>2350</v>
      </c>
      <c r="C315" s="52" t="s">
        <v>2351</v>
      </c>
      <c r="D315" s="50" t="s">
        <v>107</v>
      </c>
      <c r="E315" s="50" t="s">
        <v>994</v>
      </c>
      <c r="F315" s="52" t="s">
        <v>2352</v>
      </c>
      <c r="G315" s="52" t="s">
        <v>1984</v>
      </c>
      <c r="H315" s="52" t="s">
        <v>1894</v>
      </c>
      <c r="I315" s="50" t="s">
        <v>669</v>
      </c>
      <c r="J315" s="52" t="s">
        <v>2353</v>
      </c>
      <c r="K315" s="50" t="s">
        <v>498</v>
      </c>
      <c r="L315" s="50" t="s">
        <v>522</v>
      </c>
      <c r="M315" s="50" t="s">
        <v>523</v>
      </c>
      <c r="N315" s="52" t="s">
        <v>996</v>
      </c>
      <c r="O315" s="50" t="s">
        <v>314</v>
      </c>
      <c r="P315" s="52" t="s">
        <v>1564</v>
      </c>
      <c r="Q315" s="52" t="s">
        <v>2147</v>
      </c>
      <c r="R315" s="50" t="s">
        <v>1566</v>
      </c>
      <c r="S315" s="50" t="s">
        <v>426</v>
      </c>
      <c r="T315" s="50" t="s">
        <v>322</v>
      </c>
      <c r="U315" s="52" t="s">
        <v>1512</v>
      </c>
      <c r="V315" s="52" t="s">
        <v>1998</v>
      </c>
      <c r="W315" s="53" t="s">
        <v>314</v>
      </c>
      <c r="X315" s="52" t="s">
        <v>2149</v>
      </c>
      <c r="Y315" s="52" t="s">
        <v>2354</v>
      </c>
    </row>
    <row r="316" spans="1:25">
      <c r="A316" s="50">
        <v>313</v>
      </c>
      <c r="B316" s="51" t="s">
        <v>2355</v>
      </c>
      <c r="C316" s="52" t="s">
        <v>2356</v>
      </c>
      <c r="D316" s="50" t="s">
        <v>107</v>
      </c>
      <c r="E316" s="50" t="s">
        <v>994</v>
      </c>
      <c r="F316" s="52" t="s">
        <v>2357</v>
      </c>
      <c r="G316" s="52" t="s">
        <v>2003</v>
      </c>
      <c r="H316" s="52" t="s">
        <v>2004</v>
      </c>
      <c r="I316" s="50" t="s">
        <v>669</v>
      </c>
      <c r="J316" s="52" t="s">
        <v>2358</v>
      </c>
      <c r="K316" s="50" t="s">
        <v>498</v>
      </c>
      <c r="L316" s="50" t="s">
        <v>522</v>
      </c>
      <c r="M316" s="50" t="s">
        <v>523</v>
      </c>
      <c r="N316" s="52" t="s">
        <v>996</v>
      </c>
      <c r="O316" s="50" t="s">
        <v>314</v>
      </c>
      <c r="P316" s="52" t="s">
        <v>1564</v>
      </c>
      <c r="Q316" s="52" t="s">
        <v>2147</v>
      </c>
      <c r="R316" s="50" t="s">
        <v>1566</v>
      </c>
      <c r="S316" s="50" t="s">
        <v>426</v>
      </c>
      <c r="T316" s="50" t="s">
        <v>322</v>
      </c>
      <c r="U316" s="52" t="s">
        <v>1512</v>
      </c>
      <c r="V316" s="52" t="s">
        <v>2006</v>
      </c>
      <c r="W316" s="53" t="s">
        <v>314</v>
      </c>
      <c r="X316" s="52" t="s">
        <v>2149</v>
      </c>
      <c r="Y316" s="52" t="s">
        <v>2359</v>
      </c>
    </row>
    <row r="317" spans="1:25">
      <c r="A317" s="50">
        <v>314</v>
      </c>
      <c r="B317" s="51" t="s">
        <v>2360</v>
      </c>
      <c r="C317" s="52" t="s">
        <v>2361</v>
      </c>
      <c r="D317" s="50" t="s">
        <v>107</v>
      </c>
      <c r="E317" s="50" t="s">
        <v>994</v>
      </c>
      <c r="F317" s="52" t="s">
        <v>2362</v>
      </c>
      <c r="G317" s="52" t="s">
        <v>1602</v>
      </c>
      <c r="H317" s="52" t="s">
        <v>1603</v>
      </c>
      <c r="I317" s="50" t="s">
        <v>736</v>
      </c>
      <c r="J317" s="52" t="s">
        <v>2363</v>
      </c>
      <c r="K317" s="50" t="s">
        <v>738</v>
      </c>
      <c r="L317" s="50" t="s">
        <v>499</v>
      </c>
      <c r="M317" s="50" t="s">
        <v>500</v>
      </c>
      <c r="N317" s="52" t="s">
        <v>996</v>
      </c>
      <c r="O317" s="50" t="s">
        <v>314</v>
      </c>
      <c r="P317" s="52" t="s">
        <v>2364</v>
      </c>
      <c r="Q317" s="52" t="s">
        <v>2365</v>
      </c>
      <c r="R317" s="50" t="s">
        <v>1566</v>
      </c>
      <c r="S317" s="50" t="s">
        <v>426</v>
      </c>
      <c r="T317" s="50" t="s">
        <v>322</v>
      </c>
      <c r="U317" s="52" t="s">
        <v>1280</v>
      </c>
      <c r="V317" s="52" t="s">
        <v>1608</v>
      </c>
      <c r="W317" s="53" t="s">
        <v>314</v>
      </c>
      <c r="X317" s="52" t="s">
        <v>2366</v>
      </c>
      <c r="Y317" s="52" t="s">
        <v>2367</v>
      </c>
    </row>
    <row r="318" spans="1:25">
      <c r="A318" s="50">
        <v>315</v>
      </c>
      <c r="B318" s="51" t="s">
        <v>2368</v>
      </c>
      <c r="C318" s="52" t="s">
        <v>2369</v>
      </c>
      <c r="D318" s="50" t="s">
        <v>107</v>
      </c>
      <c r="E318" s="50" t="s">
        <v>994</v>
      </c>
      <c r="F318" s="52" t="s">
        <v>2370</v>
      </c>
      <c r="G318" s="52" t="s">
        <v>1602</v>
      </c>
      <c r="H318" s="52" t="s">
        <v>1614</v>
      </c>
      <c r="I318" s="50" t="s">
        <v>736</v>
      </c>
      <c r="J318" s="52" t="s">
        <v>2371</v>
      </c>
      <c r="K318" s="50" t="s">
        <v>738</v>
      </c>
      <c r="L318" s="50" t="s">
        <v>499</v>
      </c>
      <c r="M318" s="50" t="s">
        <v>500</v>
      </c>
      <c r="N318" s="52" t="s">
        <v>996</v>
      </c>
      <c r="O318" s="50" t="s">
        <v>314</v>
      </c>
      <c r="P318" s="52" t="s">
        <v>2364</v>
      </c>
      <c r="Q318" s="52" t="s">
        <v>2365</v>
      </c>
      <c r="R318" s="50" t="s">
        <v>1566</v>
      </c>
      <c r="S318" s="50" t="s">
        <v>426</v>
      </c>
      <c r="T318" s="50" t="s">
        <v>322</v>
      </c>
      <c r="U318" s="52" t="s">
        <v>1280</v>
      </c>
      <c r="V318" s="52" t="s">
        <v>1616</v>
      </c>
      <c r="W318" s="53" t="s">
        <v>314</v>
      </c>
      <c r="X318" s="52" t="s">
        <v>2366</v>
      </c>
      <c r="Y318" s="52" t="s">
        <v>2372</v>
      </c>
    </row>
    <row r="319" spans="1:25">
      <c r="A319" s="50">
        <v>316</v>
      </c>
      <c r="B319" s="51" t="s">
        <v>2373</v>
      </c>
      <c r="C319" s="52" t="s">
        <v>2374</v>
      </c>
      <c r="D319" s="50" t="s">
        <v>107</v>
      </c>
      <c r="E319" s="50" t="s">
        <v>994</v>
      </c>
      <c r="F319" s="52" t="s">
        <v>2375</v>
      </c>
      <c r="G319" s="52" t="s">
        <v>1602</v>
      </c>
      <c r="H319" s="52" t="s">
        <v>1621</v>
      </c>
      <c r="I319" s="50" t="s">
        <v>736</v>
      </c>
      <c r="J319" s="52" t="s">
        <v>2376</v>
      </c>
      <c r="K319" s="50" t="s">
        <v>738</v>
      </c>
      <c r="L319" s="50" t="s">
        <v>499</v>
      </c>
      <c r="M319" s="50" t="s">
        <v>500</v>
      </c>
      <c r="N319" s="52" t="s">
        <v>996</v>
      </c>
      <c r="O319" s="50" t="s">
        <v>314</v>
      </c>
      <c r="P319" s="52" t="s">
        <v>2364</v>
      </c>
      <c r="Q319" s="52" t="s">
        <v>2365</v>
      </c>
      <c r="R319" s="50" t="s">
        <v>1566</v>
      </c>
      <c r="S319" s="50" t="s">
        <v>426</v>
      </c>
      <c r="T319" s="50" t="s">
        <v>322</v>
      </c>
      <c r="U319" s="52" t="s">
        <v>1280</v>
      </c>
      <c r="V319" s="52" t="s">
        <v>1623</v>
      </c>
      <c r="W319" s="53" t="s">
        <v>314</v>
      </c>
      <c r="X319" s="52" t="s">
        <v>2366</v>
      </c>
      <c r="Y319" s="52" t="s">
        <v>2377</v>
      </c>
    </row>
    <row r="320" spans="1:25">
      <c r="A320" s="50">
        <v>317</v>
      </c>
      <c r="B320" s="51" t="s">
        <v>2378</v>
      </c>
      <c r="C320" s="52" t="s">
        <v>2379</v>
      </c>
      <c r="D320" s="50" t="s">
        <v>107</v>
      </c>
      <c r="E320" s="50" t="s">
        <v>994</v>
      </c>
      <c r="F320" s="52" t="s">
        <v>2380</v>
      </c>
      <c r="G320" s="52" t="s">
        <v>1628</v>
      </c>
      <c r="H320" s="52" t="s">
        <v>1629</v>
      </c>
      <c r="I320" s="50" t="s">
        <v>736</v>
      </c>
      <c r="J320" s="52" t="s">
        <v>2381</v>
      </c>
      <c r="K320" s="50" t="s">
        <v>738</v>
      </c>
      <c r="L320" s="50" t="s">
        <v>499</v>
      </c>
      <c r="M320" s="50" t="s">
        <v>500</v>
      </c>
      <c r="N320" s="52" t="s">
        <v>996</v>
      </c>
      <c r="O320" s="50" t="s">
        <v>314</v>
      </c>
      <c r="P320" s="52" t="s">
        <v>2364</v>
      </c>
      <c r="Q320" s="52" t="s">
        <v>2365</v>
      </c>
      <c r="R320" s="50" t="s">
        <v>1566</v>
      </c>
      <c r="S320" s="50" t="s">
        <v>426</v>
      </c>
      <c r="T320" s="50" t="s">
        <v>322</v>
      </c>
      <c r="U320" s="52" t="s">
        <v>1280</v>
      </c>
      <c r="V320" s="52" t="s">
        <v>1631</v>
      </c>
      <c r="W320" s="53" t="s">
        <v>314</v>
      </c>
      <c r="X320" s="52" t="s">
        <v>2366</v>
      </c>
      <c r="Y320" s="52" t="s">
        <v>2382</v>
      </c>
    </row>
    <row r="321" spans="1:25">
      <c r="A321" s="50">
        <v>318</v>
      </c>
      <c r="B321" s="51" t="s">
        <v>2383</v>
      </c>
      <c r="C321" s="52" t="s">
        <v>2384</v>
      </c>
      <c r="D321" s="50" t="s">
        <v>107</v>
      </c>
      <c r="E321" s="50" t="s">
        <v>994</v>
      </c>
      <c r="F321" s="52" t="s">
        <v>2385</v>
      </c>
      <c r="G321" s="52" t="s">
        <v>1628</v>
      </c>
      <c r="H321" s="52" t="s">
        <v>1636</v>
      </c>
      <c r="I321" s="50" t="s">
        <v>736</v>
      </c>
      <c r="J321" s="52" t="s">
        <v>2386</v>
      </c>
      <c r="K321" s="50" t="s">
        <v>738</v>
      </c>
      <c r="L321" s="50" t="s">
        <v>499</v>
      </c>
      <c r="M321" s="50" t="s">
        <v>500</v>
      </c>
      <c r="N321" s="52" t="s">
        <v>996</v>
      </c>
      <c r="O321" s="50" t="s">
        <v>314</v>
      </c>
      <c r="P321" s="52" t="s">
        <v>2364</v>
      </c>
      <c r="Q321" s="52" t="s">
        <v>2365</v>
      </c>
      <c r="R321" s="50" t="s">
        <v>1566</v>
      </c>
      <c r="S321" s="50" t="s">
        <v>426</v>
      </c>
      <c r="T321" s="50" t="s">
        <v>322</v>
      </c>
      <c r="U321" s="52" t="s">
        <v>1280</v>
      </c>
      <c r="V321" s="52" t="s">
        <v>1638</v>
      </c>
      <c r="W321" s="53" t="s">
        <v>314</v>
      </c>
      <c r="X321" s="52" t="s">
        <v>2366</v>
      </c>
      <c r="Y321" s="52" t="s">
        <v>2387</v>
      </c>
    </row>
    <row r="322" spans="1:25">
      <c r="A322" s="50">
        <v>319</v>
      </c>
      <c r="B322" s="51" t="s">
        <v>2388</v>
      </c>
      <c r="C322" s="52" t="s">
        <v>2389</v>
      </c>
      <c r="D322" s="50" t="s">
        <v>107</v>
      </c>
      <c r="E322" s="50" t="s">
        <v>994</v>
      </c>
      <c r="F322" s="52" t="s">
        <v>2390</v>
      </c>
      <c r="G322" s="52" t="s">
        <v>1628</v>
      </c>
      <c r="H322" s="52" t="s">
        <v>1643</v>
      </c>
      <c r="I322" s="50" t="s">
        <v>736</v>
      </c>
      <c r="J322" s="52" t="s">
        <v>2391</v>
      </c>
      <c r="K322" s="50" t="s">
        <v>738</v>
      </c>
      <c r="L322" s="50" t="s">
        <v>499</v>
      </c>
      <c r="M322" s="50" t="s">
        <v>500</v>
      </c>
      <c r="N322" s="52" t="s">
        <v>996</v>
      </c>
      <c r="O322" s="50" t="s">
        <v>314</v>
      </c>
      <c r="P322" s="52" t="s">
        <v>2364</v>
      </c>
      <c r="Q322" s="52" t="s">
        <v>2365</v>
      </c>
      <c r="R322" s="50" t="s">
        <v>1566</v>
      </c>
      <c r="S322" s="50" t="s">
        <v>426</v>
      </c>
      <c r="T322" s="50" t="s">
        <v>322</v>
      </c>
      <c r="U322" s="52" t="s">
        <v>1280</v>
      </c>
      <c r="V322" s="52" t="s">
        <v>1645</v>
      </c>
      <c r="W322" s="53" t="s">
        <v>314</v>
      </c>
      <c r="X322" s="52" t="s">
        <v>2366</v>
      </c>
      <c r="Y322" s="52" t="s">
        <v>2392</v>
      </c>
    </row>
    <row r="323" spans="1:25">
      <c r="A323" s="50">
        <v>320</v>
      </c>
      <c r="B323" s="51" t="s">
        <v>2393</v>
      </c>
      <c r="C323" s="52" t="s">
        <v>2394</v>
      </c>
      <c r="D323" s="50" t="s">
        <v>107</v>
      </c>
      <c r="E323" s="50" t="s">
        <v>994</v>
      </c>
      <c r="F323" s="52" t="s">
        <v>2395</v>
      </c>
      <c r="G323" s="52" t="s">
        <v>1628</v>
      </c>
      <c r="H323" s="52" t="s">
        <v>1650</v>
      </c>
      <c r="I323" s="50" t="s">
        <v>736</v>
      </c>
      <c r="J323" s="52" t="s">
        <v>2396</v>
      </c>
      <c r="K323" s="50" t="s">
        <v>738</v>
      </c>
      <c r="L323" s="50" t="s">
        <v>499</v>
      </c>
      <c r="M323" s="50" t="s">
        <v>500</v>
      </c>
      <c r="N323" s="52" t="s">
        <v>996</v>
      </c>
      <c r="O323" s="50" t="s">
        <v>314</v>
      </c>
      <c r="P323" s="52" t="s">
        <v>2364</v>
      </c>
      <c r="Q323" s="52" t="s">
        <v>2365</v>
      </c>
      <c r="R323" s="50" t="s">
        <v>1566</v>
      </c>
      <c r="S323" s="50" t="s">
        <v>426</v>
      </c>
      <c r="T323" s="50" t="s">
        <v>322</v>
      </c>
      <c r="U323" s="52" t="s">
        <v>1280</v>
      </c>
      <c r="V323" s="52" t="s">
        <v>1652</v>
      </c>
      <c r="W323" s="53" t="s">
        <v>314</v>
      </c>
      <c r="X323" s="52" t="s">
        <v>2366</v>
      </c>
      <c r="Y323" s="52" t="s">
        <v>2397</v>
      </c>
    </row>
    <row r="324" spans="1:25">
      <c r="A324" s="50">
        <v>321</v>
      </c>
      <c r="B324" s="51" t="s">
        <v>2398</v>
      </c>
      <c r="C324" s="52" t="s">
        <v>2399</v>
      </c>
      <c r="D324" s="50" t="s">
        <v>107</v>
      </c>
      <c r="E324" s="50" t="s">
        <v>994</v>
      </c>
      <c r="F324" s="52" t="s">
        <v>2400</v>
      </c>
      <c r="G324" s="52" t="s">
        <v>1657</v>
      </c>
      <c r="H324" s="52" t="s">
        <v>1658</v>
      </c>
      <c r="I324" s="50" t="s">
        <v>736</v>
      </c>
      <c r="J324" s="52" t="s">
        <v>2401</v>
      </c>
      <c r="K324" s="50" t="s">
        <v>738</v>
      </c>
      <c r="L324" s="50" t="s">
        <v>499</v>
      </c>
      <c r="M324" s="50" t="s">
        <v>500</v>
      </c>
      <c r="N324" s="52" t="s">
        <v>996</v>
      </c>
      <c r="O324" s="50" t="s">
        <v>314</v>
      </c>
      <c r="P324" s="52" t="s">
        <v>2364</v>
      </c>
      <c r="Q324" s="52" t="s">
        <v>2365</v>
      </c>
      <c r="R324" s="50" t="s">
        <v>1566</v>
      </c>
      <c r="S324" s="50" t="s">
        <v>426</v>
      </c>
      <c r="T324" s="50" t="s">
        <v>322</v>
      </c>
      <c r="U324" s="52" t="s">
        <v>1280</v>
      </c>
      <c r="V324" s="52" t="s">
        <v>1660</v>
      </c>
      <c r="W324" s="53" t="s">
        <v>314</v>
      </c>
      <c r="X324" s="52" t="s">
        <v>2366</v>
      </c>
      <c r="Y324" s="52" t="s">
        <v>2402</v>
      </c>
    </row>
    <row r="325" spans="1:25">
      <c r="A325" s="50">
        <v>322</v>
      </c>
      <c r="B325" s="51" t="s">
        <v>2403</v>
      </c>
      <c r="C325" s="52" t="s">
        <v>2404</v>
      </c>
      <c r="D325" s="50" t="s">
        <v>107</v>
      </c>
      <c r="E325" s="50" t="s">
        <v>994</v>
      </c>
      <c r="F325" s="52" t="s">
        <v>2405</v>
      </c>
      <c r="G325" s="52" t="s">
        <v>1657</v>
      </c>
      <c r="H325" s="52" t="s">
        <v>1665</v>
      </c>
      <c r="I325" s="50" t="s">
        <v>736</v>
      </c>
      <c r="J325" s="52" t="s">
        <v>2406</v>
      </c>
      <c r="K325" s="50" t="s">
        <v>738</v>
      </c>
      <c r="L325" s="50" t="s">
        <v>499</v>
      </c>
      <c r="M325" s="50" t="s">
        <v>500</v>
      </c>
      <c r="N325" s="52" t="s">
        <v>996</v>
      </c>
      <c r="O325" s="50" t="s">
        <v>314</v>
      </c>
      <c r="P325" s="52" t="s">
        <v>2364</v>
      </c>
      <c r="Q325" s="52" t="s">
        <v>2365</v>
      </c>
      <c r="R325" s="50" t="s">
        <v>1566</v>
      </c>
      <c r="S325" s="50" t="s">
        <v>426</v>
      </c>
      <c r="T325" s="50" t="s">
        <v>322</v>
      </c>
      <c r="U325" s="52" t="s">
        <v>1280</v>
      </c>
      <c r="V325" s="52" t="s">
        <v>1667</v>
      </c>
      <c r="W325" s="53" t="s">
        <v>314</v>
      </c>
      <c r="X325" s="52" t="s">
        <v>2366</v>
      </c>
      <c r="Y325" s="52" t="s">
        <v>2407</v>
      </c>
    </row>
    <row r="326" spans="1:25">
      <c r="A326" s="50">
        <v>323</v>
      </c>
      <c r="B326" s="51" t="s">
        <v>2408</v>
      </c>
      <c r="C326" s="52" t="s">
        <v>2409</v>
      </c>
      <c r="D326" s="50" t="s">
        <v>107</v>
      </c>
      <c r="E326" s="50" t="s">
        <v>994</v>
      </c>
      <c r="F326" s="52" t="s">
        <v>2410</v>
      </c>
      <c r="G326" s="52" t="s">
        <v>1672</v>
      </c>
      <c r="H326" s="52" t="s">
        <v>1673</v>
      </c>
      <c r="I326" s="50" t="s">
        <v>736</v>
      </c>
      <c r="J326" s="52" t="s">
        <v>2411</v>
      </c>
      <c r="K326" s="50" t="s">
        <v>738</v>
      </c>
      <c r="L326" s="50" t="s">
        <v>499</v>
      </c>
      <c r="M326" s="50" t="s">
        <v>500</v>
      </c>
      <c r="N326" s="52" t="s">
        <v>996</v>
      </c>
      <c r="O326" s="50" t="s">
        <v>314</v>
      </c>
      <c r="P326" s="52" t="s">
        <v>2364</v>
      </c>
      <c r="Q326" s="52" t="s">
        <v>2365</v>
      </c>
      <c r="R326" s="50" t="s">
        <v>1566</v>
      </c>
      <c r="S326" s="50" t="s">
        <v>426</v>
      </c>
      <c r="T326" s="50" t="s">
        <v>322</v>
      </c>
      <c r="U326" s="52" t="s">
        <v>1280</v>
      </c>
      <c r="V326" s="52" t="s">
        <v>1675</v>
      </c>
      <c r="W326" s="53" t="s">
        <v>314</v>
      </c>
      <c r="X326" s="52" t="s">
        <v>2366</v>
      </c>
      <c r="Y326" s="52" t="s">
        <v>2412</v>
      </c>
    </row>
    <row r="327" spans="1:25">
      <c r="A327" s="50">
        <v>324</v>
      </c>
      <c r="B327" s="51" t="s">
        <v>2413</v>
      </c>
      <c r="C327" s="52" t="s">
        <v>2414</v>
      </c>
      <c r="D327" s="50" t="s">
        <v>107</v>
      </c>
      <c r="E327" s="50" t="s">
        <v>994</v>
      </c>
      <c r="F327" s="52" t="s">
        <v>2415</v>
      </c>
      <c r="G327" s="52" t="s">
        <v>1672</v>
      </c>
      <c r="H327" s="52" t="s">
        <v>1680</v>
      </c>
      <c r="I327" s="50" t="s">
        <v>736</v>
      </c>
      <c r="J327" s="52" t="s">
        <v>2416</v>
      </c>
      <c r="K327" s="50" t="s">
        <v>738</v>
      </c>
      <c r="L327" s="50" t="s">
        <v>499</v>
      </c>
      <c r="M327" s="50" t="s">
        <v>500</v>
      </c>
      <c r="N327" s="52" t="s">
        <v>996</v>
      </c>
      <c r="O327" s="50" t="s">
        <v>314</v>
      </c>
      <c r="P327" s="52" t="s">
        <v>2364</v>
      </c>
      <c r="Q327" s="52" t="s">
        <v>2365</v>
      </c>
      <c r="R327" s="50" t="s">
        <v>1566</v>
      </c>
      <c r="S327" s="50" t="s">
        <v>426</v>
      </c>
      <c r="T327" s="50" t="s">
        <v>322</v>
      </c>
      <c r="U327" s="52" t="s">
        <v>1280</v>
      </c>
      <c r="V327" s="52" t="s">
        <v>1682</v>
      </c>
      <c r="W327" s="53" t="s">
        <v>314</v>
      </c>
      <c r="X327" s="52" t="s">
        <v>2366</v>
      </c>
      <c r="Y327" s="52" t="s">
        <v>2417</v>
      </c>
    </row>
    <row r="328" spans="1:25">
      <c r="A328" s="50">
        <v>325</v>
      </c>
      <c r="B328" s="51" t="s">
        <v>2418</v>
      </c>
      <c r="C328" s="52" t="s">
        <v>2419</v>
      </c>
      <c r="D328" s="50" t="s">
        <v>107</v>
      </c>
      <c r="E328" s="50" t="s">
        <v>994</v>
      </c>
      <c r="F328" s="52" t="s">
        <v>2420</v>
      </c>
      <c r="G328" s="52" t="s">
        <v>1672</v>
      </c>
      <c r="H328" s="52" t="s">
        <v>1687</v>
      </c>
      <c r="I328" s="50" t="s">
        <v>736</v>
      </c>
      <c r="J328" s="52" t="s">
        <v>2421</v>
      </c>
      <c r="K328" s="50" t="s">
        <v>738</v>
      </c>
      <c r="L328" s="50" t="s">
        <v>499</v>
      </c>
      <c r="M328" s="50" t="s">
        <v>500</v>
      </c>
      <c r="N328" s="52" t="s">
        <v>996</v>
      </c>
      <c r="O328" s="50" t="s">
        <v>314</v>
      </c>
      <c r="P328" s="52" t="s">
        <v>2364</v>
      </c>
      <c r="Q328" s="52" t="s">
        <v>2365</v>
      </c>
      <c r="R328" s="50" t="s">
        <v>1566</v>
      </c>
      <c r="S328" s="50" t="s">
        <v>426</v>
      </c>
      <c r="T328" s="50" t="s">
        <v>322</v>
      </c>
      <c r="U328" s="52" t="s">
        <v>1280</v>
      </c>
      <c r="V328" s="52" t="s">
        <v>1689</v>
      </c>
      <c r="W328" s="53" t="s">
        <v>314</v>
      </c>
      <c r="X328" s="52" t="s">
        <v>2366</v>
      </c>
      <c r="Y328" s="52" t="s">
        <v>2422</v>
      </c>
    </row>
    <row r="329" spans="1:25">
      <c r="A329" s="50">
        <v>326</v>
      </c>
      <c r="B329" s="51" t="s">
        <v>2423</v>
      </c>
      <c r="C329" s="52" t="s">
        <v>2424</v>
      </c>
      <c r="D329" s="50" t="s">
        <v>107</v>
      </c>
      <c r="E329" s="50" t="s">
        <v>994</v>
      </c>
      <c r="F329" s="52" t="s">
        <v>2425</v>
      </c>
      <c r="G329" s="52" t="s">
        <v>1694</v>
      </c>
      <c r="H329" s="52" t="s">
        <v>1695</v>
      </c>
      <c r="I329" s="50" t="s">
        <v>736</v>
      </c>
      <c r="J329" s="52" t="s">
        <v>2426</v>
      </c>
      <c r="K329" s="50" t="s">
        <v>738</v>
      </c>
      <c r="L329" s="50" t="s">
        <v>499</v>
      </c>
      <c r="M329" s="50" t="s">
        <v>500</v>
      </c>
      <c r="N329" s="52" t="s">
        <v>996</v>
      </c>
      <c r="O329" s="50" t="s">
        <v>314</v>
      </c>
      <c r="P329" s="52" t="s">
        <v>2364</v>
      </c>
      <c r="Q329" s="52" t="s">
        <v>2365</v>
      </c>
      <c r="R329" s="50" t="s">
        <v>1566</v>
      </c>
      <c r="S329" s="50" t="s">
        <v>426</v>
      </c>
      <c r="T329" s="50" t="s">
        <v>322</v>
      </c>
      <c r="U329" s="52" t="s">
        <v>1280</v>
      </c>
      <c r="V329" s="52" t="s">
        <v>2427</v>
      </c>
      <c r="W329" s="53" t="s">
        <v>314</v>
      </c>
      <c r="X329" s="52" t="s">
        <v>2366</v>
      </c>
      <c r="Y329" s="52" t="s">
        <v>2428</v>
      </c>
    </row>
    <row r="330" spans="1:25">
      <c r="A330" s="50">
        <v>327</v>
      </c>
      <c r="B330" s="51" t="s">
        <v>2429</v>
      </c>
      <c r="C330" s="52" t="s">
        <v>2430</v>
      </c>
      <c r="D330" s="50" t="s">
        <v>107</v>
      </c>
      <c r="E330" s="50" t="s">
        <v>994</v>
      </c>
      <c r="F330" s="52" t="s">
        <v>2431</v>
      </c>
      <c r="G330" s="52" t="s">
        <v>1694</v>
      </c>
      <c r="H330" s="52" t="s">
        <v>1702</v>
      </c>
      <c r="I330" s="50" t="s">
        <v>736</v>
      </c>
      <c r="J330" s="52" t="s">
        <v>2432</v>
      </c>
      <c r="K330" s="50" t="s">
        <v>738</v>
      </c>
      <c r="L330" s="50" t="s">
        <v>499</v>
      </c>
      <c r="M330" s="50" t="s">
        <v>500</v>
      </c>
      <c r="N330" s="52" t="s">
        <v>996</v>
      </c>
      <c r="O330" s="50" t="s">
        <v>314</v>
      </c>
      <c r="P330" s="52" t="s">
        <v>2364</v>
      </c>
      <c r="Q330" s="52" t="s">
        <v>2365</v>
      </c>
      <c r="R330" s="50" t="s">
        <v>1566</v>
      </c>
      <c r="S330" s="50" t="s">
        <v>426</v>
      </c>
      <c r="T330" s="50" t="s">
        <v>322</v>
      </c>
      <c r="U330" s="52" t="s">
        <v>1280</v>
      </c>
      <c r="V330" s="52" t="s">
        <v>1704</v>
      </c>
      <c r="W330" s="53" t="s">
        <v>314</v>
      </c>
      <c r="X330" s="52" t="s">
        <v>2366</v>
      </c>
      <c r="Y330" s="52" t="s">
        <v>2433</v>
      </c>
    </row>
    <row r="331" spans="1:25">
      <c r="A331" s="50">
        <v>328</v>
      </c>
      <c r="B331" s="51" t="s">
        <v>2434</v>
      </c>
      <c r="C331" s="52" t="s">
        <v>2435</v>
      </c>
      <c r="D331" s="50" t="s">
        <v>107</v>
      </c>
      <c r="E331" s="50" t="s">
        <v>994</v>
      </c>
      <c r="F331" s="52" t="s">
        <v>2436</v>
      </c>
      <c r="G331" s="52" t="s">
        <v>1802</v>
      </c>
      <c r="H331" s="52" t="s">
        <v>1803</v>
      </c>
      <c r="I331" s="50" t="s">
        <v>736</v>
      </c>
      <c r="J331" s="52" t="s">
        <v>2437</v>
      </c>
      <c r="K331" s="50" t="s">
        <v>738</v>
      </c>
      <c r="L331" s="50" t="s">
        <v>499</v>
      </c>
      <c r="M331" s="50" t="s">
        <v>500</v>
      </c>
      <c r="N331" s="52" t="s">
        <v>996</v>
      </c>
      <c r="O331" s="50" t="s">
        <v>314</v>
      </c>
      <c r="P331" s="52" t="s">
        <v>2364</v>
      </c>
      <c r="Q331" s="52" t="s">
        <v>2365</v>
      </c>
      <c r="R331" s="50" t="s">
        <v>1566</v>
      </c>
      <c r="S331" s="50" t="s">
        <v>426</v>
      </c>
      <c r="T331" s="50" t="s">
        <v>322</v>
      </c>
      <c r="U331" s="52" t="s">
        <v>1280</v>
      </c>
      <c r="V331" s="52" t="s">
        <v>1805</v>
      </c>
      <c r="W331" s="53" t="s">
        <v>314</v>
      </c>
      <c r="X331" s="52" t="s">
        <v>2366</v>
      </c>
      <c r="Y331" s="52" t="s">
        <v>2438</v>
      </c>
    </row>
    <row r="332" spans="1:25">
      <c r="A332" s="50">
        <v>329</v>
      </c>
      <c r="B332" s="51" t="s">
        <v>2439</v>
      </c>
      <c r="C332" s="52" t="s">
        <v>2440</v>
      </c>
      <c r="D332" s="50" t="s">
        <v>107</v>
      </c>
      <c r="E332" s="50" t="s">
        <v>994</v>
      </c>
      <c r="F332" s="52" t="s">
        <v>2441</v>
      </c>
      <c r="G332" s="52" t="s">
        <v>1802</v>
      </c>
      <c r="H332" s="52" t="s">
        <v>1695</v>
      </c>
      <c r="I332" s="50" t="s">
        <v>736</v>
      </c>
      <c r="J332" s="52" t="s">
        <v>2442</v>
      </c>
      <c r="K332" s="50" t="s">
        <v>738</v>
      </c>
      <c r="L332" s="50" t="s">
        <v>499</v>
      </c>
      <c r="M332" s="50" t="s">
        <v>500</v>
      </c>
      <c r="N332" s="52" t="s">
        <v>996</v>
      </c>
      <c r="O332" s="50" t="s">
        <v>314</v>
      </c>
      <c r="P332" s="52" t="s">
        <v>2364</v>
      </c>
      <c r="Q332" s="52" t="s">
        <v>2365</v>
      </c>
      <c r="R332" s="50" t="s">
        <v>1566</v>
      </c>
      <c r="S332" s="50" t="s">
        <v>426</v>
      </c>
      <c r="T332" s="50" t="s">
        <v>322</v>
      </c>
      <c r="U332" s="52" t="s">
        <v>1280</v>
      </c>
      <c r="V332" s="52" t="s">
        <v>1811</v>
      </c>
      <c r="W332" s="53" t="s">
        <v>314</v>
      </c>
      <c r="X332" s="52" t="s">
        <v>2366</v>
      </c>
      <c r="Y332" s="52" t="s">
        <v>2443</v>
      </c>
    </row>
    <row r="333" spans="1:25">
      <c r="A333" s="50">
        <v>330</v>
      </c>
      <c r="B333" s="51" t="s">
        <v>2444</v>
      </c>
      <c r="C333" s="52" t="s">
        <v>2445</v>
      </c>
      <c r="D333" s="50" t="s">
        <v>107</v>
      </c>
      <c r="E333" s="50" t="s">
        <v>994</v>
      </c>
      <c r="F333" s="52" t="s">
        <v>2446</v>
      </c>
      <c r="G333" s="52" t="s">
        <v>1802</v>
      </c>
      <c r="H333" s="52" t="s">
        <v>1702</v>
      </c>
      <c r="I333" s="50" t="s">
        <v>736</v>
      </c>
      <c r="J333" s="52" t="s">
        <v>2447</v>
      </c>
      <c r="K333" s="50" t="s">
        <v>738</v>
      </c>
      <c r="L333" s="50" t="s">
        <v>499</v>
      </c>
      <c r="M333" s="50" t="s">
        <v>500</v>
      </c>
      <c r="N333" s="52" t="s">
        <v>996</v>
      </c>
      <c r="O333" s="50" t="s">
        <v>314</v>
      </c>
      <c r="P333" s="52" t="s">
        <v>2364</v>
      </c>
      <c r="Q333" s="52" t="s">
        <v>2365</v>
      </c>
      <c r="R333" s="50" t="s">
        <v>1566</v>
      </c>
      <c r="S333" s="50" t="s">
        <v>426</v>
      </c>
      <c r="T333" s="50" t="s">
        <v>322</v>
      </c>
      <c r="U333" s="52" t="s">
        <v>1280</v>
      </c>
      <c r="V333" s="52" t="s">
        <v>1817</v>
      </c>
      <c r="W333" s="53" t="s">
        <v>314</v>
      </c>
      <c r="X333" s="52" t="s">
        <v>2366</v>
      </c>
      <c r="Y333" s="52" t="s">
        <v>2448</v>
      </c>
    </row>
    <row r="334" spans="1:25">
      <c r="A334" s="50">
        <v>331</v>
      </c>
      <c r="B334" s="51" t="s">
        <v>2449</v>
      </c>
      <c r="C334" s="52" t="s">
        <v>2450</v>
      </c>
      <c r="D334" s="50" t="s">
        <v>107</v>
      </c>
      <c r="E334" s="50" t="s">
        <v>994</v>
      </c>
      <c r="F334" s="52" t="s">
        <v>2451</v>
      </c>
      <c r="G334" s="52" t="s">
        <v>1822</v>
      </c>
      <c r="H334" s="52" t="s">
        <v>1823</v>
      </c>
      <c r="I334" s="50" t="s">
        <v>736</v>
      </c>
      <c r="J334" s="52" t="s">
        <v>2452</v>
      </c>
      <c r="K334" s="50" t="s">
        <v>738</v>
      </c>
      <c r="L334" s="50" t="s">
        <v>499</v>
      </c>
      <c r="M334" s="50" t="s">
        <v>500</v>
      </c>
      <c r="N334" s="52" t="s">
        <v>996</v>
      </c>
      <c r="O334" s="50" t="s">
        <v>314</v>
      </c>
      <c r="P334" s="52" t="s">
        <v>2364</v>
      </c>
      <c r="Q334" s="52" t="s">
        <v>2365</v>
      </c>
      <c r="R334" s="50" t="s">
        <v>1566</v>
      </c>
      <c r="S334" s="50" t="s">
        <v>426</v>
      </c>
      <c r="T334" s="50" t="s">
        <v>322</v>
      </c>
      <c r="U334" s="52" t="s">
        <v>1280</v>
      </c>
      <c r="V334" s="52" t="s">
        <v>1825</v>
      </c>
      <c r="W334" s="53" t="s">
        <v>314</v>
      </c>
      <c r="X334" s="52" t="s">
        <v>2366</v>
      </c>
      <c r="Y334" s="52" t="s">
        <v>2453</v>
      </c>
    </row>
    <row r="335" spans="1:25">
      <c r="A335" s="50">
        <v>332</v>
      </c>
      <c r="B335" s="51" t="s">
        <v>2454</v>
      </c>
      <c r="C335" s="52" t="s">
        <v>2455</v>
      </c>
      <c r="D335" s="50" t="s">
        <v>107</v>
      </c>
      <c r="E335" s="50" t="s">
        <v>994</v>
      </c>
      <c r="F335" s="52" t="s">
        <v>2456</v>
      </c>
      <c r="G335" s="52" t="s">
        <v>1822</v>
      </c>
      <c r="H335" s="52" t="s">
        <v>1702</v>
      </c>
      <c r="I335" s="50" t="s">
        <v>736</v>
      </c>
      <c r="J335" s="52" t="s">
        <v>2457</v>
      </c>
      <c r="K335" s="50" t="s">
        <v>738</v>
      </c>
      <c r="L335" s="50" t="s">
        <v>499</v>
      </c>
      <c r="M335" s="50" t="s">
        <v>500</v>
      </c>
      <c r="N335" s="52" t="s">
        <v>996</v>
      </c>
      <c r="O335" s="50" t="s">
        <v>314</v>
      </c>
      <c r="P335" s="52" t="s">
        <v>2364</v>
      </c>
      <c r="Q335" s="52" t="s">
        <v>2365</v>
      </c>
      <c r="R335" s="50" t="s">
        <v>1566</v>
      </c>
      <c r="S335" s="50" t="s">
        <v>426</v>
      </c>
      <c r="T335" s="50" t="s">
        <v>322</v>
      </c>
      <c r="U335" s="52" t="s">
        <v>1280</v>
      </c>
      <c r="V335" s="52" t="s">
        <v>1831</v>
      </c>
      <c r="W335" s="53" t="s">
        <v>314</v>
      </c>
      <c r="X335" s="52" t="s">
        <v>2366</v>
      </c>
      <c r="Y335" s="52" t="s">
        <v>2458</v>
      </c>
    </row>
    <row r="336" spans="1:25">
      <c r="A336" s="54">
        <v>333</v>
      </c>
      <c r="B336" s="55" t="s">
        <v>866</v>
      </c>
      <c r="C336" s="56" t="s">
        <v>2459</v>
      </c>
      <c r="D336" s="54" t="s">
        <v>2460</v>
      </c>
      <c r="E336" s="54" t="s">
        <v>2461</v>
      </c>
      <c r="F336" s="56" t="s"/>
      <c r="G336" s="56" t="s"/>
      <c r="H336" s="56" t="s"/>
      <c r="I336" s="54" t="s">
        <v>2462</v>
      </c>
      <c r="J336" s="56" t="s">
        <v>2463</v>
      </c>
      <c r="K336" s="54" t="s">
        <v>2464</v>
      </c>
      <c r="L336" s="54" t="s">
        <v>1563</v>
      </c>
      <c r="M336" s="54" t="s">
        <v>314</v>
      </c>
      <c r="N336" s="56" t="s">
        <v>314</v>
      </c>
      <c r="O336" s="54" t="s">
        <v>314</v>
      </c>
      <c r="P336" s="56" t="s">
        <v>2465</v>
      </c>
      <c r="Q336" s="56" t="s">
        <v>2466</v>
      </c>
      <c r="R336" s="54" t="s">
        <v>2467</v>
      </c>
      <c r="S336" s="54" t="s">
        <v>2468</v>
      </c>
      <c r="T336" s="54" t="s">
        <v>314</v>
      </c>
      <c r="U336" s="56" t="s">
        <v>2469</v>
      </c>
      <c r="V336" s="56" t="s">
        <v>2470</v>
      </c>
      <c r="W336" s="57" t="s">
        <v>2471</v>
      </c>
      <c r="X336" s="56" t="s">
        <v>2472</v>
      </c>
      <c r="Y336" s="56" t="s">
        <v>314</v>
      </c>
    </row>
    <row r="337" spans="1:25">
      <c r="A337" s="54">
        <v>334</v>
      </c>
      <c r="B337" s="55" t="s">
        <v>873</v>
      </c>
      <c r="C337" s="56" t="s">
        <v>2473</v>
      </c>
      <c r="D337" s="54" t="s">
        <v>2460</v>
      </c>
      <c r="E337" s="54" t="s">
        <v>2461</v>
      </c>
      <c r="F337" s="56" t="s"/>
      <c r="G337" s="56" t="s"/>
      <c r="H337" s="56" t="s"/>
      <c r="I337" s="54" t="s">
        <v>2462</v>
      </c>
      <c r="J337" s="56" t="s">
        <v>2474</v>
      </c>
      <c r="K337" s="54" t="s">
        <v>984</v>
      </c>
      <c r="L337" s="54" t="s">
        <v>1563</v>
      </c>
      <c r="M337" s="54" t="s">
        <v>314</v>
      </c>
      <c r="N337" s="56" t="s">
        <v>314</v>
      </c>
      <c r="O337" s="54" t="s">
        <v>314</v>
      </c>
      <c r="P337" s="56" t="s">
        <v>2475</v>
      </c>
      <c r="Q337" s="56" t="s">
        <v>2466</v>
      </c>
      <c r="R337" s="54" t="s">
        <v>2467</v>
      </c>
      <c r="S337" s="54" t="s">
        <v>2476</v>
      </c>
      <c r="T337" s="54" t="s">
        <v>314</v>
      </c>
      <c r="U337" s="56" t="s">
        <v>2469</v>
      </c>
      <c r="V337" s="56" t="s">
        <v>2470</v>
      </c>
      <c r="W337" s="57" t="s">
        <v>2477</v>
      </c>
      <c r="X337" s="56" t="s">
        <v>2472</v>
      </c>
      <c r="Y337" s="56" t="s">
        <v>2478</v>
      </c>
    </row>
    <row r="338" spans="1:25">
      <c r="A338" s="54">
        <v>335</v>
      </c>
      <c r="B338" s="55" t="s">
        <v>550</v>
      </c>
      <c r="C338" s="56" t="s">
        <v>533</v>
      </c>
      <c r="D338" s="54" t="s">
        <v>2460</v>
      </c>
      <c r="E338" s="54" t="s">
        <v>2461</v>
      </c>
      <c r="F338" s="56" t="s"/>
      <c r="G338" s="56" t="s"/>
      <c r="H338" s="56" t="s"/>
      <c r="I338" s="54" t="s">
        <v>2462</v>
      </c>
      <c r="J338" s="56" t="s">
        <v>2479</v>
      </c>
      <c r="K338" s="54" t="s">
        <v>536</v>
      </c>
      <c r="L338" s="54" t="s">
        <v>1563</v>
      </c>
      <c r="M338" s="54" t="s">
        <v>314</v>
      </c>
      <c r="N338" s="56" t="s">
        <v>314</v>
      </c>
      <c r="O338" s="54" t="s">
        <v>314</v>
      </c>
      <c r="P338" s="56" t="s">
        <v>2475</v>
      </c>
      <c r="Q338" s="56" t="s">
        <v>2466</v>
      </c>
      <c r="R338" s="54" t="s">
        <v>2467</v>
      </c>
      <c r="S338" s="54" t="s">
        <v>2476</v>
      </c>
      <c r="T338" s="54" t="s">
        <v>314</v>
      </c>
      <c r="U338" s="56" t="s">
        <v>1023</v>
      </c>
      <c r="V338" s="56" t="s">
        <v>2470</v>
      </c>
      <c r="W338" s="57" t="s">
        <v>2480</v>
      </c>
      <c r="X338" s="56" t="s">
        <v>2472</v>
      </c>
      <c r="Y338" s="56" t="s">
        <v>2481</v>
      </c>
    </row>
    <row r="339" spans="1:25">
      <c r="A339" s="54">
        <v>336</v>
      </c>
      <c r="B339" s="55" t="s">
        <v>828</v>
      </c>
      <c r="C339" s="56" t="s">
        <v>2482</v>
      </c>
      <c r="D339" s="54" t="s">
        <v>2460</v>
      </c>
      <c r="E339" s="54" t="s">
        <v>2461</v>
      </c>
      <c r="F339" s="56" t="s"/>
      <c r="G339" s="56" t="s"/>
      <c r="H339" s="56" t="s"/>
      <c r="I339" s="54" t="s">
        <v>2462</v>
      </c>
      <c r="J339" s="56" t="s">
        <v>2483</v>
      </c>
      <c r="K339" s="54" t="s">
        <v>820</v>
      </c>
      <c r="L339" s="54" t="s">
        <v>1563</v>
      </c>
      <c r="M339" s="54" t="s">
        <v>314</v>
      </c>
      <c r="N339" s="56" t="s">
        <v>314</v>
      </c>
      <c r="O339" s="54" t="s">
        <v>314</v>
      </c>
      <c r="P339" s="56" t="s">
        <v>2475</v>
      </c>
      <c r="Q339" s="56" t="s">
        <v>2466</v>
      </c>
      <c r="R339" s="54" t="s">
        <v>2467</v>
      </c>
      <c r="S339" s="54" t="s">
        <v>2476</v>
      </c>
      <c r="T339" s="54" t="s">
        <v>314</v>
      </c>
      <c r="U339" s="56" t="s">
        <v>1023</v>
      </c>
      <c r="V339" s="56" t="s">
        <v>2470</v>
      </c>
      <c r="W339" s="57" t="s">
        <v>2484</v>
      </c>
      <c r="X339" s="56" t="s">
        <v>2472</v>
      </c>
      <c r="Y339" s="56" t="s">
        <v>2485</v>
      </c>
    </row>
    <row r="340" spans="1:25">
      <c r="A340" s="54">
        <v>337</v>
      </c>
      <c r="B340" s="55" t="s">
        <v>931</v>
      </c>
      <c r="C340" s="56" t="s">
        <v>2486</v>
      </c>
      <c r="D340" s="54" t="s">
        <v>2460</v>
      </c>
      <c r="E340" s="54" t="s">
        <v>2461</v>
      </c>
      <c r="F340" s="56" t="s"/>
      <c r="G340" s="56" t="s"/>
      <c r="H340" s="56" t="s"/>
      <c r="I340" s="54" t="s">
        <v>2462</v>
      </c>
      <c r="J340" s="56" t="s">
        <v>2487</v>
      </c>
      <c r="K340" s="54" t="s">
        <v>2488</v>
      </c>
      <c r="L340" s="54" t="s">
        <v>1563</v>
      </c>
      <c r="M340" s="54" t="s">
        <v>314</v>
      </c>
      <c r="N340" s="56" t="s">
        <v>314</v>
      </c>
      <c r="O340" s="54" t="s">
        <v>314</v>
      </c>
      <c r="P340" s="56" t="s">
        <v>2475</v>
      </c>
      <c r="Q340" s="56" t="s">
        <v>2466</v>
      </c>
      <c r="R340" s="54" t="s">
        <v>2467</v>
      </c>
      <c r="S340" s="54" t="s">
        <v>2476</v>
      </c>
      <c r="T340" s="54" t="s">
        <v>314</v>
      </c>
      <c r="U340" s="56" t="s">
        <v>1023</v>
      </c>
      <c r="V340" s="56" t="s">
        <v>2470</v>
      </c>
      <c r="W340" s="57" t="s">
        <v>2489</v>
      </c>
      <c r="X340" s="56" t="s">
        <v>2472</v>
      </c>
      <c r="Y340" s="56" t="s">
        <v>2490</v>
      </c>
    </row>
    <row r="341" spans="1:25">
      <c r="A341" s="54">
        <v>338</v>
      </c>
      <c r="B341" s="55" t="s">
        <v>473</v>
      </c>
      <c r="C341" s="56" t="s">
        <v>2491</v>
      </c>
      <c r="D341" s="54" t="s">
        <v>2460</v>
      </c>
      <c r="E341" s="54" t="s">
        <v>2461</v>
      </c>
      <c r="F341" s="56" t="s"/>
      <c r="G341" s="56" t="s"/>
      <c r="H341" s="56" t="s"/>
      <c r="I341" s="54" t="s">
        <v>2462</v>
      </c>
      <c r="J341" s="56" t="s">
        <v>2492</v>
      </c>
      <c r="K341" s="54" t="s">
        <v>984</v>
      </c>
      <c r="L341" s="54" t="s">
        <v>1563</v>
      </c>
      <c r="M341" s="54" t="s">
        <v>314</v>
      </c>
      <c r="N341" s="56" t="s">
        <v>314</v>
      </c>
      <c r="O341" s="54" t="s">
        <v>314</v>
      </c>
      <c r="P341" s="56" t="s">
        <v>2475</v>
      </c>
      <c r="Q341" s="56" t="s">
        <v>2466</v>
      </c>
      <c r="R341" s="54" t="s">
        <v>2467</v>
      </c>
      <c r="S341" s="54" t="s">
        <v>2476</v>
      </c>
      <c r="T341" s="54" t="s">
        <v>314</v>
      </c>
      <c r="U341" s="56" t="s">
        <v>1023</v>
      </c>
      <c r="V341" s="56" t="s">
        <v>2470</v>
      </c>
      <c r="W341" s="57" t="s">
        <v>2493</v>
      </c>
      <c r="X341" s="56" t="s">
        <v>2472</v>
      </c>
      <c r="Y341" s="56" t="s">
        <v>2494</v>
      </c>
    </row>
    <row r="342" spans="1:25">
      <c r="A342" s="54">
        <v>339</v>
      </c>
      <c r="B342" s="55" t="s">
        <v>482</v>
      </c>
      <c r="C342" s="56" t="s">
        <v>2495</v>
      </c>
      <c r="D342" s="54" t="s">
        <v>2460</v>
      </c>
      <c r="E342" s="54" t="s">
        <v>2461</v>
      </c>
      <c r="F342" s="56" t="s"/>
      <c r="G342" s="56" t="s"/>
      <c r="H342" s="56" t="s"/>
      <c r="I342" s="54" t="s">
        <v>2462</v>
      </c>
      <c r="J342" s="56" t="s">
        <v>2496</v>
      </c>
      <c r="K342" s="54" t="s">
        <v>984</v>
      </c>
      <c r="L342" s="54" t="s">
        <v>1563</v>
      </c>
      <c r="M342" s="54" t="s">
        <v>314</v>
      </c>
      <c r="N342" s="56" t="s">
        <v>314</v>
      </c>
      <c r="O342" s="54" t="s">
        <v>314</v>
      </c>
      <c r="P342" s="56" t="s">
        <v>2475</v>
      </c>
      <c r="Q342" s="56" t="s">
        <v>2466</v>
      </c>
      <c r="R342" s="54" t="s">
        <v>2467</v>
      </c>
      <c r="S342" s="54" t="s">
        <v>2476</v>
      </c>
      <c r="T342" s="54" t="s">
        <v>314</v>
      </c>
      <c r="U342" s="56" t="s">
        <v>1023</v>
      </c>
      <c r="V342" s="56" t="s">
        <v>2470</v>
      </c>
      <c r="W342" s="57" t="s">
        <v>2497</v>
      </c>
      <c r="X342" s="56" t="s">
        <v>2472</v>
      </c>
      <c r="Y342" s="56" t="s">
        <v>2498</v>
      </c>
    </row>
    <row r="343" spans="1:25">
      <c r="A343" s="54">
        <v>340</v>
      </c>
      <c r="B343" s="55" t="s">
        <v>742</v>
      </c>
      <c r="C343" s="56" t="s">
        <v>2499</v>
      </c>
      <c r="D343" s="54" t="s">
        <v>2460</v>
      </c>
      <c r="E343" s="54" t="s">
        <v>2461</v>
      </c>
      <c r="F343" s="56" t="s"/>
      <c r="G343" s="56" t="s"/>
      <c r="H343" s="56" t="s"/>
      <c r="I343" s="54" t="s">
        <v>2462</v>
      </c>
      <c r="J343" s="56" t="s">
        <v>2500</v>
      </c>
      <c r="K343" s="54" t="s">
        <v>2501</v>
      </c>
      <c r="L343" s="54" t="s">
        <v>1563</v>
      </c>
      <c r="M343" s="54" t="s">
        <v>314</v>
      </c>
      <c r="N343" s="56" t="s">
        <v>314</v>
      </c>
      <c r="O343" s="54" t="s">
        <v>314</v>
      </c>
      <c r="P343" s="56" t="s">
        <v>2475</v>
      </c>
      <c r="Q343" s="56" t="s">
        <v>2466</v>
      </c>
      <c r="R343" s="54" t="s">
        <v>2467</v>
      </c>
      <c r="S343" s="54" t="s">
        <v>2476</v>
      </c>
      <c r="T343" s="54" t="s">
        <v>314</v>
      </c>
      <c r="U343" s="56" t="s">
        <v>1023</v>
      </c>
      <c r="V343" s="56" t="s">
        <v>2470</v>
      </c>
      <c r="W343" s="57" t="s">
        <v>2502</v>
      </c>
      <c r="X343" s="56" t="s">
        <v>2472</v>
      </c>
      <c r="Y343" s="56" t="s">
        <v>2503</v>
      </c>
    </row>
    <row r="344" spans="1:25">
      <c r="A344" s="54">
        <v>341</v>
      </c>
      <c r="B344" s="55" t="s">
        <v>905</v>
      </c>
      <c r="C344" s="56" t="s">
        <v>2504</v>
      </c>
      <c r="D344" s="54" t="s">
        <v>2460</v>
      </c>
      <c r="E344" s="54" t="s">
        <v>2461</v>
      </c>
      <c r="F344" s="56" t="s"/>
      <c r="G344" s="56" t="s"/>
      <c r="H344" s="56" t="s"/>
      <c r="I344" s="54" t="s">
        <v>2462</v>
      </c>
      <c r="J344" s="56" t="s">
        <v>2505</v>
      </c>
      <c r="K344" s="54" t="s">
        <v>984</v>
      </c>
      <c r="L344" s="54" t="s">
        <v>1563</v>
      </c>
      <c r="M344" s="54" t="s">
        <v>314</v>
      </c>
      <c r="N344" s="56" t="s">
        <v>314</v>
      </c>
      <c r="O344" s="54" t="s">
        <v>314</v>
      </c>
      <c r="P344" s="56" t="s">
        <v>2475</v>
      </c>
      <c r="Q344" s="56" t="s">
        <v>2466</v>
      </c>
      <c r="R344" s="54" t="s">
        <v>2467</v>
      </c>
      <c r="S344" s="54" t="s">
        <v>2476</v>
      </c>
      <c r="T344" s="54" t="s">
        <v>314</v>
      </c>
      <c r="U344" s="56" t="s">
        <v>1023</v>
      </c>
      <c r="V344" s="56" t="s">
        <v>2470</v>
      </c>
      <c r="W344" s="57" t="s">
        <v>2506</v>
      </c>
      <c r="X344" s="56" t="s">
        <v>2472</v>
      </c>
      <c r="Y344" s="56" t="s">
        <v>2507</v>
      </c>
    </row>
    <row r="345" spans="1:25">
      <c r="A345" s="54">
        <v>342</v>
      </c>
      <c r="B345" s="55" t="s">
        <v>751</v>
      </c>
      <c r="C345" s="56" t="s">
        <v>2508</v>
      </c>
      <c r="D345" s="54" t="s">
        <v>2460</v>
      </c>
      <c r="E345" s="54" t="s">
        <v>2461</v>
      </c>
      <c r="F345" s="56" t="s"/>
      <c r="G345" s="56" t="s"/>
      <c r="H345" s="56" t="s"/>
      <c r="I345" s="54" t="s">
        <v>2462</v>
      </c>
      <c r="J345" s="56" t="s">
        <v>2509</v>
      </c>
      <c r="K345" s="54" t="s">
        <v>2501</v>
      </c>
      <c r="L345" s="54" t="s">
        <v>1563</v>
      </c>
      <c r="M345" s="54" t="s">
        <v>314</v>
      </c>
      <c r="N345" s="56" t="s">
        <v>314</v>
      </c>
      <c r="O345" s="54" t="s">
        <v>314</v>
      </c>
      <c r="P345" s="56" t="s">
        <v>2510</v>
      </c>
      <c r="Q345" s="56" t="s">
        <v>2466</v>
      </c>
      <c r="R345" s="54" t="s">
        <v>2467</v>
      </c>
      <c r="S345" s="54" t="s">
        <v>2476</v>
      </c>
      <c r="T345" s="54" t="s">
        <v>314</v>
      </c>
      <c r="U345" s="56" t="s">
        <v>1023</v>
      </c>
      <c r="V345" s="56" t="s">
        <v>2470</v>
      </c>
      <c r="W345" s="57" t="s">
        <v>2511</v>
      </c>
      <c r="X345" s="56" t="s">
        <v>2472</v>
      </c>
      <c r="Y345" s="56" t="s">
        <v>2512</v>
      </c>
    </row>
    <row r="346" spans="1:25">
      <c r="A346" s="54">
        <v>343</v>
      </c>
      <c r="B346" s="55" t="s">
        <v>657</v>
      </c>
      <c r="C346" s="56" t="s">
        <v>2513</v>
      </c>
      <c r="D346" s="54" t="s">
        <v>2460</v>
      </c>
      <c r="E346" s="54" t="s">
        <v>2461</v>
      </c>
      <c r="F346" s="56" t="s"/>
      <c r="G346" s="56" t="s"/>
      <c r="H346" s="56" t="s"/>
      <c r="I346" s="54" t="s">
        <v>2462</v>
      </c>
      <c r="J346" s="56" t="s">
        <v>2514</v>
      </c>
      <c r="K346" s="54" t="s">
        <v>498</v>
      </c>
      <c r="L346" s="54" t="s">
        <v>1563</v>
      </c>
      <c r="M346" s="54" t="s">
        <v>314</v>
      </c>
      <c r="N346" s="56" t="s">
        <v>314</v>
      </c>
      <c r="O346" s="54" t="s">
        <v>314</v>
      </c>
      <c r="P346" s="56" t="s">
        <v>2515</v>
      </c>
      <c r="Q346" s="56" t="s">
        <v>2466</v>
      </c>
      <c r="R346" s="54" t="s">
        <v>2467</v>
      </c>
      <c r="S346" s="54" t="s">
        <v>2476</v>
      </c>
      <c r="T346" s="54" t="s">
        <v>314</v>
      </c>
      <c r="U346" s="56" t="s">
        <v>1023</v>
      </c>
      <c r="V346" s="56" t="s">
        <v>2470</v>
      </c>
      <c r="W346" s="57" t="s">
        <v>2516</v>
      </c>
      <c r="X346" s="56" t="s">
        <v>2472</v>
      </c>
      <c r="Y346" s="56" t="s">
        <v>314</v>
      </c>
    </row>
    <row r="347" spans="1:25">
      <c r="A347" s="54">
        <v>344</v>
      </c>
      <c r="B347" s="55" t="s">
        <v>635</v>
      </c>
      <c r="C347" s="56" t="s">
        <v>2517</v>
      </c>
      <c r="D347" s="54" t="s">
        <v>2518</v>
      </c>
      <c r="E347" s="54" t="s">
        <v>2461</v>
      </c>
      <c r="F347" s="56" t="s"/>
      <c r="G347" s="56" t="s"/>
      <c r="H347" s="56" t="s"/>
      <c r="I347" s="54" t="s">
        <v>2519</v>
      </c>
      <c r="J347" s="56" t="s">
        <v>2520</v>
      </c>
      <c r="K347" s="54" t="s">
        <v>2521</v>
      </c>
      <c r="L347" s="54" t="s">
        <v>1563</v>
      </c>
      <c r="M347" s="54" t="s">
        <v>314</v>
      </c>
      <c r="N347" s="56" t="s">
        <v>314</v>
      </c>
      <c r="O347" s="54" t="s">
        <v>314</v>
      </c>
      <c r="P347" s="56" t="s">
        <v>2522</v>
      </c>
      <c r="Q347" s="56" t="s">
        <v>2466</v>
      </c>
      <c r="R347" s="54" t="s">
        <v>2467</v>
      </c>
      <c r="S347" s="54" t="s">
        <v>2476</v>
      </c>
      <c r="T347" s="54" t="s">
        <v>314</v>
      </c>
      <c r="U347" s="56" t="s">
        <v>1023</v>
      </c>
      <c r="V347" s="56" t="s">
        <v>2470</v>
      </c>
      <c r="W347" s="57" t="s">
        <v>2523</v>
      </c>
      <c r="X347" s="56" t="s">
        <v>2472</v>
      </c>
      <c r="Y347" s="56" t="s">
        <v>2524</v>
      </c>
    </row>
    <row r="348" spans="1:25">
      <c r="A348" s="54">
        <v>345</v>
      </c>
      <c r="B348" s="55" t="s">
        <v>2525</v>
      </c>
      <c r="C348" s="56" t="s">
        <v>2526</v>
      </c>
      <c r="D348" s="54" t="s">
        <v>2518</v>
      </c>
      <c r="E348" s="54" t="s">
        <v>2461</v>
      </c>
      <c r="F348" s="56" t="s"/>
      <c r="G348" s="56" t="s"/>
      <c r="H348" s="56" t="s"/>
      <c r="I348" s="54" t="s">
        <v>2519</v>
      </c>
      <c r="J348" s="56" t="s">
        <v>2527</v>
      </c>
      <c r="K348" s="54" t="s">
        <v>2528</v>
      </c>
      <c r="L348" s="54" t="s">
        <v>1563</v>
      </c>
      <c r="M348" s="54" t="s">
        <v>314</v>
      </c>
      <c r="N348" s="56" t="s">
        <v>314</v>
      </c>
      <c r="O348" s="54" t="s">
        <v>314</v>
      </c>
      <c r="P348" s="56" t="s">
        <v>2522</v>
      </c>
      <c r="Q348" s="56" t="s">
        <v>2466</v>
      </c>
      <c r="R348" s="54" t="s">
        <v>2467</v>
      </c>
      <c r="S348" s="54" t="s">
        <v>2529</v>
      </c>
      <c r="T348" s="54" t="s">
        <v>314</v>
      </c>
      <c r="U348" s="56" t="s">
        <v>1023</v>
      </c>
      <c r="V348" s="56" t="s">
        <v>2470</v>
      </c>
      <c r="W348" s="57" t="s">
        <v>2530</v>
      </c>
      <c r="X348" s="56" t="s">
        <v>2472</v>
      </c>
      <c r="Y348" s="56" t="s">
        <v>2531</v>
      </c>
    </row>
    <row r="349" spans="1:25">
      <c r="A349" s="54">
        <v>346</v>
      </c>
      <c r="B349" s="55" t="s">
        <v>2532</v>
      </c>
      <c r="C349" s="56" t="s">
        <v>2533</v>
      </c>
      <c r="D349" s="54" t="s">
        <v>2518</v>
      </c>
      <c r="E349" s="54" t="s">
        <v>2461</v>
      </c>
      <c r="F349" s="56" t="s"/>
      <c r="G349" s="56" t="s"/>
      <c r="H349" s="56" t="s"/>
      <c r="I349" s="54" t="s">
        <v>2519</v>
      </c>
      <c r="J349" s="56" t="s">
        <v>2534</v>
      </c>
      <c r="K349" s="54" t="s">
        <v>2535</v>
      </c>
      <c r="L349" s="54" t="s">
        <v>1563</v>
      </c>
      <c r="M349" s="54" t="s">
        <v>314</v>
      </c>
      <c r="N349" s="56" t="s">
        <v>314</v>
      </c>
      <c r="O349" s="54" t="s">
        <v>314</v>
      </c>
      <c r="P349" s="56" t="s">
        <v>2522</v>
      </c>
      <c r="Q349" s="56" t="s">
        <v>2466</v>
      </c>
      <c r="R349" s="54" t="s">
        <v>2467</v>
      </c>
      <c r="S349" s="54" t="s">
        <v>2529</v>
      </c>
      <c r="T349" s="54" t="s">
        <v>314</v>
      </c>
      <c r="U349" s="56" t="s">
        <v>1023</v>
      </c>
      <c r="V349" s="56" t="s">
        <v>2470</v>
      </c>
      <c r="W349" s="57" t="s">
        <v>2536</v>
      </c>
      <c r="X349" s="56" t="s">
        <v>2472</v>
      </c>
      <c r="Y349" s="56" t="s">
        <v>2537</v>
      </c>
    </row>
    <row r="350" spans="1:25">
      <c r="A350" s="54">
        <v>347</v>
      </c>
      <c r="B350" s="55" t="s">
        <v>628</v>
      </c>
      <c r="C350" s="56" t="s">
        <v>2538</v>
      </c>
      <c r="D350" s="54" t="s">
        <v>2518</v>
      </c>
      <c r="E350" s="54" t="s">
        <v>2461</v>
      </c>
      <c r="F350" s="56" t="s"/>
      <c r="G350" s="56" t="s"/>
      <c r="H350" s="56" t="s"/>
      <c r="I350" s="54" t="s">
        <v>2519</v>
      </c>
      <c r="J350" s="56" t="s">
        <v>2539</v>
      </c>
      <c r="K350" s="54" t="s">
        <v>2540</v>
      </c>
      <c r="L350" s="54" t="s">
        <v>1563</v>
      </c>
      <c r="M350" s="54" t="s">
        <v>314</v>
      </c>
      <c r="N350" s="56" t="s">
        <v>314</v>
      </c>
      <c r="O350" s="54" t="s">
        <v>314</v>
      </c>
      <c r="P350" s="56" t="s">
        <v>2522</v>
      </c>
      <c r="Q350" s="56" t="s">
        <v>2466</v>
      </c>
      <c r="R350" s="54" t="s">
        <v>2467</v>
      </c>
      <c r="S350" s="54" t="s">
        <v>2529</v>
      </c>
      <c r="T350" s="54" t="s">
        <v>314</v>
      </c>
      <c r="U350" s="56" t="s">
        <v>1023</v>
      </c>
      <c r="V350" s="56" t="s">
        <v>2470</v>
      </c>
      <c r="W350" s="57" t="s">
        <v>2541</v>
      </c>
      <c r="X350" s="56" t="s">
        <v>2472</v>
      </c>
      <c r="Y350" s="56" t="s">
        <v>2542</v>
      </c>
    </row>
    <row r="351" spans="1:25">
      <c r="A351" s="54">
        <v>348</v>
      </c>
      <c r="B351" s="55" t="s">
        <v>2543</v>
      </c>
      <c r="C351" s="56" t="s">
        <v>2544</v>
      </c>
      <c r="D351" s="54" t="s">
        <v>2518</v>
      </c>
      <c r="E351" s="54" t="s">
        <v>2461</v>
      </c>
      <c r="F351" s="56" t="s"/>
      <c r="G351" s="56" t="s"/>
      <c r="H351" s="56" t="s"/>
      <c r="I351" s="54" t="s">
        <v>2519</v>
      </c>
      <c r="J351" s="56" t="s">
        <v>2545</v>
      </c>
      <c r="K351" s="54" t="s">
        <v>2546</v>
      </c>
      <c r="L351" s="54" t="s">
        <v>1563</v>
      </c>
      <c r="M351" s="54" t="s">
        <v>314</v>
      </c>
      <c r="N351" s="56" t="s">
        <v>314</v>
      </c>
      <c r="O351" s="54" t="s">
        <v>314</v>
      </c>
      <c r="P351" s="56" t="s">
        <v>2522</v>
      </c>
      <c r="Q351" s="56" t="s">
        <v>2466</v>
      </c>
      <c r="R351" s="54" t="s">
        <v>2467</v>
      </c>
      <c r="S351" s="54" t="s">
        <v>2529</v>
      </c>
      <c r="T351" s="54" t="s">
        <v>314</v>
      </c>
      <c r="U351" s="56" t="s">
        <v>1023</v>
      </c>
      <c r="V351" s="56" t="s">
        <v>2470</v>
      </c>
      <c r="W351" s="57" t="s">
        <v>2547</v>
      </c>
      <c r="X351" s="56" t="s">
        <v>2472</v>
      </c>
      <c r="Y351" s="56" t="s">
        <v>2548</v>
      </c>
    </row>
    <row r="352" spans="1:25">
      <c r="A352" s="54">
        <v>349</v>
      </c>
      <c r="B352" s="55" t="s">
        <v>71</v>
      </c>
      <c r="C352" s="56" t="s">
        <v>2549</v>
      </c>
      <c r="D352" s="54" t="s">
        <v>2550</v>
      </c>
      <c r="E352" s="54" t="s">
        <v>2461</v>
      </c>
      <c r="F352" s="56" t="s"/>
      <c r="G352" s="56" t="s"/>
      <c r="H352" s="56" t="s"/>
      <c r="I352" s="54" t="s">
        <v>2551</v>
      </c>
      <c r="J352" s="56" t="s">
        <v>2552</v>
      </c>
      <c r="K352" s="54" t="s">
        <v>2553</v>
      </c>
      <c r="L352" s="54" t="s">
        <v>1563</v>
      </c>
      <c r="M352" s="54" t="s">
        <v>314</v>
      </c>
      <c r="N352" s="56" t="s">
        <v>314</v>
      </c>
      <c r="O352" s="54" t="s">
        <v>314</v>
      </c>
      <c r="P352" s="56" t="s">
        <v>2522</v>
      </c>
      <c r="Q352" s="56" t="s">
        <v>2466</v>
      </c>
      <c r="R352" s="54" t="s">
        <v>2467</v>
      </c>
      <c r="S352" s="54" t="s">
        <v>2554</v>
      </c>
      <c r="T352" s="54" t="s">
        <v>314</v>
      </c>
      <c r="U352" s="56" t="s">
        <v>1023</v>
      </c>
      <c r="V352" s="56" t="s">
        <v>2470</v>
      </c>
      <c r="W352" s="57" t="s">
        <v>2555</v>
      </c>
      <c r="X352" s="56" t="s">
        <v>2472</v>
      </c>
      <c r="Y352" s="56" t="s">
        <v>2556</v>
      </c>
    </row>
    <row r="353" spans="1:25">
      <c r="A353" s="54">
        <v>350</v>
      </c>
      <c r="B353" s="55" t="s">
        <v>2557</v>
      </c>
      <c r="C353" s="56" t="s">
        <v>2558</v>
      </c>
      <c r="D353" s="54" t="s">
        <v>2550</v>
      </c>
      <c r="E353" s="54" t="s">
        <v>2461</v>
      </c>
      <c r="F353" s="56" t="s"/>
      <c r="G353" s="56" t="s"/>
      <c r="H353" s="56" t="s"/>
      <c r="I353" s="54" t="s">
        <v>2551</v>
      </c>
      <c r="J353" s="56" t="s">
        <v>2559</v>
      </c>
      <c r="K353" s="54" t="s">
        <v>2553</v>
      </c>
      <c r="L353" s="54" t="s">
        <v>1563</v>
      </c>
      <c r="M353" s="54" t="s">
        <v>314</v>
      </c>
      <c r="N353" s="56" t="s">
        <v>314</v>
      </c>
      <c r="O353" s="54" t="s">
        <v>314</v>
      </c>
      <c r="P353" s="56" t="s">
        <v>2522</v>
      </c>
      <c r="Q353" s="56" t="s">
        <v>2466</v>
      </c>
      <c r="R353" s="54" t="s">
        <v>2467</v>
      </c>
      <c r="S353" s="54" t="s">
        <v>2554</v>
      </c>
      <c r="T353" s="54" t="s">
        <v>314</v>
      </c>
      <c r="U353" s="56" t="s">
        <v>1023</v>
      </c>
      <c r="V353" s="56" t="s">
        <v>2470</v>
      </c>
      <c r="W353" s="57" t="s">
        <v>2560</v>
      </c>
      <c r="X353" s="56" t="s">
        <v>2472</v>
      </c>
      <c r="Y353" s="56" t="s">
        <v>2561</v>
      </c>
    </row>
    <row r="354" spans="1:25">
      <c r="A354" s="54">
        <v>351</v>
      </c>
      <c r="B354" s="55" t="s">
        <v>2562</v>
      </c>
      <c r="C354" s="56" t="s">
        <v>2563</v>
      </c>
      <c r="D354" s="54" t="s">
        <v>2550</v>
      </c>
      <c r="E354" s="54" t="s">
        <v>2461</v>
      </c>
      <c r="F354" s="56" t="s"/>
      <c r="G354" s="56" t="s"/>
      <c r="H354" s="56" t="s"/>
      <c r="I354" s="54" t="s">
        <v>2551</v>
      </c>
      <c r="J354" s="56" t="s">
        <v>2564</v>
      </c>
      <c r="K354" s="54" t="s">
        <v>2553</v>
      </c>
      <c r="L354" s="54" t="s">
        <v>1563</v>
      </c>
      <c r="M354" s="54" t="s">
        <v>314</v>
      </c>
      <c r="N354" s="56" t="s">
        <v>314</v>
      </c>
      <c r="O354" s="54" t="s">
        <v>314</v>
      </c>
      <c r="P354" s="56" t="s">
        <v>2522</v>
      </c>
      <c r="Q354" s="56" t="s">
        <v>2466</v>
      </c>
      <c r="R354" s="54" t="s">
        <v>2467</v>
      </c>
      <c r="S354" s="54" t="s">
        <v>2554</v>
      </c>
      <c r="T354" s="54" t="s">
        <v>314</v>
      </c>
      <c r="U354" s="56" t="s">
        <v>1023</v>
      </c>
      <c r="V354" s="56" t="s">
        <v>2470</v>
      </c>
      <c r="W354" s="57" t="s">
        <v>2565</v>
      </c>
      <c r="X354" s="56" t="s">
        <v>2472</v>
      </c>
      <c r="Y354" s="56" t="s">
        <v>2566</v>
      </c>
    </row>
    <row r="355" spans="1:25">
      <c r="A355" s="54">
        <v>352</v>
      </c>
      <c r="B355" s="55" t="s">
        <v>2567</v>
      </c>
      <c r="C355" s="56" t="s">
        <v>2568</v>
      </c>
      <c r="D355" s="54" t="s">
        <v>2550</v>
      </c>
      <c r="E355" s="54" t="s">
        <v>2461</v>
      </c>
      <c r="F355" s="56" t="s"/>
      <c r="G355" s="56" t="s"/>
      <c r="H355" s="56" t="s"/>
      <c r="I355" s="54" t="s">
        <v>2551</v>
      </c>
      <c r="J355" s="56" t="s">
        <v>2569</v>
      </c>
      <c r="K355" s="54" t="s">
        <v>2553</v>
      </c>
      <c r="L355" s="54" t="s">
        <v>1563</v>
      </c>
      <c r="M355" s="54" t="s">
        <v>314</v>
      </c>
      <c r="N355" s="56" t="s">
        <v>314</v>
      </c>
      <c r="O355" s="54" t="s">
        <v>314</v>
      </c>
      <c r="P355" s="56" t="s">
        <v>2522</v>
      </c>
      <c r="Q355" s="56" t="s">
        <v>2466</v>
      </c>
      <c r="R355" s="54" t="s">
        <v>2467</v>
      </c>
      <c r="S355" s="54" t="s">
        <v>2554</v>
      </c>
      <c r="T355" s="54" t="s">
        <v>314</v>
      </c>
      <c r="U355" s="56" t="s">
        <v>1023</v>
      </c>
      <c r="V355" s="56" t="s">
        <v>2470</v>
      </c>
      <c r="W355" s="57" t="s">
        <v>2570</v>
      </c>
      <c r="X355" s="56" t="s">
        <v>2472</v>
      </c>
      <c r="Y355" s="56" t="s">
        <v>2571</v>
      </c>
    </row>
    <row r="356" spans="1:25">
      <c r="A356" s="54">
        <v>353</v>
      </c>
      <c r="B356" s="55" t="s">
        <v>2572</v>
      </c>
      <c r="C356" s="56" t="s">
        <v>2573</v>
      </c>
      <c r="D356" s="54" t="s">
        <v>2550</v>
      </c>
      <c r="E356" s="54" t="s">
        <v>2461</v>
      </c>
      <c r="F356" s="56" t="s"/>
      <c r="G356" s="56" t="s"/>
      <c r="H356" s="56" t="s"/>
      <c r="I356" s="54" t="s">
        <v>2551</v>
      </c>
      <c r="J356" s="56" t="s">
        <v>2574</v>
      </c>
      <c r="K356" s="54" t="s">
        <v>2553</v>
      </c>
      <c r="L356" s="54" t="s">
        <v>1563</v>
      </c>
      <c r="M356" s="54" t="s">
        <v>314</v>
      </c>
      <c r="N356" s="56" t="s">
        <v>314</v>
      </c>
      <c r="O356" s="54" t="s">
        <v>314</v>
      </c>
      <c r="P356" s="56" t="s">
        <v>2522</v>
      </c>
      <c r="Q356" s="56" t="s">
        <v>2466</v>
      </c>
      <c r="R356" s="54" t="s">
        <v>2467</v>
      </c>
      <c r="S356" s="54" t="s">
        <v>2554</v>
      </c>
      <c r="T356" s="54" t="s">
        <v>314</v>
      </c>
      <c r="U356" s="56" t="s">
        <v>1023</v>
      </c>
      <c r="V356" s="56" t="s">
        <v>2470</v>
      </c>
      <c r="W356" s="57" t="s">
        <v>2575</v>
      </c>
      <c r="X356" s="56" t="s">
        <v>2472</v>
      </c>
      <c r="Y356" s="56" t="s">
        <v>2576</v>
      </c>
    </row>
    <row r="357" spans="1:25">
      <c r="A357" s="54">
        <v>354</v>
      </c>
      <c r="B357" s="55" t="s">
        <v>2577</v>
      </c>
      <c r="C357" s="56" t="s">
        <v>2578</v>
      </c>
      <c r="D357" s="54" t="s">
        <v>2550</v>
      </c>
      <c r="E357" s="54" t="s">
        <v>2461</v>
      </c>
      <c r="F357" s="56" t="s"/>
      <c r="G357" s="56" t="s"/>
      <c r="H357" s="56" t="s"/>
      <c r="I357" s="54" t="s">
        <v>2551</v>
      </c>
      <c r="J357" s="56" t="s">
        <v>2579</v>
      </c>
      <c r="K357" s="54" t="s">
        <v>2553</v>
      </c>
      <c r="L357" s="54" t="s">
        <v>1563</v>
      </c>
      <c r="M357" s="54" t="s">
        <v>314</v>
      </c>
      <c r="N357" s="56" t="s">
        <v>314</v>
      </c>
      <c r="O357" s="54" t="s">
        <v>314</v>
      </c>
      <c r="P357" s="56" t="s">
        <v>2522</v>
      </c>
      <c r="Q357" s="56" t="s">
        <v>2466</v>
      </c>
      <c r="R357" s="54" t="s">
        <v>2467</v>
      </c>
      <c r="S357" s="54" t="s">
        <v>2554</v>
      </c>
      <c r="T357" s="54" t="s">
        <v>314</v>
      </c>
      <c r="U357" s="56" t="s">
        <v>1023</v>
      </c>
      <c r="V357" s="56" t="s">
        <v>2470</v>
      </c>
      <c r="W357" s="57" t="s">
        <v>2580</v>
      </c>
      <c r="X357" s="56" t="s">
        <v>2472</v>
      </c>
      <c r="Y357" s="56" t="s">
        <v>2581</v>
      </c>
    </row>
    <row r="358" spans="1:25">
      <c r="A358" s="54">
        <v>355</v>
      </c>
      <c r="B358" s="55" t="s">
        <v>2582</v>
      </c>
      <c r="C358" s="56" t="s">
        <v>2583</v>
      </c>
      <c r="D358" s="54" t="s">
        <v>2550</v>
      </c>
      <c r="E358" s="54" t="s">
        <v>2461</v>
      </c>
      <c r="F358" s="56" t="s"/>
      <c r="G358" s="56" t="s"/>
      <c r="H358" s="56" t="s"/>
      <c r="I358" s="54" t="s">
        <v>2551</v>
      </c>
      <c r="J358" s="56" t="s">
        <v>2584</v>
      </c>
      <c r="K358" s="54" t="s">
        <v>2585</v>
      </c>
      <c r="L358" s="54" t="s">
        <v>1563</v>
      </c>
      <c r="M358" s="54" t="s">
        <v>314</v>
      </c>
      <c r="N358" s="56" t="s">
        <v>314</v>
      </c>
      <c r="O358" s="54" t="s">
        <v>314</v>
      </c>
      <c r="P358" s="56" t="s">
        <v>2522</v>
      </c>
      <c r="Q358" s="56" t="s">
        <v>2466</v>
      </c>
      <c r="R358" s="54" t="s">
        <v>2467</v>
      </c>
      <c r="S358" s="54" t="s">
        <v>2554</v>
      </c>
      <c r="T358" s="54" t="s">
        <v>314</v>
      </c>
      <c r="U358" s="56" t="s">
        <v>1023</v>
      </c>
      <c r="V358" s="56" t="s">
        <v>2470</v>
      </c>
      <c r="W358" s="57" t="s">
        <v>2586</v>
      </c>
      <c r="X358" s="56" t="s">
        <v>2472</v>
      </c>
      <c r="Y358" s="56" t="s">
        <v>2587</v>
      </c>
    </row>
    <row r="359" spans="1:25">
      <c r="A359" s="54">
        <v>356</v>
      </c>
      <c r="B359" s="55" t="s">
        <v>2588</v>
      </c>
      <c r="C359" s="56" t="s">
        <v>2589</v>
      </c>
      <c r="D359" s="54" t="s">
        <v>2550</v>
      </c>
      <c r="E359" s="54" t="s">
        <v>2461</v>
      </c>
      <c r="F359" s="56" t="s"/>
      <c r="G359" s="56" t="s"/>
      <c r="H359" s="56" t="s"/>
      <c r="I359" s="54" t="s">
        <v>2551</v>
      </c>
      <c r="J359" s="56" t="s">
        <v>2590</v>
      </c>
      <c r="K359" s="54" t="s">
        <v>2553</v>
      </c>
      <c r="L359" s="54" t="s">
        <v>1563</v>
      </c>
      <c r="M359" s="54" t="s">
        <v>314</v>
      </c>
      <c r="N359" s="56" t="s">
        <v>314</v>
      </c>
      <c r="O359" s="54" t="s">
        <v>314</v>
      </c>
      <c r="P359" s="56" t="s">
        <v>2522</v>
      </c>
      <c r="Q359" s="56" t="s">
        <v>2466</v>
      </c>
      <c r="R359" s="54" t="s">
        <v>2467</v>
      </c>
      <c r="S359" s="54" t="s">
        <v>2554</v>
      </c>
      <c r="T359" s="54" t="s">
        <v>314</v>
      </c>
      <c r="U359" s="56" t="s">
        <v>1023</v>
      </c>
      <c r="V359" s="56" t="s">
        <v>2470</v>
      </c>
      <c r="W359" s="57" t="s">
        <v>2591</v>
      </c>
      <c r="X359" s="56" t="s">
        <v>2472</v>
      </c>
      <c r="Y359" s="56" t="s">
        <v>2592</v>
      </c>
    </row>
    <row r="360" spans="1:25">
      <c r="A360" s="54">
        <v>357</v>
      </c>
      <c r="B360" s="55" t="s">
        <v>2593</v>
      </c>
      <c r="C360" s="56" t="s">
        <v>2594</v>
      </c>
      <c r="D360" s="54" t="s">
        <v>2550</v>
      </c>
      <c r="E360" s="54" t="s">
        <v>2461</v>
      </c>
      <c r="F360" s="56" t="s"/>
      <c r="G360" s="56" t="s"/>
      <c r="H360" s="56" t="s"/>
      <c r="I360" s="54" t="s">
        <v>2551</v>
      </c>
      <c r="J360" s="56" t="s">
        <v>2595</v>
      </c>
      <c r="K360" s="54" t="s">
        <v>2553</v>
      </c>
      <c r="L360" s="54" t="s">
        <v>1563</v>
      </c>
      <c r="M360" s="54" t="s">
        <v>314</v>
      </c>
      <c r="N360" s="56" t="s">
        <v>314</v>
      </c>
      <c r="O360" s="54" t="s">
        <v>314</v>
      </c>
      <c r="P360" s="56" t="s">
        <v>2522</v>
      </c>
      <c r="Q360" s="56" t="s">
        <v>2466</v>
      </c>
      <c r="R360" s="54" t="s">
        <v>2467</v>
      </c>
      <c r="S360" s="54" t="s">
        <v>2554</v>
      </c>
      <c r="T360" s="54" t="s">
        <v>314</v>
      </c>
      <c r="U360" s="56" t="s">
        <v>1023</v>
      </c>
      <c r="V360" s="56" t="s">
        <v>2470</v>
      </c>
      <c r="W360" s="57" t="s">
        <v>2596</v>
      </c>
      <c r="X360" s="56" t="s">
        <v>2472</v>
      </c>
      <c r="Y360" s="56" t="s">
        <v>2597</v>
      </c>
    </row>
    <row r="361" spans="1:25">
      <c r="A361" s="54">
        <v>358</v>
      </c>
      <c r="B361" s="55" t="s">
        <v>2598</v>
      </c>
      <c r="C361" s="56" t="s">
        <v>2599</v>
      </c>
      <c r="D361" s="54" t="s">
        <v>2550</v>
      </c>
      <c r="E361" s="54" t="s">
        <v>2461</v>
      </c>
      <c r="F361" s="56" t="s"/>
      <c r="G361" s="56" t="s"/>
      <c r="H361" s="56" t="s"/>
      <c r="I361" s="54" t="s">
        <v>2551</v>
      </c>
      <c r="J361" s="56" t="s">
        <v>2600</v>
      </c>
      <c r="K361" s="54" t="s">
        <v>2585</v>
      </c>
      <c r="L361" s="54" t="s">
        <v>1563</v>
      </c>
      <c r="M361" s="54" t="s">
        <v>314</v>
      </c>
      <c r="N361" s="56" t="s">
        <v>314</v>
      </c>
      <c r="O361" s="54" t="s">
        <v>314</v>
      </c>
      <c r="P361" s="56" t="s">
        <v>2522</v>
      </c>
      <c r="Q361" s="56" t="s">
        <v>2466</v>
      </c>
      <c r="R361" s="54" t="s">
        <v>2467</v>
      </c>
      <c r="S361" s="54" t="s">
        <v>2554</v>
      </c>
      <c r="T361" s="54" t="s">
        <v>314</v>
      </c>
      <c r="U361" s="56" t="s">
        <v>1023</v>
      </c>
      <c r="V361" s="56" t="s">
        <v>2470</v>
      </c>
      <c r="W361" s="57" t="s">
        <v>2601</v>
      </c>
      <c r="X361" s="56" t="s">
        <v>2472</v>
      </c>
      <c r="Y361" s="56" t="s">
        <v>2602</v>
      </c>
    </row>
    <row r="362" spans="1:25">
      <c r="A362" s="54">
        <v>359</v>
      </c>
      <c r="B362" s="55" t="s">
        <v>2603</v>
      </c>
      <c r="C362" s="56" t="s">
        <v>2604</v>
      </c>
      <c r="D362" s="54" t="s">
        <v>2550</v>
      </c>
      <c r="E362" s="54" t="s">
        <v>2461</v>
      </c>
      <c r="F362" s="56" t="s"/>
      <c r="G362" s="56" t="s"/>
      <c r="H362" s="56" t="s"/>
      <c r="I362" s="54" t="s">
        <v>2551</v>
      </c>
      <c r="J362" s="56" t="s">
        <v>2605</v>
      </c>
      <c r="K362" s="54" t="s">
        <v>2553</v>
      </c>
      <c r="L362" s="54" t="s">
        <v>1563</v>
      </c>
      <c r="M362" s="54" t="s">
        <v>314</v>
      </c>
      <c r="N362" s="56" t="s">
        <v>314</v>
      </c>
      <c r="O362" s="54" t="s">
        <v>314</v>
      </c>
      <c r="P362" s="56" t="s">
        <v>2522</v>
      </c>
      <c r="Q362" s="56" t="s">
        <v>2466</v>
      </c>
      <c r="R362" s="54" t="s">
        <v>2467</v>
      </c>
      <c r="S362" s="54" t="s">
        <v>2554</v>
      </c>
      <c r="T362" s="54" t="s">
        <v>314</v>
      </c>
      <c r="U362" s="56" t="s">
        <v>1023</v>
      </c>
      <c r="V362" s="56" t="s">
        <v>2470</v>
      </c>
      <c r="W362" s="57" t="s">
        <v>2606</v>
      </c>
      <c r="X362" s="56" t="s">
        <v>2472</v>
      </c>
      <c r="Y362" s="56" t="s">
        <v>2607</v>
      </c>
    </row>
    <row r="363" spans="1:25">
      <c r="A363" s="54">
        <v>360</v>
      </c>
      <c r="B363" s="55" t="s">
        <v>2608</v>
      </c>
      <c r="C363" s="56" t="s">
        <v>2609</v>
      </c>
      <c r="D363" s="54" t="s">
        <v>2550</v>
      </c>
      <c r="E363" s="54" t="s">
        <v>2461</v>
      </c>
      <c r="F363" s="56" t="s"/>
      <c r="G363" s="56" t="s"/>
      <c r="H363" s="56" t="s"/>
      <c r="I363" s="54" t="s">
        <v>2551</v>
      </c>
      <c r="J363" s="56" t="s">
        <v>2610</v>
      </c>
      <c r="K363" s="54" t="s">
        <v>2553</v>
      </c>
      <c r="L363" s="54" t="s">
        <v>1563</v>
      </c>
      <c r="M363" s="54" t="s">
        <v>314</v>
      </c>
      <c r="N363" s="56" t="s">
        <v>314</v>
      </c>
      <c r="O363" s="54" t="s">
        <v>314</v>
      </c>
      <c r="P363" s="56" t="s">
        <v>2522</v>
      </c>
      <c r="Q363" s="56" t="s">
        <v>2466</v>
      </c>
      <c r="R363" s="54" t="s">
        <v>2467</v>
      </c>
      <c r="S363" s="54" t="s">
        <v>2554</v>
      </c>
      <c r="T363" s="54" t="s">
        <v>314</v>
      </c>
      <c r="U363" s="56" t="s">
        <v>1023</v>
      </c>
      <c r="V363" s="56" t="s">
        <v>2470</v>
      </c>
      <c r="W363" s="57" t="s">
        <v>2611</v>
      </c>
      <c r="X363" s="56" t="s">
        <v>2472</v>
      </c>
      <c r="Y363" s="56" t="s">
        <v>2612</v>
      </c>
    </row>
    <row r="364" spans="1:25">
      <c r="A364" s="54">
        <v>361</v>
      </c>
      <c r="B364" s="55" t="s">
        <v>2613</v>
      </c>
      <c r="C364" s="56" t="s">
        <v>2614</v>
      </c>
      <c r="D364" s="54" t="s">
        <v>2550</v>
      </c>
      <c r="E364" s="54" t="s">
        <v>2461</v>
      </c>
      <c r="F364" s="56" t="s"/>
      <c r="G364" s="56" t="s"/>
      <c r="H364" s="56" t="s"/>
      <c r="I364" s="54" t="s">
        <v>2551</v>
      </c>
      <c r="J364" s="56" t="s">
        <v>2615</v>
      </c>
      <c r="K364" s="54" t="s">
        <v>2553</v>
      </c>
      <c r="L364" s="54" t="s">
        <v>1563</v>
      </c>
      <c r="M364" s="54" t="s">
        <v>314</v>
      </c>
      <c r="N364" s="56" t="s">
        <v>314</v>
      </c>
      <c r="O364" s="54" t="s">
        <v>314</v>
      </c>
      <c r="P364" s="56" t="s">
        <v>2522</v>
      </c>
      <c r="Q364" s="56" t="s">
        <v>2466</v>
      </c>
      <c r="R364" s="54" t="s">
        <v>2467</v>
      </c>
      <c r="S364" s="54" t="s">
        <v>2554</v>
      </c>
      <c r="T364" s="54" t="s">
        <v>314</v>
      </c>
      <c r="U364" s="56" t="s">
        <v>1023</v>
      </c>
      <c r="V364" s="56" t="s">
        <v>2470</v>
      </c>
      <c r="W364" s="57" t="s">
        <v>2616</v>
      </c>
      <c r="X364" s="56" t="s">
        <v>2472</v>
      </c>
      <c r="Y364" s="56" t="s">
        <v>2617</v>
      </c>
    </row>
    <row r="365" spans="1:25">
      <c r="A365" s="54">
        <v>362</v>
      </c>
      <c r="B365" s="55" t="s">
        <v>2618</v>
      </c>
      <c r="C365" s="56" t="s">
        <v>2619</v>
      </c>
      <c r="D365" s="54" t="s">
        <v>2550</v>
      </c>
      <c r="E365" s="54" t="s">
        <v>2461</v>
      </c>
      <c r="F365" s="56" t="s"/>
      <c r="G365" s="56" t="s"/>
      <c r="H365" s="56" t="s"/>
      <c r="I365" s="54" t="s">
        <v>2551</v>
      </c>
      <c r="J365" s="56" t="s">
        <v>2620</v>
      </c>
      <c r="K365" s="54" t="s">
        <v>2553</v>
      </c>
      <c r="L365" s="54" t="s">
        <v>1563</v>
      </c>
      <c r="M365" s="54" t="s">
        <v>314</v>
      </c>
      <c r="N365" s="56" t="s">
        <v>314</v>
      </c>
      <c r="O365" s="54" t="s">
        <v>314</v>
      </c>
      <c r="P365" s="56" t="s">
        <v>2522</v>
      </c>
      <c r="Q365" s="56" t="s">
        <v>2466</v>
      </c>
      <c r="R365" s="54" t="s">
        <v>2467</v>
      </c>
      <c r="S365" s="54" t="s">
        <v>2554</v>
      </c>
      <c r="T365" s="54" t="s">
        <v>314</v>
      </c>
      <c r="U365" s="56" t="s">
        <v>1023</v>
      </c>
      <c r="V365" s="56" t="s">
        <v>2470</v>
      </c>
      <c r="W365" s="57" t="s">
        <v>2621</v>
      </c>
      <c r="X365" s="56" t="s">
        <v>2472</v>
      </c>
      <c r="Y365" s="56" t="s">
        <v>2622</v>
      </c>
    </row>
    <row r="366" spans="1:25">
      <c r="A366" s="54">
        <v>363</v>
      </c>
      <c r="B366" s="55" t="s">
        <v>2623</v>
      </c>
      <c r="C366" s="56" t="s">
        <v>2624</v>
      </c>
      <c r="D366" s="54" t="s">
        <v>2550</v>
      </c>
      <c r="E366" s="54" t="s">
        <v>2461</v>
      </c>
      <c r="F366" s="56" t="s"/>
      <c r="G366" s="56" t="s"/>
      <c r="H366" s="56" t="s"/>
      <c r="I366" s="54" t="s">
        <v>2551</v>
      </c>
      <c r="J366" s="56" t="s">
        <v>2625</v>
      </c>
      <c r="K366" s="54" t="s">
        <v>2553</v>
      </c>
      <c r="L366" s="54" t="s">
        <v>1563</v>
      </c>
      <c r="M366" s="54" t="s">
        <v>314</v>
      </c>
      <c r="N366" s="56" t="s">
        <v>314</v>
      </c>
      <c r="O366" s="54" t="s">
        <v>314</v>
      </c>
      <c r="P366" s="56" t="s">
        <v>2522</v>
      </c>
      <c r="Q366" s="56" t="s">
        <v>2466</v>
      </c>
      <c r="R366" s="54" t="s">
        <v>2467</v>
      </c>
      <c r="S366" s="54" t="s">
        <v>2554</v>
      </c>
      <c r="T366" s="54" t="s">
        <v>314</v>
      </c>
      <c r="U366" s="56" t="s">
        <v>1023</v>
      </c>
      <c r="V366" s="56" t="s">
        <v>2470</v>
      </c>
      <c r="W366" s="57" t="s">
        <v>2626</v>
      </c>
      <c r="X366" s="56" t="s">
        <v>2472</v>
      </c>
      <c r="Y366" s="56" t="s">
        <v>2627</v>
      </c>
    </row>
    <row r="367" spans="1:25">
      <c r="A367" s="54">
        <v>364</v>
      </c>
      <c r="B367" s="55" t="s">
        <v>2628</v>
      </c>
      <c r="C367" s="56" t="s">
        <v>2629</v>
      </c>
      <c r="D367" s="54" t="s">
        <v>2550</v>
      </c>
      <c r="E367" s="54" t="s">
        <v>2461</v>
      </c>
      <c r="F367" s="56" t="s"/>
      <c r="G367" s="56" t="s"/>
      <c r="H367" s="56" t="s"/>
      <c r="I367" s="54" t="s">
        <v>2551</v>
      </c>
      <c r="J367" s="56" t="s">
        <v>2630</v>
      </c>
      <c r="K367" s="54" t="s">
        <v>2553</v>
      </c>
      <c r="L367" s="54" t="s">
        <v>1563</v>
      </c>
      <c r="M367" s="54" t="s">
        <v>314</v>
      </c>
      <c r="N367" s="56" t="s">
        <v>314</v>
      </c>
      <c r="O367" s="54" t="s">
        <v>314</v>
      </c>
      <c r="P367" s="56" t="s">
        <v>2522</v>
      </c>
      <c r="Q367" s="56" t="s">
        <v>2466</v>
      </c>
      <c r="R367" s="54" t="s">
        <v>2467</v>
      </c>
      <c r="S367" s="54" t="s">
        <v>2554</v>
      </c>
      <c r="T367" s="54" t="s">
        <v>314</v>
      </c>
      <c r="U367" s="56" t="s">
        <v>1023</v>
      </c>
      <c r="V367" s="56" t="s">
        <v>2470</v>
      </c>
      <c r="W367" s="57" t="s">
        <v>2631</v>
      </c>
      <c r="X367" s="56" t="s">
        <v>2472</v>
      </c>
      <c r="Y367" s="56" t="s">
        <v>2632</v>
      </c>
    </row>
    <row r="368" spans="1:25">
      <c r="A368" s="54">
        <v>365</v>
      </c>
      <c r="B368" s="55" t="s">
        <v>2633</v>
      </c>
      <c r="C368" s="56" t="s">
        <v>2634</v>
      </c>
      <c r="D368" s="54" t="s">
        <v>2550</v>
      </c>
      <c r="E368" s="54" t="s">
        <v>2461</v>
      </c>
      <c r="F368" s="56" t="s"/>
      <c r="G368" s="56" t="s"/>
      <c r="H368" s="56" t="s"/>
      <c r="I368" s="54" t="s">
        <v>2551</v>
      </c>
      <c r="J368" s="56" t="s">
        <v>2635</v>
      </c>
      <c r="K368" s="54" t="s">
        <v>2553</v>
      </c>
      <c r="L368" s="54" t="s">
        <v>1563</v>
      </c>
      <c r="M368" s="54" t="s">
        <v>314</v>
      </c>
      <c r="N368" s="56" t="s">
        <v>314</v>
      </c>
      <c r="O368" s="54" t="s">
        <v>314</v>
      </c>
      <c r="P368" s="56" t="s">
        <v>2522</v>
      </c>
      <c r="Q368" s="56" t="s">
        <v>2466</v>
      </c>
      <c r="R368" s="54" t="s">
        <v>2467</v>
      </c>
      <c r="S368" s="54" t="s">
        <v>2554</v>
      </c>
      <c r="T368" s="54" t="s">
        <v>314</v>
      </c>
      <c r="U368" s="56" t="s">
        <v>1023</v>
      </c>
      <c r="V368" s="56" t="s">
        <v>2470</v>
      </c>
      <c r="W368" s="57" t="s">
        <v>2636</v>
      </c>
      <c r="X368" s="56" t="s">
        <v>2472</v>
      </c>
      <c r="Y368" s="56" t="s">
        <v>2637</v>
      </c>
    </row>
    <row r="369" spans="1:25">
      <c r="A369" s="54">
        <v>366</v>
      </c>
      <c r="B369" s="55" t="s">
        <v>2638</v>
      </c>
      <c r="C369" s="56" t="s">
        <v>2639</v>
      </c>
      <c r="D369" s="54" t="s">
        <v>2550</v>
      </c>
      <c r="E369" s="54" t="s">
        <v>2461</v>
      </c>
      <c r="F369" s="56" t="s"/>
      <c r="G369" s="56" t="s"/>
      <c r="H369" s="56" t="s"/>
      <c r="I369" s="54" t="s">
        <v>2551</v>
      </c>
      <c r="J369" s="56" t="s">
        <v>2640</v>
      </c>
      <c r="K369" s="54" t="s">
        <v>2553</v>
      </c>
      <c r="L369" s="54" t="s">
        <v>1563</v>
      </c>
      <c r="M369" s="54" t="s">
        <v>314</v>
      </c>
      <c r="N369" s="56" t="s">
        <v>314</v>
      </c>
      <c r="O369" s="54" t="s">
        <v>314</v>
      </c>
      <c r="P369" s="56" t="s">
        <v>2522</v>
      </c>
      <c r="Q369" s="56" t="s">
        <v>2466</v>
      </c>
      <c r="R369" s="54" t="s">
        <v>2467</v>
      </c>
      <c r="S369" s="54" t="s">
        <v>2554</v>
      </c>
      <c r="T369" s="54" t="s">
        <v>314</v>
      </c>
      <c r="U369" s="56" t="s">
        <v>1023</v>
      </c>
      <c r="V369" s="56" t="s">
        <v>2470</v>
      </c>
      <c r="W369" s="57" t="s">
        <v>2641</v>
      </c>
      <c r="X369" s="56" t="s">
        <v>2472</v>
      </c>
      <c r="Y369" s="56" t="s">
        <v>2642</v>
      </c>
    </row>
    <row r="370" spans="1:25">
      <c r="A370" s="54">
        <v>367</v>
      </c>
      <c r="B370" s="55" t="s">
        <v>2643</v>
      </c>
      <c r="C370" s="56" t="s">
        <v>2644</v>
      </c>
      <c r="D370" s="54" t="s">
        <v>2550</v>
      </c>
      <c r="E370" s="54" t="s">
        <v>2461</v>
      </c>
      <c r="F370" s="56" t="s"/>
      <c r="G370" s="56" t="s"/>
      <c r="H370" s="56" t="s"/>
      <c r="I370" s="54" t="s">
        <v>2551</v>
      </c>
      <c r="J370" s="56" t="s">
        <v>2645</v>
      </c>
      <c r="K370" s="54" t="s">
        <v>2646</v>
      </c>
      <c r="L370" s="54" t="s">
        <v>1563</v>
      </c>
      <c r="M370" s="54" t="s">
        <v>314</v>
      </c>
      <c r="N370" s="56" t="s">
        <v>314</v>
      </c>
      <c r="O370" s="54" t="s">
        <v>314</v>
      </c>
      <c r="P370" s="56" t="s">
        <v>2522</v>
      </c>
      <c r="Q370" s="56" t="s">
        <v>2466</v>
      </c>
      <c r="R370" s="54" t="s">
        <v>2467</v>
      </c>
      <c r="S370" s="54" t="s">
        <v>2554</v>
      </c>
      <c r="T370" s="54" t="s">
        <v>314</v>
      </c>
      <c r="U370" s="56" t="s">
        <v>1023</v>
      </c>
      <c r="V370" s="56" t="s">
        <v>2470</v>
      </c>
      <c r="W370" s="57" t="s">
        <v>2647</v>
      </c>
      <c r="X370" s="56" t="s">
        <v>2472</v>
      </c>
      <c r="Y370" s="56" t="s">
        <v>2648</v>
      </c>
    </row>
    <row r="371" spans="1:25">
      <c r="A371" s="54">
        <v>368</v>
      </c>
      <c r="B371" s="55" t="s">
        <v>2649</v>
      </c>
      <c r="C371" s="56" t="s">
        <v>2650</v>
      </c>
      <c r="D371" s="54" t="s">
        <v>2550</v>
      </c>
      <c r="E371" s="54" t="s">
        <v>2461</v>
      </c>
      <c r="F371" s="56" t="s"/>
      <c r="G371" s="56" t="s"/>
      <c r="H371" s="56" t="s"/>
      <c r="I371" s="54" t="s">
        <v>2551</v>
      </c>
      <c r="J371" s="56" t="s">
        <v>2651</v>
      </c>
      <c r="K371" s="54" t="s">
        <v>2652</v>
      </c>
      <c r="L371" s="54" t="s">
        <v>1563</v>
      </c>
      <c r="M371" s="54" t="s">
        <v>314</v>
      </c>
      <c r="N371" s="56" t="s">
        <v>314</v>
      </c>
      <c r="O371" s="54" t="s">
        <v>314</v>
      </c>
      <c r="P371" s="56" t="s">
        <v>2522</v>
      </c>
      <c r="Q371" s="56" t="s">
        <v>2466</v>
      </c>
      <c r="R371" s="54" t="s">
        <v>2467</v>
      </c>
      <c r="S371" s="54" t="s">
        <v>2554</v>
      </c>
      <c r="T371" s="54" t="s">
        <v>314</v>
      </c>
      <c r="U371" s="56" t="s">
        <v>1023</v>
      </c>
      <c r="V371" s="56" t="s">
        <v>2470</v>
      </c>
      <c r="W371" s="57" t="s">
        <v>2653</v>
      </c>
      <c r="X371" s="56" t="s">
        <v>2472</v>
      </c>
      <c r="Y371" s="56" t="s">
        <v>2654</v>
      </c>
    </row>
    <row r="372" spans="1:25">
      <c r="A372" s="54">
        <v>369</v>
      </c>
      <c r="B372" s="55" t="s">
        <v>2655</v>
      </c>
      <c r="C372" s="56" t="s">
        <v>2656</v>
      </c>
      <c r="D372" s="54" t="s">
        <v>2550</v>
      </c>
      <c r="E372" s="54" t="s">
        <v>2461</v>
      </c>
      <c r="F372" s="56" t="s"/>
      <c r="G372" s="56" t="s"/>
      <c r="H372" s="56" t="s"/>
      <c r="I372" s="54" t="s">
        <v>2551</v>
      </c>
      <c r="J372" s="56" t="s">
        <v>2657</v>
      </c>
      <c r="K372" s="54" t="s">
        <v>2658</v>
      </c>
      <c r="L372" s="54" t="s">
        <v>1563</v>
      </c>
      <c r="M372" s="54" t="s">
        <v>314</v>
      </c>
      <c r="N372" s="56" t="s">
        <v>314</v>
      </c>
      <c r="O372" s="54" t="s">
        <v>314</v>
      </c>
      <c r="P372" s="56" t="s">
        <v>2522</v>
      </c>
      <c r="Q372" s="56" t="s">
        <v>2466</v>
      </c>
      <c r="R372" s="54" t="s">
        <v>2467</v>
      </c>
      <c r="S372" s="54" t="s">
        <v>2554</v>
      </c>
      <c r="T372" s="54" t="s">
        <v>314</v>
      </c>
      <c r="U372" s="56" t="s">
        <v>1023</v>
      </c>
      <c r="V372" s="56" t="s">
        <v>2470</v>
      </c>
      <c r="W372" s="57" t="s">
        <v>2659</v>
      </c>
      <c r="X372" s="56" t="s">
        <v>2472</v>
      </c>
      <c r="Y372" s="56" t="s">
        <v>2660</v>
      </c>
    </row>
    <row r="373" spans="1:25">
      <c r="A373" s="54">
        <v>370</v>
      </c>
      <c r="B373" s="55" t="s">
        <v>2661</v>
      </c>
      <c r="C373" s="56" t="s">
        <v>2662</v>
      </c>
      <c r="D373" s="54" t="s">
        <v>2550</v>
      </c>
      <c r="E373" s="54" t="s">
        <v>2461</v>
      </c>
      <c r="F373" s="56" t="s"/>
      <c r="G373" s="56" t="s"/>
      <c r="H373" s="56" t="s"/>
      <c r="I373" s="54" t="s">
        <v>2551</v>
      </c>
      <c r="J373" s="56" t="s">
        <v>2663</v>
      </c>
      <c r="K373" s="54" t="s">
        <v>2646</v>
      </c>
      <c r="L373" s="54" t="s">
        <v>1563</v>
      </c>
      <c r="M373" s="54" t="s">
        <v>314</v>
      </c>
      <c r="N373" s="56" t="s">
        <v>314</v>
      </c>
      <c r="O373" s="54" t="s">
        <v>314</v>
      </c>
      <c r="P373" s="56" t="s">
        <v>2522</v>
      </c>
      <c r="Q373" s="56" t="s">
        <v>2466</v>
      </c>
      <c r="R373" s="54" t="s">
        <v>2467</v>
      </c>
      <c r="S373" s="54" t="s">
        <v>2554</v>
      </c>
      <c r="T373" s="54" t="s">
        <v>314</v>
      </c>
      <c r="U373" s="56" t="s">
        <v>1023</v>
      </c>
      <c r="V373" s="56" t="s">
        <v>2470</v>
      </c>
      <c r="W373" s="57" t="s">
        <v>2664</v>
      </c>
      <c r="X373" s="56" t="s">
        <v>2472</v>
      </c>
      <c r="Y373" s="56" t="s">
        <v>2665</v>
      </c>
    </row>
    <row r="374" spans="1:25">
      <c r="A374" s="54">
        <v>371</v>
      </c>
      <c r="B374" s="55" t="s">
        <v>2666</v>
      </c>
      <c r="C374" s="56" t="s">
        <v>2667</v>
      </c>
      <c r="D374" s="54" t="s">
        <v>2550</v>
      </c>
      <c r="E374" s="54" t="s">
        <v>2461</v>
      </c>
      <c r="F374" s="56" t="s"/>
      <c r="G374" s="56" t="s"/>
      <c r="H374" s="56" t="s"/>
      <c r="I374" s="54" t="s">
        <v>2551</v>
      </c>
      <c r="J374" s="56" t="s">
        <v>2668</v>
      </c>
      <c r="K374" s="54" t="s">
        <v>2652</v>
      </c>
      <c r="L374" s="54" t="s">
        <v>1563</v>
      </c>
      <c r="M374" s="54" t="s">
        <v>314</v>
      </c>
      <c r="N374" s="56" t="s">
        <v>314</v>
      </c>
      <c r="O374" s="54" t="s">
        <v>314</v>
      </c>
      <c r="P374" s="56" t="s">
        <v>2522</v>
      </c>
      <c r="Q374" s="56" t="s">
        <v>2466</v>
      </c>
      <c r="R374" s="54" t="s">
        <v>2467</v>
      </c>
      <c r="S374" s="54" t="s">
        <v>2554</v>
      </c>
      <c r="T374" s="54" t="s">
        <v>314</v>
      </c>
      <c r="U374" s="56" t="s">
        <v>1023</v>
      </c>
      <c r="V374" s="56" t="s">
        <v>2470</v>
      </c>
      <c r="W374" s="57" t="s">
        <v>2669</v>
      </c>
      <c r="X374" s="56" t="s">
        <v>2472</v>
      </c>
      <c r="Y374" s="56" t="s">
        <v>2670</v>
      </c>
    </row>
    <row r="375" spans="1:25">
      <c r="A375" s="54">
        <v>372</v>
      </c>
      <c r="B375" s="55" t="s">
        <v>2671</v>
      </c>
      <c r="C375" s="56" t="s">
        <v>2672</v>
      </c>
      <c r="D375" s="54" t="s">
        <v>2550</v>
      </c>
      <c r="E375" s="54" t="s">
        <v>2461</v>
      </c>
      <c r="F375" s="56" t="s"/>
      <c r="G375" s="56" t="s"/>
      <c r="H375" s="56" t="s"/>
      <c r="I375" s="54" t="s">
        <v>2551</v>
      </c>
      <c r="J375" s="56" t="s">
        <v>2673</v>
      </c>
      <c r="K375" s="54" t="s">
        <v>2646</v>
      </c>
      <c r="L375" s="54" t="s">
        <v>1563</v>
      </c>
      <c r="M375" s="54" t="s">
        <v>314</v>
      </c>
      <c r="N375" s="56" t="s">
        <v>314</v>
      </c>
      <c r="O375" s="54" t="s">
        <v>314</v>
      </c>
      <c r="P375" s="56" t="s">
        <v>2522</v>
      </c>
      <c r="Q375" s="56" t="s">
        <v>2466</v>
      </c>
      <c r="R375" s="54" t="s">
        <v>2467</v>
      </c>
      <c r="S375" s="54" t="s">
        <v>2554</v>
      </c>
      <c r="T375" s="54" t="s">
        <v>314</v>
      </c>
      <c r="U375" s="56" t="s">
        <v>1023</v>
      </c>
      <c r="V375" s="56" t="s">
        <v>2470</v>
      </c>
      <c r="W375" s="57" t="s">
        <v>2674</v>
      </c>
      <c r="X375" s="56" t="s">
        <v>2472</v>
      </c>
      <c r="Y375" s="56" t="s">
        <v>2675</v>
      </c>
    </row>
    <row r="376" spans="1:25">
      <c r="A376" s="54">
        <v>373</v>
      </c>
      <c r="B376" s="55" t="s">
        <v>2676</v>
      </c>
      <c r="C376" s="56" t="s">
        <v>2677</v>
      </c>
      <c r="D376" s="54" t="s">
        <v>2550</v>
      </c>
      <c r="E376" s="54" t="s">
        <v>2461</v>
      </c>
      <c r="F376" s="56" t="s"/>
      <c r="G376" s="56" t="s"/>
      <c r="H376" s="56" t="s"/>
      <c r="I376" s="54" t="s">
        <v>2551</v>
      </c>
      <c r="J376" s="56" t="s">
        <v>2678</v>
      </c>
      <c r="K376" s="54" t="s">
        <v>2652</v>
      </c>
      <c r="L376" s="54" t="s">
        <v>1563</v>
      </c>
      <c r="M376" s="54" t="s">
        <v>314</v>
      </c>
      <c r="N376" s="56" t="s">
        <v>314</v>
      </c>
      <c r="O376" s="54" t="s">
        <v>314</v>
      </c>
      <c r="P376" s="56" t="s">
        <v>2522</v>
      </c>
      <c r="Q376" s="56" t="s">
        <v>2466</v>
      </c>
      <c r="R376" s="54" t="s">
        <v>2467</v>
      </c>
      <c r="S376" s="54" t="s">
        <v>2554</v>
      </c>
      <c r="T376" s="54" t="s">
        <v>314</v>
      </c>
      <c r="U376" s="56" t="s">
        <v>1023</v>
      </c>
      <c r="V376" s="56" t="s">
        <v>2470</v>
      </c>
      <c r="W376" s="57" t="s">
        <v>2679</v>
      </c>
      <c r="X376" s="56" t="s">
        <v>2472</v>
      </c>
      <c r="Y376" s="56" t="s">
        <v>2680</v>
      </c>
    </row>
    <row r="377" spans="1:25">
      <c r="A377" s="54">
        <v>374</v>
      </c>
      <c r="B377" s="55" t="s">
        <v>2681</v>
      </c>
      <c r="C377" s="56" t="s">
        <v>2682</v>
      </c>
      <c r="D377" s="54" t="s">
        <v>2550</v>
      </c>
      <c r="E377" s="54" t="s">
        <v>2461</v>
      </c>
      <c r="F377" s="56" t="s"/>
      <c r="G377" s="56" t="s"/>
      <c r="H377" s="56" t="s"/>
      <c r="I377" s="54" t="s">
        <v>2551</v>
      </c>
      <c r="J377" s="56" t="s">
        <v>2683</v>
      </c>
      <c r="K377" s="54" t="s">
        <v>2658</v>
      </c>
      <c r="L377" s="54" t="s">
        <v>1563</v>
      </c>
      <c r="M377" s="54" t="s">
        <v>314</v>
      </c>
      <c r="N377" s="56" t="s">
        <v>314</v>
      </c>
      <c r="O377" s="54" t="s">
        <v>314</v>
      </c>
      <c r="P377" s="56" t="s">
        <v>2522</v>
      </c>
      <c r="Q377" s="56" t="s">
        <v>2466</v>
      </c>
      <c r="R377" s="54" t="s">
        <v>2467</v>
      </c>
      <c r="S377" s="54" t="s">
        <v>2554</v>
      </c>
      <c r="T377" s="54" t="s">
        <v>314</v>
      </c>
      <c r="U377" s="56" t="s">
        <v>1023</v>
      </c>
      <c r="V377" s="56" t="s">
        <v>2470</v>
      </c>
      <c r="W377" s="57" t="s">
        <v>2684</v>
      </c>
      <c r="X377" s="56" t="s">
        <v>2472</v>
      </c>
      <c r="Y377" s="56" t="s">
        <v>2685</v>
      </c>
    </row>
    <row r="378" spans="1:25">
      <c r="A378" s="54">
        <v>375</v>
      </c>
      <c r="B378" s="55" t="s">
        <v>2686</v>
      </c>
      <c r="C378" s="56" t="s">
        <v>2687</v>
      </c>
      <c r="D378" s="54" t="s">
        <v>2550</v>
      </c>
      <c r="E378" s="54" t="s">
        <v>2461</v>
      </c>
      <c r="F378" s="56" t="s"/>
      <c r="G378" s="56" t="s"/>
      <c r="H378" s="56" t="s"/>
      <c r="I378" s="54" t="s">
        <v>2551</v>
      </c>
      <c r="J378" s="56" t="s">
        <v>2688</v>
      </c>
      <c r="K378" s="54" t="s">
        <v>2646</v>
      </c>
      <c r="L378" s="54" t="s">
        <v>1563</v>
      </c>
      <c r="M378" s="54" t="s">
        <v>314</v>
      </c>
      <c r="N378" s="56" t="s">
        <v>314</v>
      </c>
      <c r="O378" s="54" t="s">
        <v>314</v>
      </c>
      <c r="P378" s="56" t="s">
        <v>2522</v>
      </c>
      <c r="Q378" s="56" t="s">
        <v>2466</v>
      </c>
      <c r="R378" s="54" t="s">
        <v>2467</v>
      </c>
      <c r="S378" s="54" t="s">
        <v>2554</v>
      </c>
      <c r="T378" s="54" t="s">
        <v>314</v>
      </c>
      <c r="U378" s="56" t="s">
        <v>1023</v>
      </c>
      <c r="V378" s="56" t="s">
        <v>2470</v>
      </c>
      <c r="W378" s="57" t="s">
        <v>2689</v>
      </c>
      <c r="X378" s="56" t="s">
        <v>2472</v>
      </c>
      <c r="Y378" s="56" t="s">
        <v>2690</v>
      </c>
    </row>
    <row r="379" spans="1:25">
      <c r="A379" s="54">
        <v>376</v>
      </c>
      <c r="B379" s="55" t="s">
        <v>2691</v>
      </c>
      <c r="C379" s="56" t="s">
        <v>2692</v>
      </c>
      <c r="D379" s="54" t="s">
        <v>2550</v>
      </c>
      <c r="E379" s="54" t="s">
        <v>2461</v>
      </c>
      <c r="F379" s="56" t="s"/>
      <c r="G379" s="56" t="s"/>
      <c r="H379" s="56" t="s"/>
      <c r="I379" s="54" t="s">
        <v>2551</v>
      </c>
      <c r="J379" s="56" t="s">
        <v>2693</v>
      </c>
      <c r="K379" s="54" t="s">
        <v>2652</v>
      </c>
      <c r="L379" s="54" t="s">
        <v>1563</v>
      </c>
      <c r="M379" s="54" t="s">
        <v>314</v>
      </c>
      <c r="N379" s="56" t="s">
        <v>314</v>
      </c>
      <c r="O379" s="54" t="s">
        <v>314</v>
      </c>
      <c r="P379" s="56" t="s">
        <v>2522</v>
      </c>
      <c r="Q379" s="56" t="s">
        <v>2466</v>
      </c>
      <c r="R379" s="54" t="s">
        <v>2467</v>
      </c>
      <c r="S379" s="54" t="s">
        <v>2554</v>
      </c>
      <c r="T379" s="54" t="s">
        <v>314</v>
      </c>
      <c r="U379" s="56" t="s">
        <v>1023</v>
      </c>
      <c r="V379" s="56" t="s">
        <v>2470</v>
      </c>
      <c r="W379" s="57" t="s">
        <v>2694</v>
      </c>
      <c r="X379" s="56" t="s">
        <v>2472</v>
      </c>
      <c r="Y379" s="56" t="s">
        <v>2695</v>
      </c>
    </row>
    <row r="380" spans="1:25">
      <c r="A380" s="54">
        <v>377</v>
      </c>
      <c r="B380" s="55" t="s">
        <v>2696</v>
      </c>
      <c r="C380" s="56" t="s">
        <v>2697</v>
      </c>
      <c r="D380" s="54" t="s">
        <v>2550</v>
      </c>
      <c r="E380" s="54" t="s">
        <v>2461</v>
      </c>
      <c r="F380" s="56" t="s"/>
      <c r="G380" s="56" t="s"/>
      <c r="H380" s="56" t="s"/>
      <c r="I380" s="54" t="s">
        <v>2551</v>
      </c>
      <c r="J380" s="56" t="s">
        <v>2698</v>
      </c>
      <c r="K380" s="54" t="s">
        <v>2646</v>
      </c>
      <c r="L380" s="54" t="s">
        <v>1563</v>
      </c>
      <c r="M380" s="54" t="s">
        <v>314</v>
      </c>
      <c r="N380" s="56" t="s">
        <v>314</v>
      </c>
      <c r="O380" s="54" t="s">
        <v>314</v>
      </c>
      <c r="P380" s="56" t="s">
        <v>2522</v>
      </c>
      <c r="Q380" s="56" t="s">
        <v>2466</v>
      </c>
      <c r="R380" s="54" t="s">
        <v>2467</v>
      </c>
      <c r="S380" s="54" t="s">
        <v>2554</v>
      </c>
      <c r="T380" s="54" t="s">
        <v>314</v>
      </c>
      <c r="U380" s="56" t="s">
        <v>1023</v>
      </c>
      <c r="V380" s="56" t="s">
        <v>2470</v>
      </c>
      <c r="W380" s="57" t="s">
        <v>2699</v>
      </c>
      <c r="X380" s="56" t="s">
        <v>2472</v>
      </c>
      <c r="Y380" s="56" t="s">
        <v>2700</v>
      </c>
    </row>
    <row r="381" spans="1:25">
      <c r="A381" s="54">
        <v>378</v>
      </c>
      <c r="B381" s="55" t="s">
        <v>2701</v>
      </c>
      <c r="C381" s="56" t="s">
        <v>2702</v>
      </c>
      <c r="D381" s="54" t="s">
        <v>2550</v>
      </c>
      <c r="E381" s="54" t="s">
        <v>2461</v>
      </c>
      <c r="F381" s="56" t="s"/>
      <c r="G381" s="56" t="s"/>
      <c r="H381" s="56" t="s"/>
      <c r="I381" s="54" t="s">
        <v>2551</v>
      </c>
      <c r="J381" s="56" t="s">
        <v>2703</v>
      </c>
      <c r="K381" s="54" t="s">
        <v>2652</v>
      </c>
      <c r="L381" s="54" t="s">
        <v>1563</v>
      </c>
      <c r="M381" s="54" t="s">
        <v>314</v>
      </c>
      <c r="N381" s="56" t="s">
        <v>314</v>
      </c>
      <c r="O381" s="54" t="s">
        <v>314</v>
      </c>
      <c r="P381" s="56" t="s">
        <v>2522</v>
      </c>
      <c r="Q381" s="56" t="s">
        <v>2466</v>
      </c>
      <c r="R381" s="54" t="s">
        <v>2467</v>
      </c>
      <c r="S381" s="54" t="s">
        <v>2554</v>
      </c>
      <c r="T381" s="54" t="s">
        <v>314</v>
      </c>
      <c r="U381" s="56" t="s">
        <v>1023</v>
      </c>
      <c r="V381" s="56" t="s">
        <v>2470</v>
      </c>
      <c r="W381" s="57" t="s">
        <v>2704</v>
      </c>
      <c r="X381" s="56" t="s">
        <v>2472</v>
      </c>
      <c r="Y381" s="56" t="s">
        <v>2705</v>
      </c>
    </row>
    <row r="382" spans="1:25">
      <c r="A382" s="54">
        <v>379</v>
      </c>
      <c r="B382" s="55" t="s">
        <v>2706</v>
      </c>
      <c r="C382" s="56" t="s">
        <v>2707</v>
      </c>
      <c r="D382" s="54" t="s">
        <v>2550</v>
      </c>
      <c r="E382" s="54" t="s">
        <v>2461</v>
      </c>
      <c r="F382" s="56" t="s"/>
      <c r="G382" s="56" t="s"/>
      <c r="H382" s="56" t="s"/>
      <c r="I382" s="54" t="s">
        <v>2551</v>
      </c>
      <c r="J382" s="56" t="s">
        <v>2708</v>
      </c>
      <c r="K382" s="54" t="s">
        <v>2658</v>
      </c>
      <c r="L382" s="54" t="s">
        <v>1563</v>
      </c>
      <c r="M382" s="54" t="s">
        <v>314</v>
      </c>
      <c r="N382" s="56" t="s">
        <v>314</v>
      </c>
      <c r="O382" s="54" t="s">
        <v>314</v>
      </c>
      <c r="P382" s="56" t="s">
        <v>2522</v>
      </c>
      <c r="Q382" s="56" t="s">
        <v>2466</v>
      </c>
      <c r="R382" s="54" t="s">
        <v>2467</v>
      </c>
      <c r="S382" s="54" t="s">
        <v>2554</v>
      </c>
      <c r="T382" s="54" t="s">
        <v>314</v>
      </c>
      <c r="U382" s="56" t="s">
        <v>1023</v>
      </c>
      <c r="V382" s="56" t="s">
        <v>2470</v>
      </c>
      <c r="W382" s="57" t="s">
        <v>2709</v>
      </c>
      <c r="X382" s="56" t="s">
        <v>2472</v>
      </c>
      <c r="Y382" s="56" t="s">
        <v>2710</v>
      </c>
    </row>
    <row r="383" spans="1:25">
      <c r="A383" s="54">
        <v>380</v>
      </c>
      <c r="B383" s="55" t="s">
        <v>2711</v>
      </c>
      <c r="C383" s="56" t="s">
        <v>2712</v>
      </c>
      <c r="D383" s="54" t="s">
        <v>2550</v>
      </c>
      <c r="E383" s="54" t="s">
        <v>2461</v>
      </c>
      <c r="F383" s="56" t="s"/>
      <c r="G383" s="56" t="s"/>
      <c r="H383" s="56" t="s"/>
      <c r="I383" s="54" t="s">
        <v>2551</v>
      </c>
      <c r="J383" s="56" t="s">
        <v>2713</v>
      </c>
      <c r="K383" s="54" t="s">
        <v>2646</v>
      </c>
      <c r="L383" s="54" t="s">
        <v>1563</v>
      </c>
      <c r="M383" s="54" t="s">
        <v>314</v>
      </c>
      <c r="N383" s="56" t="s">
        <v>314</v>
      </c>
      <c r="O383" s="54" t="s">
        <v>314</v>
      </c>
      <c r="P383" s="56" t="s">
        <v>2522</v>
      </c>
      <c r="Q383" s="56" t="s">
        <v>2466</v>
      </c>
      <c r="R383" s="54" t="s">
        <v>2467</v>
      </c>
      <c r="S383" s="54" t="s">
        <v>2554</v>
      </c>
      <c r="T383" s="54" t="s">
        <v>314</v>
      </c>
      <c r="U383" s="56" t="s">
        <v>1023</v>
      </c>
      <c r="V383" s="56" t="s">
        <v>2470</v>
      </c>
      <c r="W383" s="57" t="s">
        <v>2714</v>
      </c>
      <c r="X383" s="56" t="s">
        <v>2472</v>
      </c>
      <c r="Y383" s="56" t="s">
        <v>2715</v>
      </c>
    </row>
    <row r="384" spans="1:25">
      <c r="A384" s="54">
        <v>381</v>
      </c>
      <c r="B384" s="55" t="s">
        <v>2716</v>
      </c>
      <c r="C384" s="56" t="s">
        <v>2717</v>
      </c>
      <c r="D384" s="54" t="s">
        <v>2550</v>
      </c>
      <c r="E384" s="54" t="s">
        <v>2461</v>
      </c>
      <c r="F384" s="56" t="s"/>
      <c r="G384" s="56" t="s"/>
      <c r="H384" s="56" t="s"/>
      <c r="I384" s="54" t="s">
        <v>2551</v>
      </c>
      <c r="J384" s="56" t="s">
        <v>2718</v>
      </c>
      <c r="K384" s="54" t="s">
        <v>2652</v>
      </c>
      <c r="L384" s="54" t="s">
        <v>1563</v>
      </c>
      <c r="M384" s="54" t="s">
        <v>314</v>
      </c>
      <c r="N384" s="56" t="s">
        <v>314</v>
      </c>
      <c r="O384" s="54" t="s">
        <v>314</v>
      </c>
      <c r="P384" s="56" t="s">
        <v>2522</v>
      </c>
      <c r="Q384" s="56" t="s">
        <v>2466</v>
      </c>
      <c r="R384" s="54" t="s">
        <v>2467</v>
      </c>
      <c r="S384" s="54" t="s">
        <v>2554</v>
      </c>
      <c r="T384" s="54" t="s">
        <v>314</v>
      </c>
      <c r="U384" s="56" t="s">
        <v>1023</v>
      </c>
      <c r="V384" s="56" t="s">
        <v>2470</v>
      </c>
      <c r="W384" s="57" t="s">
        <v>2719</v>
      </c>
      <c r="X384" s="56" t="s">
        <v>2472</v>
      </c>
      <c r="Y384" s="56" t="s">
        <v>2720</v>
      </c>
    </row>
    <row r="385" spans="1:25">
      <c r="A385" s="54">
        <v>382</v>
      </c>
      <c r="B385" s="55" t="s">
        <v>2721</v>
      </c>
      <c r="C385" s="56" t="s">
        <v>2722</v>
      </c>
      <c r="D385" s="54" t="s">
        <v>2550</v>
      </c>
      <c r="E385" s="54" t="s">
        <v>2461</v>
      </c>
      <c r="F385" s="56" t="s"/>
      <c r="G385" s="56" t="s"/>
      <c r="H385" s="56" t="s"/>
      <c r="I385" s="54" t="s">
        <v>2551</v>
      </c>
      <c r="J385" s="56" t="s">
        <v>2723</v>
      </c>
      <c r="K385" s="54" t="s">
        <v>2646</v>
      </c>
      <c r="L385" s="54" t="s">
        <v>1563</v>
      </c>
      <c r="M385" s="54" t="s">
        <v>314</v>
      </c>
      <c r="N385" s="56" t="s">
        <v>314</v>
      </c>
      <c r="O385" s="54" t="s">
        <v>314</v>
      </c>
      <c r="P385" s="56" t="s">
        <v>2522</v>
      </c>
      <c r="Q385" s="56" t="s">
        <v>2466</v>
      </c>
      <c r="R385" s="54" t="s">
        <v>2467</v>
      </c>
      <c r="S385" s="54" t="s">
        <v>2554</v>
      </c>
      <c r="T385" s="54" t="s">
        <v>314</v>
      </c>
      <c r="U385" s="56" t="s">
        <v>1023</v>
      </c>
      <c r="V385" s="56" t="s">
        <v>2470</v>
      </c>
      <c r="W385" s="57" t="s">
        <v>2724</v>
      </c>
      <c r="X385" s="56" t="s">
        <v>2472</v>
      </c>
      <c r="Y385" s="56" t="s">
        <v>2725</v>
      </c>
    </row>
    <row r="386" spans="1:25">
      <c r="A386" s="54">
        <v>383</v>
      </c>
      <c r="B386" s="55" t="s">
        <v>2726</v>
      </c>
      <c r="C386" s="56" t="s">
        <v>2727</v>
      </c>
      <c r="D386" s="54" t="s">
        <v>2550</v>
      </c>
      <c r="E386" s="54" t="s">
        <v>2461</v>
      </c>
      <c r="F386" s="56" t="s"/>
      <c r="G386" s="56" t="s"/>
      <c r="H386" s="56" t="s"/>
      <c r="I386" s="54" t="s">
        <v>2551</v>
      </c>
      <c r="J386" s="56" t="s">
        <v>2728</v>
      </c>
      <c r="K386" s="54" t="s">
        <v>2652</v>
      </c>
      <c r="L386" s="54" t="s">
        <v>1563</v>
      </c>
      <c r="M386" s="54" t="s">
        <v>314</v>
      </c>
      <c r="N386" s="56" t="s">
        <v>314</v>
      </c>
      <c r="O386" s="54" t="s">
        <v>314</v>
      </c>
      <c r="P386" s="56" t="s">
        <v>2522</v>
      </c>
      <c r="Q386" s="56" t="s">
        <v>2466</v>
      </c>
      <c r="R386" s="54" t="s">
        <v>2467</v>
      </c>
      <c r="S386" s="54" t="s">
        <v>2554</v>
      </c>
      <c r="T386" s="54" t="s">
        <v>314</v>
      </c>
      <c r="U386" s="56" t="s">
        <v>1023</v>
      </c>
      <c r="V386" s="56" t="s">
        <v>2470</v>
      </c>
      <c r="W386" s="57" t="s">
        <v>2729</v>
      </c>
      <c r="X386" s="56" t="s">
        <v>2472</v>
      </c>
      <c r="Y386" s="56" t="s">
        <v>2730</v>
      </c>
    </row>
    <row r="387" spans="1:25">
      <c r="A387" s="54">
        <v>384</v>
      </c>
      <c r="B387" s="55" t="s">
        <v>2731</v>
      </c>
      <c r="C387" s="56" t="s">
        <v>2732</v>
      </c>
      <c r="D387" s="54" t="s">
        <v>2550</v>
      </c>
      <c r="E387" s="54" t="s">
        <v>2461</v>
      </c>
      <c r="F387" s="56" t="s"/>
      <c r="G387" s="56" t="s"/>
      <c r="H387" s="56" t="s"/>
      <c r="I387" s="54" t="s">
        <v>2551</v>
      </c>
      <c r="J387" s="56" t="s">
        <v>2733</v>
      </c>
      <c r="K387" s="54" t="s">
        <v>2646</v>
      </c>
      <c r="L387" s="54" t="s">
        <v>1563</v>
      </c>
      <c r="M387" s="54" t="s">
        <v>314</v>
      </c>
      <c r="N387" s="56" t="s">
        <v>314</v>
      </c>
      <c r="O387" s="54" t="s">
        <v>314</v>
      </c>
      <c r="P387" s="56" t="s">
        <v>2522</v>
      </c>
      <c r="Q387" s="56" t="s">
        <v>2466</v>
      </c>
      <c r="R387" s="54" t="s">
        <v>2467</v>
      </c>
      <c r="S387" s="54" t="s">
        <v>2554</v>
      </c>
      <c r="T387" s="54" t="s">
        <v>314</v>
      </c>
      <c r="U387" s="56" t="s">
        <v>1023</v>
      </c>
      <c r="V387" s="56" t="s">
        <v>2470</v>
      </c>
      <c r="W387" s="57" t="s">
        <v>2734</v>
      </c>
      <c r="X387" s="56" t="s">
        <v>2472</v>
      </c>
      <c r="Y387" s="56" t="s">
        <v>2735</v>
      </c>
    </row>
    <row r="388" spans="1:25">
      <c r="A388" s="54">
        <v>385</v>
      </c>
      <c r="B388" s="55" t="s">
        <v>2736</v>
      </c>
      <c r="C388" s="56" t="s">
        <v>2737</v>
      </c>
      <c r="D388" s="54" t="s">
        <v>2550</v>
      </c>
      <c r="E388" s="54" t="s">
        <v>2461</v>
      </c>
      <c r="F388" s="56" t="s"/>
      <c r="G388" s="56" t="s"/>
      <c r="H388" s="56" t="s"/>
      <c r="I388" s="54" t="s">
        <v>2551</v>
      </c>
      <c r="J388" s="56" t="s">
        <v>2738</v>
      </c>
      <c r="K388" s="54" t="s">
        <v>2652</v>
      </c>
      <c r="L388" s="54" t="s">
        <v>1563</v>
      </c>
      <c r="M388" s="54" t="s">
        <v>314</v>
      </c>
      <c r="N388" s="56" t="s">
        <v>314</v>
      </c>
      <c r="O388" s="54" t="s">
        <v>314</v>
      </c>
      <c r="P388" s="56" t="s">
        <v>2522</v>
      </c>
      <c r="Q388" s="56" t="s">
        <v>2466</v>
      </c>
      <c r="R388" s="54" t="s">
        <v>2467</v>
      </c>
      <c r="S388" s="54" t="s">
        <v>2554</v>
      </c>
      <c r="T388" s="54" t="s">
        <v>314</v>
      </c>
      <c r="U388" s="56" t="s">
        <v>1023</v>
      </c>
      <c r="V388" s="56" t="s">
        <v>2470</v>
      </c>
      <c r="W388" s="57" t="s">
        <v>2739</v>
      </c>
      <c r="X388" s="56" t="s">
        <v>2472</v>
      </c>
      <c r="Y388" s="56" t="s">
        <v>2740</v>
      </c>
    </row>
    <row r="389" spans="1:25">
      <c r="A389" s="54">
        <v>386</v>
      </c>
      <c r="B389" s="55" t="s">
        <v>2741</v>
      </c>
      <c r="C389" s="56" t="s">
        <v>2742</v>
      </c>
      <c r="D389" s="54" t="s">
        <v>2550</v>
      </c>
      <c r="E389" s="54" t="s">
        <v>2461</v>
      </c>
      <c r="F389" s="56" t="s"/>
      <c r="G389" s="56" t="s"/>
      <c r="H389" s="56" t="s"/>
      <c r="I389" s="54" t="s">
        <v>2551</v>
      </c>
      <c r="J389" s="56" t="s">
        <v>2743</v>
      </c>
      <c r="K389" s="54" t="s">
        <v>2646</v>
      </c>
      <c r="L389" s="54" t="s">
        <v>1563</v>
      </c>
      <c r="M389" s="54" t="s">
        <v>314</v>
      </c>
      <c r="N389" s="56" t="s">
        <v>314</v>
      </c>
      <c r="O389" s="54" t="s">
        <v>314</v>
      </c>
      <c r="P389" s="56" t="s">
        <v>2522</v>
      </c>
      <c r="Q389" s="56" t="s">
        <v>2466</v>
      </c>
      <c r="R389" s="54" t="s">
        <v>2467</v>
      </c>
      <c r="S389" s="54" t="s">
        <v>2554</v>
      </c>
      <c r="T389" s="54" t="s">
        <v>314</v>
      </c>
      <c r="U389" s="56" t="s">
        <v>1023</v>
      </c>
      <c r="V389" s="56" t="s">
        <v>2470</v>
      </c>
      <c r="W389" s="57" t="s">
        <v>2744</v>
      </c>
      <c r="X389" s="56" t="s">
        <v>2472</v>
      </c>
      <c r="Y389" s="56" t="s">
        <v>2745</v>
      </c>
    </row>
    <row r="390" spans="1:25">
      <c r="A390" s="54">
        <v>387</v>
      </c>
      <c r="B390" s="55" t="s">
        <v>2746</v>
      </c>
      <c r="C390" s="56" t="s">
        <v>2747</v>
      </c>
      <c r="D390" s="54" t="s">
        <v>2550</v>
      </c>
      <c r="E390" s="54" t="s">
        <v>2461</v>
      </c>
      <c r="F390" s="56" t="s"/>
      <c r="G390" s="56" t="s"/>
      <c r="H390" s="56" t="s"/>
      <c r="I390" s="54" t="s">
        <v>2551</v>
      </c>
      <c r="J390" s="56" t="s">
        <v>2748</v>
      </c>
      <c r="K390" s="54" t="s">
        <v>2652</v>
      </c>
      <c r="L390" s="54" t="s">
        <v>1563</v>
      </c>
      <c r="M390" s="54" t="s">
        <v>314</v>
      </c>
      <c r="N390" s="56" t="s">
        <v>314</v>
      </c>
      <c r="O390" s="54" t="s">
        <v>314</v>
      </c>
      <c r="P390" s="56" t="s">
        <v>2522</v>
      </c>
      <c r="Q390" s="56" t="s">
        <v>2466</v>
      </c>
      <c r="R390" s="54" t="s">
        <v>2467</v>
      </c>
      <c r="S390" s="54" t="s">
        <v>2554</v>
      </c>
      <c r="T390" s="54" t="s">
        <v>314</v>
      </c>
      <c r="U390" s="56" t="s">
        <v>1023</v>
      </c>
      <c r="V390" s="56" t="s">
        <v>2470</v>
      </c>
      <c r="W390" s="57" t="s">
        <v>2749</v>
      </c>
      <c r="X390" s="56" t="s">
        <v>2472</v>
      </c>
      <c r="Y390" s="56" t="s">
        <v>2750</v>
      </c>
    </row>
    <row r="391" spans="1:25">
      <c r="A391" s="54">
        <v>388</v>
      </c>
      <c r="B391" s="55" t="s">
        <v>2751</v>
      </c>
      <c r="C391" s="56" t="s">
        <v>2752</v>
      </c>
      <c r="D391" s="54" t="s">
        <v>2550</v>
      </c>
      <c r="E391" s="54" t="s">
        <v>2461</v>
      </c>
      <c r="F391" s="56" t="s"/>
      <c r="G391" s="56" t="s"/>
      <c r="H391" s="56" t="s"/>
      <c r="I391" s="54" t="s">
        <v>2551</v>
      </c>
      <c r="J391" s="56" t="s">
        <v>2753</v>
      </c>
      <c r="K391" s="54" t="s">
        <v>2646</v>
      </c>
      <c r="L391" s="54" t="s">
        <v>1563</v>
      </c>
      <c r="M391" s="54" t="s">
        <v>314</v>
      </c>
      <c r="N391" s="56" t="s">
        <v>314</v>
      </c>
      <c r="O391" s="54" t="s">
        <v>314</v>
      </c>
      <c r="P391" s="56" t="s">
        <v>2522</v>
      </c>
      <c r="Q391" s="56" t="s">
        <v>2466</v>
      </c>
      <c r="R391" s="54" t="s">
        <v>2467</v>
      </c>
      <c r="S391" s="54" t="s">
        <v>2554</v>
      </c>
      <c r="T391" s="54" t="s">
        <v>314</v>
      </c>
      <c r="U391" s="56" t="s">
        <v>1023</v>
      </c>
      <c r="V391" s="56" t="s">
        <v>2470</v>
      </c>
      <c r="W391" s="57" t="s">
        <v>2754</v>
      </c>
      <c r="X391" s="56" t="s">
        <v>2472</v>
      </c>
      <c r="Y391" s="56" t="s">
        <v>2755</v>
      </c>
    </row>
    <row r="392" spans="1:25">
      <c r="A392" s="54">
        <v>389</v>
      </c>
      <c r="B392" s="55" t="s">
        <v>2756</v>
      </c>
      <c r="C392" s="56" t="s">
        <v>2757</v>
      </c>
      <c r="D392" s="54" t="s">
        <v>2550</v>
      </c>
      <c r="E392" s="54" t="s">
        <v>2461</v>
      </c>
      <c r="F392" s="56" t="s"/>
      <c r="G392" s="56" t="s"/>
      <c r="H392" s="56" t="s"/>
      <c r="I392" s="54" t="s">
        <v>2551</v>
      </c>
      <c r="J392" s="56" t="s">
        <v>2758</v>
      </c>
      <c r="K392" s="54" t="s">
        <v>2652</v>
      </c>
      <c r="L392" s="54" t="s">
        <v>1563</v>
      </c>
      <c r="M392" s="54" t="s">
        <v>314</v>
      </c>
      <c r="N392" s="56" t="s">
        <v>314</v>
      </c>
      <c r="O392" s="54" t="s">
        <v>314</v>
      </c>
      <c r="P392" s="56" t="s">
        <v>2522</v>
      </c>
      <c r="Q392" s="56" t="s">
        <v>2466</v>
      </c>
      <c r="R392" s="54" t="s">
        <v>2467</v>
      </c>
      <c r="S392" s="54" t="s">
        <v>2554</v>
      </c>
      <c r="T392" s="54" t="s">
        <v>314</v>
      </c>
      <c r="U392" s="56" t="s">
        <v>1023</v>
      </c>
      <c r="V392" s="56" t="s">
        <v>2470</v>
      </c>
      <c r="W392" s="57" t="s">
        <v>2759</v>
      </c>
      <c r="X392" s="56" t="s">
        <v>2472</v>
      </c>
      <c r="Y392" s="56" t="s">
        <v>2760</v>
      </c>
    </row>
    <row r="393" spans="1:25">
      <c r="A393" s="54">
        <v>390</v>
      </c>
      <c r="B393" s="55" t="s">
        <v>2761</v>
      </c>
      <c r="C393" s="56" t="s">
        <v>2762</v>
      </c>
      <c r="D393" s="54" t="s">
        <v>2550</v>
      </c>
      <c r="E393" s="54" t="s">
        <v>2461</v>
      </c>
      <c r="F393" s="56" t="s"/>
      <c r="G393" s="56" t="s"/>
      <c r="H393" s="56" t="s"/>
      <c r="I393" s="54" t="s">
        <v>2551</v>
      </c>
      <c r="J393" s="56" t="s">
        <v>2763</v>
      </c>
      <c r="K393" s="54" t="s">
        <v>2646</v>
      </c>
      <c r="L393" s="54" t="s">
        <v>1563</v>
      </c>
      <c r="M393" s="54" t="s">
        <v>314</v>
      </c>
      <c r="N393" s="56" t="s">
        <v>314</v>
      </c>
      <c r="O393" s="54" t="s">
        <v>314</v>
      </c>
      <c r="P393" s="56" t="s">
        <v>2522</v>
      </c>
      <c r="Q393" s="56" t="s">
        <v>2466</v>
      </c>
      <c r="R393" s="54" t="s">
        <v>2467</v>
      </c>
      <c r="S393" s="54" t="s">
        <v>2554</v>
      </c>
      <c r="T393" s="54" t="s">
        <v>314</v>
      </c>
      <c r="U393" s="56" t="s">
        <v>1023</v>
      </c>
      <c r="V393" s="56" t="s">
        <v>2470</v>
      </c>
      <c r="W393" s="57" t="s">
        <v>2764</v>
      </c>
      <c r="X393" s="56" t="s">
        <v>2472</v>
      </c>
      <c r="Y393" s="56" t="s">
        <v>2765</v>
      </c>
    </row>
    <row r="394" spans="1:25">
      <c r="A394" s="54">
        <v>391</v>
      </c>
      <c r="B394" s="55" t="s">
        <v>2766</v>
      </c>
      <c r="C394" s="56" t="s">
        <v>2767</v>
      </c>
      <c r="D394" s="54" t="s">
        <v>2550</v>
      </c>
      <c r="E394" s="54" t="s">
        <v>2461</v>
      </c>
      <c r="F394" s="56" t="s"/>
      <c r="G394" s="56" t="s"/>
      <c r="H394" s="56" t="s"/>
      <c r="I394" s="54" t="s">
        <v>2551</v>
      </c>
      <c r="J394" s="56" t="s">
        <v>2768</v>
      </c>
      <c r="K394" s="54" t="s">
        <v>2652</v>
      </c>
      <c r="L394" s="54" t="s">
        <v>1563</v>
      </c>
      <c r="M394" s="54" t="s">
        <v>314</v>
      </c>
      <c r="N394" s="56" t="s">
        <v>314</v>
      </c>
      <c r="O394" s="54" t="s">
        <v>314</v>
      </c>
      <c r="P394" s="56" t="s">
        <v>2522</v>
      </c>
      <c r="Q394" s="56" t="s">
        <v>2466</v>
      </c>
      <c r="R394" s="54" t="s">
        <v>2467</v>
      </c>
      <c r="S394" s="54" t="s">
        <v>2554</v>
      </c>
      <c r="T394" s="54" t="s">
        <v>314</v>
      </c>
      <c r="U394" s="56" t="s">
        <v>1023</v>
      </c>
      <c r="V394" s="56" t="s">
        <v>2470</v>
      </c>
      <c r="W394" s="57" t="s">
        <v>2769</v>
      </c>
      <c r="X394" s="56" t="s">
        <v>2472</v>
      </c>
      <c r="Y394" s="56" t="s">
        <v>2770</v>
      </c>
    </row>
    <row r="395" spans="1:25">
      <c r="A395" s="54">
        <v>392</v>
      </c>
      <c r="B395" s="55" t="s">
        <v>2771</v>
      </c>
      <c r="C395" s="56" t="s">
        <v>2772</v>
      </c>
      <c r="D395" s="54" t="s">
        <v>2550</v>
      </c>
      <c r="E395" s="54" t="s">
        <v>2461</v>
      </c>
      <c r="F395" s="56" t="s"/>
      <c r="G395" s="56" t="s"/>
      <c r="H395" s="56" t="s"/>
      <c r="I395" s="54" t="s">
        <v>2551</v>
      </c>
      <c r="J395" s="56" t="s">
        <v>2773</v>
      </c>
      <c r="K395" s="54" t="s">
        <v>2646</v>
      </c>
      <c r="L395" s="54" t="s">
        <v>1563</v>
      </c>
      <c r="M395" s="54" t="s">
        <v>314</v>
      </c>
      <c r="N395" s="56" t="s">
        <v>314</v>
      </c>
      <c r="O395" s="54" t="s">
        <v>314</v>
      </c>
      <c r="P395" s="56" t="s">
        <v>2522</v>
      </c>
      <c r="Q395" s="56" t="s">
        <v>2466</v>
      </c>
      <c r="R395" s="54" t="s">
        <v>2467</v>
      </c>
      <c r="S395" s="54" t="s">
        <v>2554</v>
      </c>
      <c r="T395" s="54" t="s">
        <v>314</v>
      </c>
      <c r="U395" s="56" t="s">
        <v>1023</v>
      </c>
      <c r="V395" s="56" t="s">
        <v>2470</v>
      </c>
      <c r="W395" s="57" t="s">
        <v>2774</v>
      </c>
      <c r="X395" s="56" t="s">
        <v>2472</v>
      </c>
      <c r="Y395" s="56" t="s">
        <v>2775</v>
      </c>
    </row>
    <row r="396" spans="1:25">
      <c r="A396" s="54">
        <v>393</v>
      </c>
      <c r="B396" s="55" t="s">
        <v>2776</v>
      </c>
      <c r="C396" s="56" t="s">
        <v>2777</v>
      </c>
      <c r="D396" s="54" t="s">
        <v>2550</v>
      </c>
      <c r="E396" s="54" t="s">
        <v>2461</v>
      </c>
      <c r="F396" s="56" t="s"/>
      <c r="G396" s="56" t="s"/>
      <c r="H396" s="56" t="s"/>
      <c r="I396" s="54" t="s">
        <v>2551</v>
      </c>
      <c r="J396" s="56" t="s">
        <v>2778</v>
      </c>
      <c r="K396" s="54" t="s">
        <v>2652</v>
      </c>
      <c r="L396" s="54" t="s">
        <v>1563</v>
      </c>
      <c r="M396" s="54" t="s">
        <v>314</v>
      </c>
      <c r="N396" s="56" t="s">
        <v>314</v>
      </c>
      <c r="O396" s="54" t="s">
        <v>314</v>
      </c>
      <c r="P396" s="56" t="s">
        <v>2522</v>
      </c>
      <c r="Q396" s="56" t="s">
        <v>2466</v>
      </c>
      <c r="R396" s="54" t="s">
        <v>2467</v>
      </c>
      <c r="S396" s="54" t="s">
        <v>2554</v>
      </c>
      <c r="T396" s="54" t="s">
        <v>314</v>
      </c>
      <c r="U396" s="56" t="s">
        <v>1023</v>
      </c>
      <c r="V396" s="56" t="s">
        <v>2470</v>
      </c>
      <c r="W396" s="57" t="s">
        <v>2779</v>
      </c>
      <c r="X396" s="56" t="s">
        <v>2472</v>
      </c>
      <c r="Y396" s="56" t="s">
        <v>2780</v>
      </c>
    </row>
    <row r="397" spans="1:25">
      <c r="A397" s="54">
        <v>394</v>
      </c>
      <c r="B397" s="55" t="s">
        <v>2781</v>
      </c>
      <c r="C397" s="56" t="s">
        <v>2782</v>
      </c>
      <c r="D397" s="54" t="s">
        <v>2550</v>
      </c>
      <c r="E397" s="54" t="s">
        <v>2461</v>
      </c>
      <c r="F397" s="56" t="s"/>
      <c r="G397" s="56" t="s"/>
      <c r="H397" s="56" t="s"/>
      <c r="I397" s="54" t="s">
        <v>2551</v>
      </c>
      <c r="J397" s="56" t="s">
        <v>2783</v>
      </c>
      <c r="K397" s="54" t="s">
        <v>2646</v>
      </c>
      <c r="L397" s="54" t="s">
        <v>1563</v>
      </c>
      <c r="M397" s="54" t="s">
        <v>314</v>
      </c>
      <c r="N397" s="56" t="s">
        <v>314</v>
      </c>
      <c r="O397" s="54" t="s">
        <v>314</v>
      </c>
      <c r="P397" s="56" t="s">
        <v>2522</v>
      </c>
      <c r="Q397" s="56" t="s">
        <v>2466</v>
      </c>
      <c r="R397" s="54" t="s">
        <v>2467</v>
      </c>
      <c r="S397" s="54" t="s">
        <v>2554</v>
      </c>
      <c r="T397" s="54" t="s">
        <v>314</v>
      </c>
      <c r="U397" s="56" t="s">
        <v>1023</v>
      </c>
      <c r="V397" s="56" t="s">
        <v>2470</v>
      </c>
      <c r="W397" s="57" t="s">
        <v>2784</v>
      </c>
      <c r="X397" s="56" t="s">
        <v>2472</v>
      </c>
      <c r="Y397" s="56" t="s">
        <v>2785</v>
      </c>
    </row>
    <row r="398" spans="1:25">
      <c r="A398" s="54">
        <v>395</v>
      </c>
      <c r="B398" s="55" t="s">
        <v>2786</v>
      </c>
      <c r="C398" s="56" t="s">
        <v>2787</v>
      </c>
      <c r="D398" s="54" t="s">
        <v>2550</v>
      </c>
      <c r="E398" s="54" t="s">
        <v>2461</v>
      </c>
      <c r="F398" s="56" t="s"/>
      <c r="G398" s="56" t="s"/>
      <c r="H398" s="56" t="s"/>
      <c r="I398" s="54" t="s">
        <v>2551</v>
      </c>
      <c r="J398" s="56" t="s">
        <v>2788</v>
      </c>
      <c r="K398" s="54" t="s">
        <v>2652</v>
      </c>
      <c r="L398" s="54" t="s">
        <v>1563</v>
      </c>
      <c r="M398" s="54" t="s">
        <v>314</v>
      </c>
      <c r="N398" s="56" t="s">
        <v>314</v>
      </c>
      <c r="O398" s="54" t="s">
        <v>314</v>
      </c>
      <c r="P398" s="56" t="s">
        <v>2522</v>
      </c>
      <c r="Q398" s="56" t="s">
        <v>2466</v>
      </c>
      <c r="R398" s="54" t="s">
        <v>2467</v>
      </c>
      <c r="S398" s="54" t="s">
        <v>2554</v>
      </c>
      <c r="T398" s="54" t="s">
        <v>314</v>
      </c>
      <c r="U398" s="56" t="s">
        <v>1023</v>
      </c>
      <c r="V398" s="56" t="s">
        <v>2470</v>
      </c>
      <c r="W398" s="57" t="s">
        <v>2789</v>
      </c>
      <c r="X398" s="56" t="s">
        <v>2472</v>
      </c>
      <c r="Y398" s="56" t="s">
        <v>2790</v>
      </c>
    </row>
    <row r="399" spans="1:25">
      <c r="A399" s="54">
        <v>396</v>
      </c>
      <c r="B399" s="55" t="s">
        <v>2791</v>
      </c>
      <c r="C399" s="56" t="s">
        <v>2792</v>
      </c>
      <c r="D399" s="54" t="s">
        <v>2550</v>
      </c>
      <c r="E399" s="54" t="s">
        <v>2461</v>
      </c>
      <c r="F399" s="56" t="s"/>
      <c r="G399" s="56" t="s"/>
      <c r="H399" s="56" t="s"/>
      <c r="I399" s="54" t="s">
        <v>2551</v>
      </c>
      <c r="J399" s="56" t="s">
        <v>2793</v>
      </c>
      <c r="K399" s="54" t="s">
        <v>2646</v>
      </c>
      <c r="L399" s="54" t="s">
        <v>1563</v>
      </c>
      <c r="M399" s="54" t="s">
        <v>314</v>
      </c>
      <c r="N399" s="56" t="s">
        <v>314</v>
      </c>
      <c r="O399" s="54" t="s">
        <v>314</v>
      </c>
      <c r="P399" s="56" t="s">
        <v>2522</v>
      </c>
      <c r="Q399" s="56" t="s">
        <v>2466</v>
      </c>
      <c r="R399" s="54" t="s">
        <v>2467</v>
      </c>
      <c r="S399" s="54" t="s">
        <v>2554</v>
      </c>
      <c r="T399" s="54" t="s">
        <v>314</v>
      </c>
      <c r="U399" s="56" t="s">
        <v>1023</v>
      </c>
      <c r="V399" s="56" t="s">
        <v>2470</v>
      </c>
      <c r="W399" s="57" t="s">
        <v>2794</v>
      </c>
      <c r="X399" s="56" t="s">
        <v>2472</v>
      </c>
      <c r="Y399" s="56" t="s">
        <v>2795</v>
      </c>
    </row>
    <row r="400" spans="1:25">
      <c r="A400" s="54">
        <v>397</v>
      </c>
      <c r="B400" s="55" t="s">
        <v>2796</v>
      </c>
      <c r="C400" s="56" t="s">
        <v>2797</v>
      </c>
      <c r="D400" s="54" t="s">
        <v>2550</v>
      </c>
      <c r="E400" s="54" t="s">
        <v>2461</v>
      </c>
      <c r="F400" s="56" t="s"/>
      <c r="G400" s="56" t="s"/>
      <c r="H400" s="56" t="s"/>
      <c r="I400" s="54" t="s">
        <v>2551</v>
      </c>
      <c r="J400" s="56" t="s">
        <v>2798</v>
      </c>
      <c r="K400" s="54" t="s">
        <v>2652</v>
      </c>
      <c r="L400" s="54" t="s">
        <v>1563</v>
      </c>
      <c r="M400" s="54" t="s">
        <v>314</v>
      </c>
      <c r="N400" s="56" t="s">
        <v>314</v>
      </c>
      <c r="O400" s="54" t="s">
        <v>314</v>
      </c>
      <c r="P400" s="56" t="s">
        <v>2522</v>
      </c>
      <c r="Q400" s="56" t="s">
        <v>2466</v>
      </c>
      <c r="R400" s="54" t="s">
        <v>2467</v>
      </c>
      <c r="S400" s="54" t="s">
        <v>2554</v>
      </c>
      <c r="T400" s="54" t="s">
        <v>314</v>
      </c>
      <c r="U400" s="56" t="s">
        <v>1023</v>
      </c>
      <c r="V400" s="56" t="s">
        <v>2470</v>
      </c>
      <c r="W400" s="57" t="s">
        <v>2799</v>
      </c>
      <c r="X400" s="56" t="s">
        <v>2472</v>
      </c>
      <c r="Y400" s="56" t="s">
        <v>2800</v>
      </c>
    </row>
    <row r="401" spans="1:25">
      <c r="A401" s="54">
        <v>398</v>
      </c>
      <c r="B401" s="55" t="s">
        <v>2801</v>
      </c>
      <c r="C401" s="56" t="s">
        <v>2802</v>
      </c>
      <c r="D401" s="54" t="s">
        <v>2550</v>
      </c>
      <c r="E401" s="54" t="s">
        <v>2461</v>
      </c>
      <c r="F401" s="56" t="s"/>
      <c r="G401" s="56" t="s"/>
      <c r="H401" s="56" t="s"/>
      <c r="I401" s="54" t="s">
        <v>2551</v>
      </c>
      <c r="J401" s="56" t="s">
        <v>2803</v>
      </c>
      <c r="K401" s="54" t="s">
        <v>2804</v>
      </c>
      <c r="L401" s="54" t="s">
        <v>1563</v>
      </c>
      <c r="M401" s="54" t="s">
        <v>314</v>
      </c>
      <c r="N401" s="56" t="s">
        <v>314</v>
      </c>
      <c r="O401" s="54" t="s">
        <v>314</v>
      </c>
      <c r="P401" s="56" t="s">
        <v>2522</v>
      </c>
      <c r="Q401" s="56" t="s">
        <v>2466</v>
      </c>
      <c r="R401" s="54" t="s">
        <v>2467</v>
      </c>
      <c r="S401" s="54" t="s">
        <v>2554</v>
      </c>
      <c r="T401" s="54" t="s">
        <v>314</v>
      </c>
      <c r="U401" s="56" t="s">
        <v>1023</v>
      </c>
      <c r="V401" s="56" t="s">
        <v>2470</v>
      </c>
      <c r="W401" s="57" t="s">
        <v>2805</v>
      </c>
      <c r="X401" s="56" t="s">
        <v>2472</v>
      </c>
      <c r="Y401" s="56" t="s">
        <v>2806</v>
      </c>
    </row>
    <row r="402" spans="1:25">
      <c r="A402" s="54">
        <v>399</v>
      </c>
      <c r="B402" s="55" t="s">
        <v>2807</v>
      </c>
      <c r="C402" s="56" t="s">
        <v>2808</v>
      </c>
      <c r="D402" s="54" t="s">
        <v>2550</v>
      </c>
      <c r="E402" s="54" t="s">
        <v>2461</v>
      </c>
      <c r="F402" s="56" t="s"/>
      <c r="G402" s="56" t="s"/>
      <c r="H402" s="56" t="s"/>
      <c r="I402" s="54" t="s">
        <v>2551</v>
      </c>
      <c r="J402" s="56" t="s">
        <v>2809</v>
      </c>
      <c r="K402" s="54" t="s">
        <v>2804</v>
      </c>
      <c r="L402" s="54" t="s">
        <v>1563</v>
      </c>
      <c r="M402" s="54" t="s">
        <v>314</v>
      </c>
      <c r="N402" s="56" t="s">
        <v>314</v>
      </c>
      <c r="O402" s="54" t="s">
        <v>314</v>
      </c>
      <c r="P402" s="56" t="s">
        <v>2522</v>
      </c>
      <c r="Q402" s="56" t="s">
        <v>2466</v>
      </c>
      <c r="R402" s="54" t="s">
        <v>2467</v>
      </c>
      <c r="S402" s="54" t="s">
        <v>2554</v>
      </c>
      <c r="T402" s="54" t="s">
        <v>314</v>
      </c>
      <c r="U402" s="56" t="s">
        <v>1023</v>
      </c>
      <c r="V402" s="56" t="s">
        <v>2470</v>
      </c>
      <c r="W402" s="57" t="s">
        <v>2810</v>
      </c>
      <c r="X402" s="56" t="s">
        <v>2472</v>
      </c>
      <c r="Y402" s="56" t="s">
        <v>2811</v>
      </c>
    </row>
    <row r="403" spans="1:25">
      <c r="A403" s="54">
        <v>400</v>
      </c>
      <c r="B403" s="55" t="s">
        <v>2812</v>
      </c>
      <c r="C403" s="56" t="s">
        <v>2813</v>
      </c>
      <c r="D403" s="54" t="s">
        <v>2550</v>
      </c>
      <c r="E403" s="54" t="s">
        <v>2461</v>
      </c>
      <c r="F403" s="56" t="s"/>
      <c r="G403" s="56" t="s"/>
      <c r="H403" s="56" t="s"/>
      <c r="I403" s="54" t="s">
        <v>2551</v>
      </c>
      <c r="J403" s="56" t="s">
        <v>2814</v>
      </c>
      <c r="K403" s="54" t="s">
        <v>2804</v>
      </c>
      <c r="L403" s="54" t="s">
        <v>1563</v>
      </c>
      <c r="M403" s="54" t="s">
        <v>314</v>
      </c>
      <c r="N403" s="56" t="s">
        <v>314</v>
      </c>
      <c r="O403" s="54" t="s">
        <v>314</v>
      </c>
      <c r="P403" s="56" t="s">
        <v>2522</v>
      </c>
      <c r="Q403" s="56" t="s">
        <v>2466</v>
      </c>
      <c r="R403" s="54" t="s">
        <v>2467</v>
      </c>
      <c r="S403" s="54" t="s">
        <v>2554</v>
      </c>
      <c r="T403" s="54" t="s">
        <v>314</v>
      </c>
      <c r="U403" s="56" t="s">
        <v>1023</v>
      </c>
      <c r="V403" s="56" t="s">
        <v>2470</v>
      </c>
      <c r="W403" s="57" t="s">
        <v>2815</v>
      </c>
      <c r="X403" s="56" t="s">
        <v>2472</v>
      </c>
      <c r="Y403" s="56" t="s">
        <v>2816</v>
      </c>
    </row>
    <row r="404" spans="1:25">
      <c r="A404" s="54">
        <v>401</v>
      </c>
      <c r="B404" s="55" t="s">
        <v>2817</v>
      </c>
      <c r="C404" s="56" t="s">
        <v>2818</v>
      </c>
      <c r="D404" s="54" t="s">
        <v>2550</v>
      </c>
      <c r="E404" s="54" t="s">
        <v>2461</v>
      </c>
      <c r="F404" s="56" t="s"/>
      <c r="G404" s="56" t="s"/>
      <c r="H404" s="56" t="s"/>
      <c r="I404" s="54" t="s">
        <v>2551</v>
      </c>
      <c r="J404" s="56" t="s">
        <v>2819</v>
      </c>
      <c r="K404" s="54" t="s">
        <v>2804</v>
      </c>
      <c r="L404" s="54" t="s">
        <v>1563</v>
      </c>
      <c r="M404" s="54" t="s">
        <v>314</v>
      </c>
      <c r="N404" s="56" t="s">
        <v>314</v>
      </c>
      <c r="O404" s="54" t="s">
        <v>314</v>
      </c>
      <c r="P404" s="56" t="s">
        <v>2522</v>
      </c>
      <c r="Q404" s="56" t="s">
        <v>2466</v>
      </c>
      <c r="R404" s="54" t="s">
        <v>2467</v>
      </c>
      <c r="S404" s="54" t="s">
        <v>2554</v>
      </c>
      <c r="T404" s="54" t="s">
        <v>314</v>
      </c>
      <c r="U404" s="56" t="s">
        <v>1023</v>
      </c>
      <c r="V404" s="56" t="s">
        <v>2470</v>
      </c>
      <c r="W404" s="57" t="s">
        <v>2820</v>
      </c>
      <c r="X404" s="56" t="s">
        <v>2472</v>
      </c>
      <c r="Y404" s="56" t="s">
        <v>2821</v>
      </c>
    </row>
    <row r="405" spans="1:25">
      <c r="A405" s="54">
        <v>402</v>
      </c>
      <c r="B405" s="55" t="s">
        <v>2822</v>
      </c>
      <c r="C405" s="56" t="s">
        <v>2823</v>
      </c>
      <c r="D405" s="54" t="s">
        <v>2550</v>
      </c>
      <c r="E405" s="54" t="s">
        <v>2461</v>
      </c>
      <c r="F405" s="56" t="s"/>
      <c r="G405" s="56" t="s"/>
      <c r="H405" s="56" t="s"/>
      <c r="I405" s="54" t="s">
        <v>2551</v>
      </c>
      <c r="J405" s="56" t="s">
        <v>2824</v>
      </c>
      <c r="K405" s="54" t="s">
        <v>2804</v>
      </c>
      <c r="L405" s="54" t="s">
        <v>1563</v>
      </c>
      <c r="M405" s="54" t="s">
        <v>314</v>
      </c>
      <c r="N405" s="56" t="s">
        <v>314</v>
      </c>
      <c r="O405" s="54" t="s">
        <v>314</v>
      </c>
      <c r="P405" s="56" t="s">
        <v>2522</v>
      </c>
      <c r="Q405" s="56" t="s">
        <v>2466</v>
      </c>
      <c r="R405" s="54" t="s">
        <v>2467</v>
      </c>
      <c r="S405" s="54" t="s">
        <v>2554</v>
      </c>
      <c r="T405" s="54" t="s">
        <v>314</v>
      </c>
      <c r="U405" s="56" t="s">
        <v>1023</v>
      </c>
      <c r="V405" s="56" t="s">
        <v>2470</v>
      </c>
      <c r="W405" s="57" t="s">
        <v>2825</v>
      </c>
      <c r="X405" s="56" t="s">
        <v>2472</v>
      </c>
      <c r="Y405" s="56" t="s">
        <v>2826</v>
      </c>
    </row>
    <row r="406" spans="1:25">
      <c r="A406" s="54">
        <v>403</v>
      </c>
      <c r="B406" s="55" t="s">
        <v>2827</v>
      </c>
      <c r="C406" s="56" t="s">
        <v>2828</v>
      </c>
      <c r="D406" s="54" t="s">
        <v>2550</v>
      </c>
      <c r="E406" s="54" t="s">
        <v>2461</v>
      </c>
      <c r="F406" s="56" t="s"/>
      <c r="G406" s="56" t="s"/>
      <c r="H406" s="56" t="s"/>
      <c r="I406" s="54" t="s">
        <v>2551</v>
      </c>
      <c r="J406" s="56" t="s">
        <v>2829</v>
      </c>
      <c r="K406" s="54" t="s">
        <v>2501</v>
      </c>
      <c r="L406" s="54" t="s">
        <v>1563</v>
      </c>
      <c r="M406" s="54" t="s">
        <v>314</v>
      </c>
      <c r="N406" s="56" t="s">
        <v>314</v>
      </c>
      <c r="O406" s="54" t="s">
        <v>314</v>
      </c>
      <c r="P406" s="56" t="s">
        <v>2522</v>
      </c>
      <c r="Q406" s="56" t="s">
        <v>2466</v>
      </c>
      <c r="R406" s="54" t="s">
        <v>2467</v>
      </c>
      <c r="S406" s="54" t="s">
        <v>2554</v>
      </c>
      <c r="T406" s="54" t="s">
        <v>314</v>
      </c>
      <c r="U406" s="56" t="s">
        <v>1023</v>
      </c>
      <c r="V406" s="56" t="s">
        <v>2470</v>
      </c>
      <c r="W406" s="57" t="s">
        <v>2830</v>
      </c>
      <c r="X406" s="56" t="s">
        <v>2472</v>
      </c>
      <c r="Y406" s="56" t="s">
        <v>2831</v>
      </c>
    </row>
    <row r="407" spans="1:25">
      <c r="A407" s="54">
        <v>404</v>
      </c>
      <c r="B407" s="55" t="s">
        <v>2832</v>
      </c>
      <c r="C407" s="56" t="s">
        <v>2833</v>
      </c>
      <c r="D407" s="54" t="s">
        <v>2550</v>
      </c>
      <c r="E407" s="54" t="s">
        <v>2461</v>
      </c>
      <c r="F407" s="56" t="s"/>
      <c r="G407" s="56" t="s"/>
      <c r="H407" s="56" t="s"/>
      <c r="I407" s="54" t="s">
        <v>2551</v>
      </c>
      <c r="J407" s="56" t="s">
        <v>2834</v>
      </c>
      <c r="K407" s="54" t="s">
        <v>2804</v>
      </c>
      <c r="L407" s="54" t="s">
        <v>1563</v>
      </c>
      <c r="M407" s="54" t="s">
        <v>314</v>
      </c>
      <c r="N407" s="56" t="s">
        <v>314</v>
      </c>
      <c r="O407" s="54" t="s">
        <v>314</v>
      </c>
      <c r="P407" s="56" t="s">
        <v>2522</v>
      </c>
      <c r="Q407" s="56" t="s">
        <v>2466</v>
      </c>
      <c r="R407" s="54" t="s">
        <v>2467</v>
      </c>
      <c r="S407" s="54" t="s">
        <v>2554</v>
      </c>
      <c r="T407" s="54" t="s">
        <v>314</v>
      </c>
      <c r="U407" s="56" t="s">
        <v>1023</v>
      </c>
      <c r="V407" s="56" t="s">
        <v>2470</v>
      </c>
      <c r="W407" s="57" t="s">
        <v>2835</v>
      </c>
      <c r="X407" s="56" t="s">
        <v>2472</v>
      </c>
      <c r="Y407" s="56" t="s">
        <v>2836</v>
      </c>
    </row>
    <row r="408" spans="1:25">
      <c r="A408" s="54">
        <v>405</v>
      </c>
      <c r="B408" s="55" t="s">
        <v>2837</v>
      </c>
      <c r="C408" s="56" t="s">
        <v>2838</v>
      </c>
      <c r="D408" s="54" t="s">
        <v>2550</v>
      </c>
      <c r="E408" s="54" t="s">
        <v>2461</v>
      </c>
      <c r="F408" s="56" t="s"/>
      <c r="G408" s="56" t="s"/>
      <c r="H408" s="56" t="s"/>
      <c r="I408" s="54" t="s">
        <v>2551</v>
      </c>
      <c r="J408" s="56" t="s">
        <v>2839</v>
      </c>
      <c r="K408" s="54" t="s">
        <v>2840</v>
      </c>
      <c r="L408" s="54" t="s">
        <v>1563</v>
      </c>
      <c r="M408" s="54" t="s">
        <v>314</v>
      </c>
      <c r="N408" s="56" t="s">
        <v>314</v>
      </c>
      <c r="O408" s="54" t="s">
        <v>314</v>
      </c>
      <c r="P408" s="56" t="s">
        <v>2522</v>
      </c>
      <c r="Q408" s="56" t="s">
        <v>2466</v>
      </c>
      <c r="R408" s="54" t="s">
        <v>2467</v>
      </c>
      <c r="S408" s="54" t="s">
        <v>2554</v>
      </c>
      <c r="T408" s="54" t="s">
        <v>314</v>
      </c>
      <c r="U408" s="56" t="s">
        <v>1023</v>
      </c>
      <c r="V408" s="56" t="s">
        <v>2470</v>
      </c>
      <c r="W408" s="57" t="s">
        <v>2841</v>
      </c>
      <c r="X408" s="56" t="s">
        <v>2472</v>
      </c>
      <c r="Y408" s="56" t="s">
        <v>2842</v>
      </c>
    </row>
    <row r="409" spans="1:25">
      <c r="A409" s="54">
        <v>406</v>
      </c>
      <c r="B409" s="55" t="s">
        <v>2843</v>
      </c>
      <c r="C409" s="56" t="s">
        <v>2844</v>
      </c>
      <c r="D409" s="54" t="s">
        <v>2550</v>
      </c>
      <c r="E409" s="54" t="s">
        <v>2461</v>
      </c>
      <c r="F409" s="56" t="s"/>
      <c r="G409" s="56" t="s"/>
      <c r="H409" s="56" t="s"/>
      <c r="I409" s="54" t="s">
        <v>2551</v>
      </c>
      <c r="J409" s="56" t="s">
        <v>2845</v>
      </c>
      <c r="K409" s="54" t="s">
        <v>2804</v>
      </c>
      <c r="L409" s="54" t="s">
        <v>1563</v>
      </c>
      <c r="M409" s="54" t="s">
        <v>314</v>
      </c>
      <c r="N409" s="56" t="s">
        <v>314</v>
      </c>
      <c r="O409" s="54" t="s">
        <v>314</v>
      </c>
      <c r="P409" s="56" t="s">
        <v>2522</v>
      </c>
      <c r="Q409" s="56" t="s">
        <v>2466</v>
      </c>
      <c r="R409" s="54" t="s">
        <v>2467</v>
      </c>
      <c r="S409" s="54" t="s">
        <v>2554</v>
      </c>
      <c r="T409" s="54" t="s">
        <v>314</v>
      </c>
      <c r="U409" s="56" t="s">
        <v>1023</v>
      </c>
      <c r="V409" s="56" t="s">
        <v>2470</v>
      </c>
      <c r="W409" s="57" t="s">
        <v>2846</v>
      </c>
      <c r="X409" s="56" t="s">
        <v>2472</v>
      </c>
      <c r="Y409" s="56" t="s">
        <v>2847</v>
      </c>
    </row>
    <row r="410" spans="1:25">
      <c r="A410" s="54">
        <v>407</v>
      </c>
      <c r="B410" s="55" t="s">
        <v>2848</v>
      </c>
      <c r="C410" s="56" t="s">
        <v>2849</v>
      </c>
      <c r="D410" s="54" t="s">
        <v>2550</v>
      </c>
      <c r="E410" s="54" t="s">
        <v>2461</v>
      </c>
      <c r="F410" s="56" t="s"/>
      <c r="G410" s="56" t="s"/>
      <c r="H410" s="56" t="s"/>
      <c r="I410" s="54" t="s">
        <v>2551</v>
      </c>
      <c r="J410" s="56" t="s">
        <v>2850</v>
      </c>
      <c r="K410" s="54" t="s">
        <v>2804</v>
      </c>
      <c r="L410" s="54" t="s">
        <v>1563</v>
      </c>
      <c r="M410" s="54" t="s">
        <v>314</v>
      </c>
      <c r="N410" s="56" t="s">
        <v>314</v>
      </c>
      <c r="O410" s="54" t="s">
        <v>314</v>
      </c>
      <c r="P410" s="56" t="s">
        <v>2522</v>
      </c>
      <c r="Q410" s="56" t="s">
        <v>2466</v>
      </c>
      <c r="R410" s="54" t="s">
        <v>2467</v>
      </c>
      <c r="S410" s="54" t="s">
        <v>2554</v>
      </c>
      <c r="T410" s="54" t="s">
        <v>314</v>
      </c>
      <c r="U410" s="56" t="s">
        <v>1023</v>
      </c>
      <c r="V410" s="56" t="s">
        <v>2470</v>
      </c>
      <c r="W410" s="57" t="s">
        <v>2851</v>
      </c>
      <c r="X410" s="56" t="s">
        <v>2472</v>
      </c>
      <c r="Y410" s="56" t="s">
        <v>2852</v>
      </c>
    </row>
    <row r="411" spans="1:25">
      <c r="A411" s="54">
        <v>408</v>
      </c>
      <c r="B411" s="55" t="s">
        <v>2853</v>
      </c>
      <c r="C411" s="56" t="s">
        <v>2854</v>
      </c>
      <c r="D411" s="54" t="s">
        <v>2550</v>
      </c>
      <c r="E411" s="54" t="s">
        <v>2461</v>
      </c>
      <c r="F411" s="56" t="s"/>
      <c r="G411" s="56" t="s"/>
      <c r="H411" s="56" t="s"/>
      <c r="I411" s="54" t="s">
        <v>2551</v>
      </c>
      <c r="J411" s="56" t="s">
        <v>2855</v>
      </c>
      <c r="K411" s="54" t="s">
        <v>2804</v>
      </c>
      <c r="L411" s="54" t="s">
        <v>1563</v>
      </c>
      <c r="M411" s="54" t="s">
        <v>314</v>
      </c>
      <c r="N411" s="56" t="s">
        <v>314</v>
      </c>
      <c r="O411" s="54" t="s">
        <v>314</v>
      </c>
      <c r="P411" s="56" t="s">
        <v>2522</v>
      </c>
      <c r="Q411" s="56" t="s">
        <v>2466</v>
      </c>
      <c r="R411" s="54" t="s">
        <v>2467</v>
      </c>
      <c r="S411" s="54" t="s">
        <v>2554</v>
      </c>
      <c r="T411" s="54" t="s">
        <v>314</v>
      </c>
      <c r="U411" s="56" t="s">
        <v>1023</v>
      </c>
      <c r="V411" s="56" t="s">
        <v>2470</v>
      </c>
      <c r="W411" s="57" t="s">
        <v>2856</v>
      </c>
      <c r="X411" s="56" t="s">
        <v>2472</v>
      </c>
      <c r="Y411" s="56" t="s">
        <v>2857</v>
      </c>
    </row>
    <row r="412" spans="1:25">
      <c r="A412" s="54">
        <v>409</v>
      </c>
      <c r="B412" s="55" t="s">
        <v>2858</v>
      </c>
      <c r="C412" s="56" t="s">
        <v>2859</v>
      </c>
      <c r="D412" s="54" t="s">
        <v>2550</v>
      </c>
      <c r="E412" s="54" t="s">
        <v>2461</v>
      </c>
      <c r="F412" s="56" t="s"/>
      <c r="G412" s="56" t="s"/>
      <c r="H412" s="56" t="s"/>
      <c r="I412" s="54" t="s">
        <v>2551</v>
      </c>
      <c r="J412" s="56" t="s">
        <v>2860</v>
      </c>
      <c r="K412" s="54" t="s">
        <v>2804</v>
      </c>
      <c r="L412" s="54" t="s">
        <v>1563</v>
      </c>
      <c r="M412" s="54" t="s">
        <v>314</v>
      </c>
      <c r="N412" s="56" t="s">
        <v>314</v>
      </c>
      <c r="O412" s="54" t="s">
        <v>314</v>
      </c>
      <c r="P412" s="56" t="s">
        <v>2522</v>
      </c>
      <c r="Q412" s="56" t="s">
        <v>2466</v>
      </c>
      <c r="R412" s="54" t="s">
        <v>2467</v>
      </c>
      <c r="S412" s="54" t="s">
        <v>2554</v>
      </c>
      <c r="T412" s="54" t="s">
        <v>314</v>
      </c>
      <c r="U412" s="56" t="s">
        <v>1023</v>
      </c>
      <c r="V412" s="56" t="s">
        <v>2470</v>
      </c>
      <c r="W412" s="57" t="s">
        <v>2861</v>
      </c>
      <c r="X412" s="56" t="s">
        <v>2472</v>
      </c>
      <c r="Y412" s="56" t="s">
        <v>2862</v>
      </c>
    </row>
    <row r="413" spans="1:25">
      <c r="A413" s="54">
        <v>410</v>
      </c>
      <c r="B413" s="55" t="s">
        <v>2863</v>
      </c>
      <c r="C413" s="56" t="s">
        <v>2864</v>
      </c>
      <c r="D413" s="54" t="s">
        <v>2550</v>
      </c>
      <c r="E413" s="54" t="s">
        <v>2461</v>
      </c>
      <c r="F413" s="56" t="s"/>
      <c r="G413" s="56" t="s"/>
      <c r="H413" s="56" t="s"/>
      <c r="I413" s="54" t="s">
        <v>2551</v>
      </c>
      <c r="J413" s="56" t="s">
        <v>2865</v>
      </c>
      <c r="K413" s="54" t="s">
        <v>2866</v>
      </c>
      <c r="L413" s="54" t="s">
        <v>1563</v>
      </c>
      <c r="M413" s="54" t="s">
        <v>314</v>
      </c>
      <c r="N413" s="56" t="s">
        <v>314</v>
      </c>
      <c r="O413" s="54" t="s">
        <v>314</v>
      </c>
      <c r="P413" s="56" t="s">
        <v>2522</v>
      </c>
      <c r="Q413" s="56" t="s">
        <v>2466</v>
      </c>
      <c r="R413" s="54" t="s">
        <v>2467</v>
      </c>
      <c r="S413" s="54" t="s">
        <v>2554</v>
      </c>
      <c r="T413" s="54" t="s">
        <v>314</v>
      </c>
      <c r="U413" s="56" t="s">
        <v>1023</v>
      </c>
      <c r="V413" s="56" t="s">
        <v>2470</v>
      </c>
      <c r="W413" s="57" t="s">
        <v>2867</v>
      </c>
      <c r="X413" s="56" t="s">
        <v>2472</v>
      </c>
      <c r="Y413" s="56" t="s">
        <v>2868</v>
      </c>
    </row>
    <row r="414" spans="1:25">
      <c r="A414" s="54">
        <v>411</v>
      </c>
      <c r="B414" s="55" t="s">
        <v>2869</v>
      </c>
      <c r="C414" s="56" t="s">
        <v>2870</v>
      </c>
      <c r="D414" s="54" t="s">
        <v>2550</v>
      </c>
      <c r="E414" s="54" t="s">
        <v>2461</v>
      </c>
      <c r="F414" s="56" t="s"/>
      <c r="G414" s="56" t="s"/>
      <c r="H414" s="56" t="s"/>
      <c r="I414" s="54" t="s">
        <v>2551</v>
      </c>
      <c r="J414" s="56" t="s">
        <v>2871</v>
      </c>
      <c r="K414" s="54" t="s">
        <v>2866</v>
      </c>
      <c r="L414" s="54" t="s">
        <v>1563</v>
      </c>
      <c r="M414" s="54" t="s">
        <v>314</v>
      </c>
      <c r="N414" s="56" t="s">
        <v>314</v>
      </c>
      <c r="O414" s="54" t="s">
        <v>314</v>
      </c>
      <c r="P414" s="56" t="s">
        <v>2522</v>
      </c>
      <c r="Q414" s="56" t="s">
        <v>2466</v>
      </c>
      <c r="R414" s="54" t="s">
        <v>2467</v>
      </c>
      <c r="S414" s="54" t="s">
        <v>2554</v>
      </c>
      <c r="T414" s="54" t="s">
        <v>314</v>
      </c>
      <c r="U414" s="56" t="s">
        <v>1023</v>
      </c>
      <c r="V414" s="56" t="s">
        <v>2470</v>
      </c>
      <c r="W414" s="57" t="s">
        <v>2872</v>
      </c>
      <c r="X414" s="56" t="s">
        <v>2472</v>
      </c>
      <c r="Y414" s="56" t="s">
        <v>2873</v>
      </c>
    </row>
    <row r="415" spans="1:25">
      <c r="A415" s="54">
        <v>412</v>
      </c>
      <c r="B415" s="55" t="s">
        <v>2874</v>
      </c>
      <c r="C415" s="56" t="s">
        <v>2875</v>
      </c>
      <c r="D415" s="54" t="s">
        <v>2550</v>
      </c>
      <c r="E415" s="54" t="s">
        <v>2461</v>
      </c>
      <c r="F415" s="56" t="s"/>
      <c r="G415" s="56" t="s"/>
      <c r="H415" s="56" t="s"/>
      <c r="I415" s="54" t="s">
        <v>2551</v>
      </c>
      <c r="J415" s="56" t="s">
        <v>2876</v>
      </c>
      <c r="K415" s="54" t="s">
        <v>2866</v>
      </c>
      <c r="L415" s="54" t="s">
        <v>1563</v>
      </c>
      <c r="M415" s="54" t="s">
        <v>314</v>
      </c>
      <c r="N415" s="56" t="s">
        <v>314</v>
      </c>
      <c r="O415" s="54" t="s">
        <v>314</v>
      </c>
      <c r="P415" s="56" t="s">
        <v>2522</v>
      </c>
      <c r="Q415" s="56" t="s">
        <v>2466</v>
      </c>
      <c r="R415" s="54" t="s">
        <v>2467</v>
      </c>
      <c r="S415" s="54" t="s">
        <v>2554</v>
      </c>
      <c r="T415" s="54" t="s">
        <v>314</v>
      </c>
      <c r="U415" s="56" t="s">
        <v>1023</v>
      </c>
      <c r="V415" s="56" t="s">
        <v>2470</v>
      </c>
      <c r="W415" s="57" t="s">
        <v>2877</v>
      </c>
      <c r="X415" s="56" t="s">
        <v>2472</v>
      </c>
      <c r="Y415" s="56" t="s">
        <v>2878</v>
      </c>
    </row>
    <row r="416" spans="1:25">
      <c r="A416" s="54">
        <v>413</v>
      </c>
      <c r="B416" s="55" t="s">
        <v>2879</v>
      </c>
      <c r="C416" s="56" t="s">
        <v>2880</v>
      </c>
      <c r="D416" s="54" t="s">
        <v>2550</v>
      </c>
      <c r="E416" s="54" t="s">
        <v>2461</v>
      </c>
      <c r="F416" s="56" t="s"/>
      <c r="G416" s="56" t="s"/>
      <c r="H416" s="56" t="s"/>
      <c r="I416" s="54" t="s">
        <v>2551</v>
      </c>
      <c r="J416" s="56" t="s">
        <v>2881</v>
      </c>
      <c r="K416" s="54" t="s">
        <v>2866</v>
      </c>
      <c r="L416" s="54" t="s">
        <v>1563</v>
      </c>
      <c r="M416" s="54" t="s">
        <v>314</v>
      </c>
      <c r="N416" s="56" t="s">
        <v>314</v>
      </c>
      <c r="O416" s="54" t="s">
        <v>314</v>
      </c>
      <c r="P416" s="56" t="s">
        <v>2522</v>
      </c>
      <c r="Q416" s="56" t="s">
        <v>2466</v>
      </c>
      <c r="R416" s="54" t="s">
        <v>2467</v>
      </c>
      <c r="S416" s="54" t="s">
        <v>2554</v>
      </c>
      <c r="T416" s="54" t="s">
        <v>314</v>
      </c>
      <c r="U416" s="56" t="s">
        <v>1023</v>
      </c>
      <c r="V416" s="56" t="s">
        <v>2470</v>
      </c>
      <c r="W416" s="57" t="s">
        <v>2882</v>
      </c>
      <c r="X416" s="56" t="s">
        <v>2472</v>
      </c>
      <c r="Y416" s="56" t="s">
        <v>2883</v>
      </c>
    </row>
    <row r="417" spans="1:25">
      <c r="A417" s="54">
        <v>414</v>
      </c>
      <c r="B417" s="55" t="s">
        <v>2884</v>
      </c>
      <c r="C417" s="56" t="s">
        <v>2885</v>
      </c>
      <c r="D417" s="54" t="s">
        <v>2550</v>
      </c>
      <c r="E417" s="54" t="s">
        <v>2461</v>
      </c>
      <c r="F417" s="56" t="s"/>
      <c r="G417" s="56" t="s"/>
      <c r="H417" s="56" t="s"/>
      <c r="I417" s="54" t="s">
        <v>2551</v>
      </c>
      <c r="J417" s="56" t="s">
        <v>2886</v>
      </c>
      <c r="K417" s="54" t="s">
        <v>2804</v>
      </c>
      <c r="L417" s="54" t="s">
        <v>1563</v>
      </c>
      <c r="M417" s="54" t="s">
        <v>314</v>
      </c>
      <c r="N417" s="56" t="s">
        <v>314</v>
      </c>
      <c r="O417" s="54" t="s">
        <v>314</v>
      </c>
      <c r="P417" s="56" t="s">
        <v>2522</v>
      </c>
      <c r="Q417" s="56" t="s">
        <v>2466</v>
      </c>
      <c r="R417" s="54" t="s">
        <v>2467</v>
      </c>
      <c r="S417" s="54" t="s">
        <v>2554</v>
      </c>
      <c r="T417" s="54" t="s">
        <v>314</v>
      </c>
      <c r="U417" s="56" t="s">
        <v>1023</v>
      </c>
      <c r="V417" s="56" t="s">
        <v>2470</v>
      </c>
      <c r="W417" s="57" t="s">
        <v>2887</v>
      </c>
      <c r="X417" s="56" t="s">
        <v>2472</v>
      </c>
      <c r="Y417" s="56" t="s">
        <v>2888</v>
      </c>
    </row>
    <row r="418" spans="1:25">
      <c r="A418" s="54">
        <v>415</v>
      </c>
      <c r="B418" s="55" t="s">
        <v>2889</v>
      </c>
      <c r="C418" s="56" t="s">
        <v>2890</v>
      </c>
      <c r="D418" s="54" t="s">
        <v>2550</v>
      </c>
      <c r="E418" s="54" t="s">
        <v>2461</v>
      </c>
      <c r="F418" s="56" t="s"/>
      <c r="G418" s="56" t="s"/>
      <c r="H418" s="56" t="s"/>
      <c r="I418" s="54" t="s">
        <v>2551</v>
      </c>
      <c r="J418" s="56" t="s">
        <v>2891</v>
      </c>
      <c r="K418" s="54" t="s">
        <v>2804</v>
      </c>
      <c r="L418" s="54" t="s">
        <v>1563</v>
      </c>
      <c r="M418" s="54" t="s">
        <v>314</v>
      </c>
      <c r="N418" s="56" t="s">
        <v>314</v>
      </c>
      <c r="O418" s="54" t="s">
        <v>314</v>
      </c>
      <c r="P418" s="56" t="s">
        <v>2522</v>
      </c>
      <c r="Q418" s="56" t="s">
        <v>2466</v>
      </c>
      <c r="R418" s="54" t="s">
        <v>2467</v>
      </c>
      <c r="S418" s="54" t="s">
        <v>2554</v>
      </c>
      <c r="T418" s="54" t="s">
        <v>314</v>
      </c>
      <c r="U418" s="56" t="s">
        <v>1023</v>
      </c>
      <c r="V418" s="56" t="s">
        <v>2470</v>
      </c>
      <c r="W418" s="57" t="s">
        <v>2892</v>
      </c>
      <c r="X418" s="56" t="s">
        <v>2472</v>
      </c>
      <c r="Y418" s="56" t="s">
        <v>2893</v>
      </c>
    </row>
    <row r="419" spans="1:25">
      <c r="A419" s="54">
        <v>416</v>
      </c>
      <c r="B419" s="55" t="s">
        <v>2894</v>
      </c>
      <c r="C419" s="56" t="s">
        <v>2895</v>
      </c>
      <c r="D419" s="54" t="s">
        <v>2550</v>
      </c>
      <c r="E419" s="54" t="s">
        <v>2461</v>
      </c>
      <c r="F419" s="56" t="s"/>
      <c r="G419" s="56" t="s"/>
      <c r="H419" s="56" t="s"/>
      <c r="I419" s="54" t="s">
        <v>2551</v>
      </c>
      <c r="J419" s="56" t="s">
        <v>2896</v>
      </c>
      <c r="K419" s="54" t="s">
        <v>2804</v>
      </c>
      <c r="L419" s="54" t="s">
        <v>1563</v>
      </c>
      <c r="M419" s="54" t="s">
        <v>314</v>
      </c>
      <c r="N419" s="56" t="s">
        <v>314</v>
      </c>
      <c r="O419" s="54" t="s">
        <v>314</v>
      </c>
      <c r="P419" s="56" t="s">
        <v>2522</v>
      </c>
      <c r="Q419" s="56" t="s">
        <v>2466</v>
      </c>
      <c r="R419" s="54" t="s">
        <v>2467</v>
      </c>
      <c r="S419" s="54" t="s">
        <v>2554</v>
      </c>
      <c r="T419" s="54" t="s">
        <v>314</v>
      </c>
      <c r="U419" s="56" t="s">
        <v>1023</v>
      </c>
      <c r="V419" s="56" t="s">
        <v>2470</v>
      </c>
      <c r="W419" s="57" t="s">
        <v>2897</v>
      </c>
      <c r="X419" s="56" t="s">
        <v>2472</v>
      </c>
      <c r="Y419" s="56" t="s">
        <v>2898</v>
      </c>
    </row>
    <row r="420" spans="1:25">
      <c r="A420" s="54">
        <v>417</v>
      </c>
      <c r="B420" s="55" t="s">
        <v>2899</v>
      </c>
      <c r="C420" s="56" t="s">
        <v>2900</v>
      </c>
      <c r="D420" s="54" t="s">
        <v>2550</v>
      </c>
      <c r="E420" s="54" t="s">
        <v>2461</v>
      </c>
      <c r="F420" s="56" t="s"/>
      <c r="G420" s="56" t="s"/>
      <c r="H420" s="56" t="s"/>
      <c r="I420" s="54" t="s">
        <v>2551</v>
      </c>
      <c r="J420" s="56" t="s">
        <v>2901</v>
      </c>
      <c r="K420" s="54" t="s">
        <v>2804</v>
      </c>
      <c r="L420" s="54" t="s">
        <v>1563</v>
      </c>
      <c r="M420" s="54" t="s">
        <v>314</v>
      </c>
      <c r="N420" s="56" t="s">
        <v>314</v>
      </c>
      <c r="O420" s="54" t="s">
        <v>314</v>
      </c>
      <c r="P420" s="56" t="s">
        <v>2522</v>
      </c>
      <c r="Q420" s="56" t="s">
        <v>2466</v>
      </c>
      <c r="R420" s="54" t="s">
        <v>2467</v>
      </c>
      <c r="S420" s="54" t="s">
        <v>2554</v>
      </c>
      <c r="T420" s="54" t="s">
        <v>314</v>
      </c>
      <c r="U420" s="56" t="s">
        <v>1023</v>
      </c>
      <c r="V420" s="56" t="s">
        <v>2470</v>
      </c>
      <c r="W420" s="57" t="s">
        <v>2902</v>
      </c>
      <c r="X420" s="56" t="s">
        <v>2472</v>
      </c>
      <c r="Y420" s="56" t="s">
        <v>2903</v>
      </c>
    </row>
    <row r="421" spans="1:25">
      <c r="A421" s="54">
        <v>418</v>
      </c>
      <c r="B421" s="55" t="s">
        <v>2904</v>
      </c>
      <c r="C421" s="56" t="s">
        <v>2905</v>
      </c>
      <c r="D421" s="54" t="s">
        <v>2550</v>
      </c>
      <c r="E421" s="54" t="s">
        <v>2461</v>
      </c>
      <c r="F421" s="56" t="s"/>
      <c r="G421" s="56" t="s"/>
      <c r="H421" s="56" t="s"/>
      <c r="I421" s="54" t="s">
        <v>2551</v>
      </c>
      <c r="J421" s="56" t="s">
        <v>2906</v>
      </c>
      <c r="K421" s="54" t="s">
        <v>2804</v>
      </c>
      <c r="L421" s="54" t="s">
        <v>1563</v>
      </c>
      <c r="M421" s="54" t="s">
        <v>314</v>
      </c>
      <c r="N421" s="56" t="s">
        <v>314</v>
      </c>
      <c r="O421" s="54" t="s">
        <v>314</v>
      </c>
      <c r="P421" s="56" t="s">
        <v>2522</v>
      </c>
      <c r="Q421" s="56" t="s">
        <v>2466</v>
      </c>
      <c r="R421" s="54" t="s">
        <v>2467</v>
      </c>
      <c r="S421" s="54" t="s">
        <v>2554</v>
      </c>
      <c r="T421" s="54" t="s">
        <v>314</v>
      </c>
      <c r="U421" s="56" t="s">
        <v>1023</v>
      </c>
      <c r="V421" s="56" t="s">
        <v>2470</v>
      </c>
      <c r="W421" s="57" t="s">
        <v>2907</v>
      </c>
      <c r="X421" s="56" t="s">
        <v>2472</v>
      </c>
      <c r="Y421" s="56" t="s">
        <v>2908</v>
      </c>
    </row>
    <row r="422" spans="1:25">
      <c r="A422" s="54">
        <v>419</v>
      </c>
      <c r="B422" s="55" t="s">
        <v>2909</v>
      </c>
      <c r="C422" s="56" t="s">
        <v>2910</v>
      </c>
      <c r="D422" s="54" t="s">
        <v>2550</v>
      </c>
      <c r="E422" s="54" t="s">
        <v>2461</v>
      </c>
      <c r="F422" s="56" t="s"/>
      <c r="G422" s="56" t="s"/>
      <c r="H422" s="56" t="s"/>
      <c r="I422" s="54" t="s">
        <v>2551</v>
      </c>
      <c r="J422" s="56" t="s">
        <v>2911</v>
      </c>
      <c r="K422" s="54" t="s">
        <v>2804</v>
      </c>
      <c r="L422" s="54" t="s">
        <v>1563</v>
      </c>
      <c r="M422" s="54" t="s">
        <v>314</v>
      </c>
      <c r="N422" s="56" t="s">
        <v>314</v>
      </c>
      <c r="O422" s="54" t="s">
        <v>314</v>
      </c>
      <c r="P422" s="56" t="s">
        <v>2522</v>
      </c>
      <c r="Q422" s="56" t="s">
        <v>2466</v>
      </c>
      <c r="R422" s="54" t="s">
        <v>2467</v>
      </c>
      <c r="S422" s="54" t="s">
        <v>2554</v>
      </c>
      <c r="T422" s="54" t="s">
        <v>314</v>
      </c>
      <c r="U422" s="56" t="s">
        <v>1023</v>
      </c>
      <c r="V422" s="56" t="s">
        <v>2470</v>
      </c>
      <c r="W422" s="57" t="s">
        <v>2912</v>
      </c>
      <c r="X422" s="56" t="s">
        <v>2472</v>
      </c>
      <c r="Y422" s="56" t="s">
        <v>2913</v>
      </c>
    </row>
    <row r="423" spans="1:25">
      <c r="A423" s="54">
        <v>420</v>
      </c>
      <c r="B423" s="55" t="s">
        <v>2914</v>
      </c>
      <c r="C423" s="56" t="s">
        <v>2915</v>
      </c>
      <c r="D423" s="54" t="s">
        <v>2550</v>
      </c>
      <c r="E423" s="54" t="s">
        <v>2461</v>
      </c>
      <c r="F423" s="56" t="s"/>
      <c r="G423" s="56" t="s"/>
      <c r="H423" s="56" t="s"/>
      <c r="I423" s="54" t="s">
        <v>2551</v>
      </c>
      <c r="J423" s="56" t="s">
        <v>2916</v>
      </c>
      <c r="K423" s="54" t="s">
        <v>2804</v>
      </c>
      <c r="L423" s="54" t="s">
        <v>1563</v>
      </c>
      <c r="M423" s="54" t="s">
        <v>314</v>
      </c>
      <c r="N423" s="56" t="s">
        <v>314</v>
      </c>
      <c r="O423" s="54" t="s">
        <v>314</v>
      </c>
      <c r="P423" s="56" t="s">
        <v>2522</v>
      </c>
      <c r="Q423" s="56" t="s">
        <v>2466</v>
      </c>
      <c r="R423" s="54" t="s">
        <v>2467</v>
      </c>
      <c r="S423" s="54" t="s">
        <v>2554</v>
      </c>
      <c r="T423" s="54" t="s">
        <v>314</v>
      </c>
      <c r="U423" s="56" t="s">
        <v>1023</v>
      </c>
      <c r="V423" s="56" t="s">
        <v>2470</v>
      </c>
      <c r="W423" s="57" t="s">
        <v>2917</v>
      </c>
      <c r="X423" s="56" t="s">
        <v>2472</v>
      </c>
      <c r="Y423" s="56" t="s">
        <v>2918</v>
      </c>
    </row>
    <row r="424" spans="1:25">
      <c r="A424" s="54">
        <v>421</v>
      </c>
      <c r="B424" s="55" t="s">
        <v>2919</v>
      </c>
      <c r="C424" s="56" t="s">
        <v>2920</v>
      </c>
      <c r="D424" s="54" t="s">
        <v>2550</v>
      </c>
      <c r="E424" s="54" t="s">
        <v>2461</v>
      </c>
      <c r="F424" s="56" t="s"/>
      <c r="G424" s="56" t="s"/>
      <c r="H424" s="56" t="s"/>
      <c r="I424" s="54" t="s">
        <v>2551</v>
      </c>
      <c r="J424" s="56" t="s">
        <v>2921</v>
      </c>
      <c r="K424" s="54" t="s">
        <v>2804</v>
      </c>
      <c r="L424" s="54" t="s">
        <v>1563</v>
      </c>
      <c r="M424" s="54" t="s">
        <v>314</v>
      </c>
      <c r="N424" s="56" t="s">
        <v>314</v>
      </c>
      <c r="O424" s="54" t="s">
        <v>314</v>
      </c>
      <c r="P424" s="56" t="s">
        <v>2522</v>
      </c>
      <c r="Q424" s="56" t="s">
        <v>2466</v>
      </c>
      <c r="R424" s="54" t="s">
        <v>2467</v>
      </c>
      <c r="S424" s="54" t="s">
        <v>2554</v>
      </c>
      <c r="T424" s="54" t="s">
        <v>314</v>
      </c>
      <c r="U424" s="56" t="s">
        <v>1023</v>
      </c>
      <c r="V424" s="56" t="s">
        <v>2470</v>
      </c>
      <c r="W424" s="57" t="s">
        <v>2922</v>
      </c>
      <c r="X424" s="56" t="s">
        <v>2472</v>
      </c>
      <c r="Y424" s="56" t="s">
        <v>2923</v>
      </c>
    </row>
    <row r="425" spans="1:25">
      <c r="A425" s="54">
        <v>422</v>
      </c>
      <c r="B425" s="55" t="s">
        <v>2924</v>
      </c>
      <c r="C425" s="56" t="s">
        <v>2925</v>
      </c>
      <c r="D425" s="54" t="s">
        <v>2550</v>
      </c>
      <c r="E425" s="54" t="s">
        <v>2461</v>
      </c>
      <c r="F425" s="56" t="s"/>
      <c r="G425" s="56" t="s"/>
      <c r="H425" s="56" t="s"/>
      <c r="I425" s="54" t="s">
        <v>2551</v>
      </c>
      <c r="J425" s="56" t="s">
        <v>2926</v>
      </c>
      <c r="K425" s="54" t="s">
        <v>2804</v>
      </c>
      <c r="L425" s="54" t="s">
        <v>1563</v>
      </c>
      <c r="M425" s="54" t="s">
        <v>314</v>
      </c>
      <c r="N425" s="56" t="s">
        <v>314</v>
      </c>
      <c r="O425" s="54" t="s">
        <v>314</v>
      </c>
      <c r="P425" s="56" t="s">
        <v>2522</v>
      </c>
      <c r="Q425" s="56" t="s">
        <v>2466</v>
      </c>
      <c r="R425" s="54" t="s">
        <v>2467</v>
      </c>
      <c r="S425" s="54" t="s">
        <v>2554</v>
      </c>
      <c r="T425" s="54" t="s">
        <v>314</v>
      </c>
      <c r="U425" s="56" t="s">
        <v>1023</v>
      </c>
      <c r="V425" s="56" t="s">
        <v>2470</v>
      </c>
      <c r="W425" s="57" t="s">
        <v>2927</v>
      </c>
      <c r="X425" s="56" t="s">
        <v>2472</v>
      </c>
      <c r="Y425" s="56" t="s">
        <v>2928</v>
      </c>
    </row>
    <row r="426" spans="1:25">
      <c r="A426" s="54">
        <v>423</v>
      </c>
      <c r="B426" s="55" t="s">
        <v>704</v>
      </c>
      <c r="C426" s="56" t="s">
        <v>2929</v>
      </c>
      <c r="D426" s="54" t="s">
        <v>2550</v>
      </c>
      <c r="E426" s="54" t="s">
        <v>2461</v>
      </c>
      <c r="F426" s="56" t="s"/>
      <c r="G426" s="56" t="s"/>
      <c r="H426" s="56" t="s"/>
      <c r="I426" s="54" t="s">
        <v>2551</v>
      </c>
      <c r="J426" s="56" t="s">
        <v>2930</v>
      </c>
      <c r="K426" s="54" t="s">
        <v>2553</v>
      </c>
      <c r="L426" s="54" t="s">
        <v>1563</v>
      </c>
      <c r="M426" s="54" t="s">
        <v>314</v>
      </c>
      <c r="N426" s="56" t="s">
        <v>314</v>
      </c>
      <c r="O426" s="54" t="s">
        <v>314</v>
      </c>
      <c r="P426" s="56" t="s">
        <v>2522</v>
      </c>
      <c r="Q426" s="56" t="s">
        <v>2466</v>
      </c>
      <c r="R426" s="54" t="s">
        <v>2467</v>
      </c>
      <c r="S426" s="54" t="s">
        <v>2554</v>
      </c>
      <c r="T426" s="54" t="s">
        <v>314</v>
      </c>
      <c r="U426" s="56" t="s">
        <v>1023</v>
      </c>
      <c r="V426" s="56" t="s">
        <v>2470</v>
      </c>
      <c r="W426" s="57" t="s">
        <v>2931</v>
      </c>
      <c r="X426" s="56" t="s">
        <v>2472</v>
      </c>
      <c r="Y426" s="56" t="s">
        <v>2932</v>
      </c>
    </row>
    <row r="427" spans="1:25">
      <c r="A427" s="54">
        <v>424</v>
      </c>
      <c r="B427" s="55" t="s">
        <v>2933</v>
      </c>
      <c r="C427" s="56" t="s">
        <v>2934</v>
      </c>
      <c r="D427" s="54" t="s">
        <v>2550</v>
      </c>
      <c r="E427" s="54" t="s">
        <v>2461</v>
      </c>
      <c r="F427" s="56" t="s"/>
      <c r="G427" s="56" t="s"/>
      <c r="H427" s="56" t="s"/>
      <c r="I427" s="54" t="s">
        <v>2551</v>
      </c>
      <c r="J427" s="56" t="s">
        <v>2935</v>
      </c>
      <c r="K427" s="54" t="s">
        <v>2553</v>
      </c>
      <c r="L427" s="54" t="s">
        <v>1563</v>
      </c>
      <c r="M427" s="54" t="s">
        <v>314</v>
      </c>
      <c r="N427" s="56" t="s">
        <v>314</v>
      </c>
      <c r="O427" s="54" t="s">
        <v>314</v>
      </c>
      <c r="P427" s="56" t="s">
        <v>2522</v>
      </c>
      <c r="Q427" s="56" t="s">
        <v>2466</v>
      </c>
      <c r="R427" s="54" t="s">
        <v>2467</v>
      </c>
      <c r="S427" s="54" t="s">
        <v>2554</v>
      </c>
      <c r="T427" s="54" t="s">
        <v>314</v>
      </c>
      <c r="U427" s="56" t="s">
        <v>1023</v>
      </c>
      <c r="V427" s="56" t="s">
        <v>2470</v>
      </c>
      <c r="W427" s="57" t="s">
        <v>2936</v>
      </c>
      <c r="X427" s="56" t="s">
        <v>2472</v>
      </c>
      <c r="Y427" s="56" t="s">
        <v>2937</v>
      </c>
    </row>
    <row r="428" spans="1:25">
      <c r="A428" s="54">
        <v>425</v>
      </c>
      <c r="B428" s="55" t="s">
        <v>2938</v>
      </c>
      <c r="C428" s="56" t="s">
        <v>2939</v>
      </c>
      <c r="D428" s="54" t="s">
        <v>2550</v>
      </c>
      <c r="E428" s="54" t="s">
        <v>2461</v>
      </c>
      <c r="F428" s="56" t="s"/>
      <c r="G428" s="56" t="s"/>
      <c r="H428" s="56" t="s"/>
      <c r="I428" s="54" t="s">
        <v>2551</v>
      </c>
      <c r="J428" s="56" t="s">
        <v>2940</v>
      </c>
      <c r="K428" s="54" t="s">
        <v>2553</v>
      </c>
      <c r="L428" s="54" t="s">
        <v>1563</v>
      </c>
      <c r="M428" s="54" t="s">
        <v>314</v>
      </c>
      <c r="N428" s="56" t="s">
        <v>314</v>
      </c>
      <c r="O428" s="54" t="s">
        <v>314</v>
      </c>
      <c r="P428" s="56" t="s">
        <v>2522</v>
      </c>
      <c r="Q428" s="56" t="s">
        <v>2466</v>
      </c>
      <c r="R428" s="54" t="s">
        <v>2467</v>
      </c>
      <c r="S428" s="54" t="s">
        <v>2554</v>
      </c>
      <c r="T428" s="54" t="s">
        <v>314</v>
      </c>
      <c r="U428" s="56" t="s">
        <v>1023</v>
      </c>
      <c r="V428" s="56" t="s">
        <v>2470</v>
      </c>
      <c r="W428" s="57" t="s">
        <v>2941</v>
      </c>
      <c r="X428" s="56" t="s">
        <v>2472</v>
      </c>
      <c r="Y428" s="56" t="s">
        <v>2942</v>
      </c>
    </row>
    <row r="429" spans="1:25">
      <c r="A429" s="54">
        <v>426</v>
      </c>
      <c r="B429" s="55" t="s">
        <v>2943</v>
      </c>
      <c r="C429" s="56" t="s">
        <v>2944</v>
      </c>
      <c r="D429" s="54" t="s">
        <v>2550</v>
      </c>
      <c r="E429" s="54" t="s">
        <v>2461</v>
      </c>
      <c r="F429" s="56" t="s"/>
      <c r="G429" s="56" t="s"/>
      <c r="H429" s="56" t="s"/>
      <c r="I429" s="54" t="s">
        <v>2551</v>
      </c>
      <c r="J429" s="56" t="s">
        <v>2945</v>
      </c>
      <c r="K429" s="54" t="s">
        <v>2553</v>
      </c>
      <c r="L429" s="54" t="s">
        <v>1563</v>
      </c>
      <c r="M429" s="54" t="s">
        <v>314</v>
      </c>
      <c r="N429" s="56" t="s">
        <v>314</v>
      </c>
      <c r="O429" s="54" t="s">
        <v>314</v>
      </c>
      <c r="P429" s="56" t="s">
        <v>2522</v>
      </c>
      <c r="Q429" s="56" t="s">
        <v>2466</v>
      </c>
      <c r="R429" s="54" t="s">
        <v>2467</v>
      </c>
      <c r="S429" s="54" t="s">
        <v>2554</v>
      </c>
      <c r="T429" s="54" t="s">
        <v>314</v>
      </c>
      <c r="U429" s="56" t="s">
        <v>1023</v>
      </c>
      <c r="V429" s="56" t="s">
        <v>2470</v>
      </c>
      <c r="W429" s="57" t="s">
        <v>2946</v>
      </c>
      <c r="X429" s="56" t="s">
        <v>2472</v>
      </c>
      <c r="Y429" s="56" t="s">
        <v>2947</v>
      </c>
    </row>
  </sheetData>
  <autoFilter ref="A3:Y429"/>
  <mergeCells count="2">
    <mergeCell ref="A2:Y2"/>
    <mergeCell ref="A1:Y1"/>
  </mergeCells>
  <printOptions horizontalCentered="1"/>
  <pageMargins left="0.28" right="0.28" top="0.4" bottom="0.4" header="0.5" footer="0.5"/>
  <pageSetup paperSize="9" fitToWidth="1" fitToHeight="0" orientation="landscape"/>
</worksheet>
</file>

<file path=xl/worksheets/sheet3.xml><?xml version="1.0" encoding="utf-8"?>
<worksheet xmlns="http://schemas.openxmlformats.org/spreadsheetml/2006/main">
  <sheetPr>
    <tabColor rgb="FF548235"/>
    <outlinePr summaryBelow="1" summaryRight="1"/>
    <pageSetUpPr fitToPage="1"/>
  </sheetPr>
  <dimension ref="S95"/>
  <sheetViews>
    <sheetView showGridLines="1" workbookViewId="0">
      <pane xSplit="2" ySplit="1" topLeftCell="C2" activePane="bottomRight" state="frozen"/>
    </sheetView>
  </sheetViews>
  <sheetFormatPr baseColWidth="8" defaultRowHeight="15"/>
  <cols>
    <col min="1" max="1" width="10" customWidth="1"/>
    <col min="2" max="2" width="36" customWidth="1"/>
    <col min="3" max="3" width="10" customWidth="1"/>
    <col min="4" max="4" width="10" customWidth="1"/>
    <col min="5" max="5" width="10" customWidth="1"/>
    <col min="6" max="6" width="46" customWidth="1"/>
    <col min="7" max="7" width="44" customWidth="1"/>
    <col min="8" max="8" width="24" customWidth="1"/>
    <col min="9" max="9" width="60" customWidth="1"/>
    <col min="10" max="10" width="20" customWidth="1"/>
    <col min="11" max="11" width="10" customWidth="1"/>
    <col min="12" max="12" width="22" customWidth="1"/>
    <col min="13" max="13" width="40" customWidth="1"/>
    <col min="14" max="14" width="34" customWidth="1"/>
    <col min="15" max="15" width="42" customWidth="1"/>
    <col min="16" max="16" width="46" customWidth="1"/>
    <col min="17" max="17" width="30" customWidth="1"/>
    <col min="18" max="18" width="42" customWidth="1"/>
    <col min="19" max="19" width="62" customWidth="1"/>
  </cols>
  <sheetData>
    <row r="1" spans="1:19" ht="34" customHeight="1">
      <c r="A1" s="12" t="s">
        <v>72</v>
      </c>
      <c r="B1" s="12" t="s">
        <v>73</v>
      </c>
      <c r="C1" s="12" t="s">
        <v>74</v>
      </c>
      <c r="D1" s="12" t="s">
        <v>75</v>
      </c>
      <c r="E1" s="12" t="s">
        <v>76</v>
      </c>
      <c r="F1" s="12" t="s">
        <v>2948</v>
      </c>
      <c r="G1" s="12" t="s">
        <v>77</v>
      </c>
      <c r="H1" s="12" t="s">
        <v>78</v>
      </c>
      <c r="I1" s="12" t="s">
        <v>2949</v>
      </c>
      <c r="J1" s="12" t="s">
        <v>79</v>
      </c>
      <c r="K1" s="12" t="s">
        <v>2950</v>
      </c>
      <c r="L1" s="12" t="s">
        <v>80</v>
      </c>
      <c r="M1" s="12" t="s">
        <v>2951</v>
      </c>
      <c r="N1" s="12" t="s">
        <v>2952</v>
      </c>
      <c r="O1" s="12" t="s">
        <v>2953</v>
      </c>
      <c r="P1" s="12" t="s">
        <v>2954</v>
      </c>
      <c r="Q1" s="12" t="s">
        <v>81</v>
      </c>
      <c r="R1" s="12" t="s">
        <v>82</v>
      </c>
      <c r="S1" s="12" t="s">
        <v>2955</v>
      </c>
    </row>
    <row r="2" spans="1:19" ht="62" customHeight="1">
      <c r="A2" s="58" t="s">
        <v>866</v>
      </c>
      <c r="B2" s="31" t="s">
        <v>2459</v>
      </c>
      <c r="C2" s="59" t="s">
        <v>2956</v>
      </c>
      <c r="D2" s="59" t="s">
        <v>2957</v>
      </c>
      <c r="E2" s="59" t="s">
        <v>2468</v>
      </c>
      <c r="F2" s="31" t="s">
        <v>2463</v>
      </c>
      <c r="G2" s="60" t="s">
        <v>2958</v>
      </c>
      <c r="H2" s="31" t="s">
        <v>314</v>
      </c>
      <c r="I2" s="31" t="s">
        <v>2959</v>
      </c>
      <c r="J2" s="59" t="s">
        <v>2464</v>
      </c>
      <c r="K2" s="59" t="s">
        <v>2468</v>
      </c>
      <c r="L2" s="31" t="s">
        <v>2465</v>
      </c>
      <c r="M2" s="31" t="s">
        <v>2960</v>
      </c>
      <c r="N2" s="31" t="s">
        <v>2961</v>
      </c>
      <c r="O2" s="31" t="s">
        <v>2962</v>
      </c>
      <c r="P2" s="31" t="s">
        <v>2963</v>
      </c>
      <c r="Q2" s="31" t="s"/>
      <c r="R2" s="31" t="s">
        <v>2964</v>
      </c>
      <c r="S2" s="61" t="s">
        <v>2471</v>
      </c>
    </row>
    <row r="3" spans="1:19" ht="62" customHeight="1">
      <c r="A3" s="58" t="s">
        <v>873</v>
      </c>
      <c r="B3" s="31" t="s">
        <v>2473</v>
      </c>
      <c r="C3" s="59" t="s">
        <v>2956</v>
      </c>
      <c r="D3" s="59" t="s">
        <v>2957</v>
      </c>
      <c r="E3" s="59" t="s">
        <v>2476</v>
      </c>
      <c r="F3" s="31" t="s">
        <v>2474</v>
      </c>
      <c r="G3" s="60" t="s">
        <v>2965</v>
      </c>
      <c r="H3" s="31" t="s">
        <v>2966</v>
      </c>
      <c r="I3" s="31" t="s">
        <v>2967</v>
      </c>
      <c r="J3" s="59" t="s">
        <v>984</v>
      </c>
      <c r="K3" s="59" t="s">
        <v>2476</v>
      </c>
      <c r="L3" s="31" t="s">
        <v>2475</v>
      </c>
      <c r="M3" s="31" t="s">
        <v>2968</v>
      </c>
      <c r="N3" s="31" t="s">
        <v>314</v>
      </c>
      <c r="O3" s="31" t="s">
        <v>2969</v>
      </c>
      <c r="P3" s="31" t="s">
        <v>2970</v>
      </c>
      <c r="Q3" s="31" t="s">
        <v>2971</v>
      </c>
      <c r="R3" s="31" t="s">
        <v>2964</v>
      </c>
      <c r="S3" s="61" t="s">
        <v>2477</v>
      </c>
    </row>
    <row r="4" spans="1:19" ht="62" customHeight="1">
      <c r="A4" s="58" t="s">
        <v>550</v>
      </c>
      <c r="B4" s="31" t="s">
        <v>533</v>
      </c>
      <c r="C4" s="59" t="s">
        <v>2956</v>
      </c>
      <c r="D4" s="59" t="s">
        <v>395</v>
      </c>
      <c r="E4" s="59" t="s">
        <v>2476</v>
      </c>
      <c r="F4" s="31" t="s">
        <v>2479</v>
      </c>
      <c r="G4" s="60" t="s">
        <v>2972</v>
      </c>
      <c r="H4" s="31" t="s">
        <v>2973</v>
      </c>
      <c r="I4" s="31" t="s">
        <v>2974</v>
      </c>
      <c r="J4" s="59" t="s">
        <v>536</v>
      </c>
      <c r="K4" s="59" t="s">
        <v>2476</v>
      </c>
      <c r="L4" s="31" t="s">
        <v>2475</v>
      </c>
      <c r="M4" s="31" t="s">
        <v>314</v>
      </c>
      <c r="N4" s="31" t="s">
        <v>314</v>
      </c>
      <c r="O4" s="31" t="s">
        <v>2975</v>
      </c>
      <c r="P4" s="31" t="s">
        <v>2976</v>
      </c>
      <c r="Q4" s="31" t="s">
        <v>2977</v>
      </c>
      <c r="R4" s="31" t="s">
        <v>2964</v>
      </c>
      <c r="S4" s="61" t="s">
        <v>2480</v>
      </c>
    </row>
    <row r="5" spans="1:19" ht="62" customHeight="1">
      <c r="A5" s="58" t="s">
        <v>828</v>
      </c>
      <c r="B5" s="31" t="s">
        <v>2482</v>
      </c>
      <c r="C5" s="59" t="s">
        <v>2956</v>
      </c>
      <c r="D5" s="59" t="s">
        <v>395</v>
      </c>
      <c r="E5" s="59" t="s">
        <v>2476</v>
      </c>
      <c r="F5" s="31" t="s">
        <v>2483</v>
      </c>
      <c r="G5" s="60" t="s">
        <v>2978</v>
      </c>
      <c r="H5" s="31" t="s">
        <v>2979</v>
      </c>
      <c r="I5" s="31" t="s">
        <v>2980</v>
      </c>
      <c r="J5" s="59" t="s">
        <v>820</v>
      </c>
      <c r="K5" s="59" t="s">
        <v>2476</v>
      </c>
      <c r="L5" s="31" t="s">
        <v>2475</v>
      </c>
      <c r="M5" s="31" t="s">
        <v>314</v>
      </c>
      <c r="N5" s="31" t="s">
        <v>314</v>
      </c>
      <c r="O5" s="31" t="s">
        <v>2981</v>
      </c>
      <c r="P5" s="31" t="s">
        <v>314</v>
      </c>
      <c r="Q5" s="31" t="s">
        <v>2982</v>
      </c>
      <c r="R5" s="31" t="s">
        <v>2964</v>
      </c>
      <c r="S5" s="61" t="s">
        <v>2484</v>
      </c>
    </row>
    <row r="6" spans="1:19" ht="62" customHeight="1">
      <c r="A6" s="58" t="s">
        <v>931</v>
      </c>
      <c r="B6" s="31" t="s">
        <v>2486</v>
      </c>
      <c r="C6" s="59" t="s">
        <v>2956</v>
      </c>
      <c r="D6" s="59" t="s">
        <v>395</v>
      </c>
      <c r="E6" s="59" t="s">
        <v>2476</v>
      </c>
      <c r="F6" s="31" t="s">
        <v>2487</v>
      </c>
      <c r="G6" s="60" t="s">
        <v>2983</v>
      </c>
      <c r="H6" s="31" t="s">
        <v>2984</v>
      </c>
      <c r="I6" s="31" t="s">
        <v>2985</v>
      </c>
      <c r="J6" s="59" t="s">
        <v>2488</v>
      </c>
      <c r="K6" s="59" t="s">
        <v>2476</v>
      </c>
      <c r="L6" s="31" t="s">
        <v>2475</v>
      </c>
      <c r="M6" s="31" t="s">
        <v>314</v>
      </c>
      <c r="N6" s="31" t="s">
        <v>314</v>
      </c>
      <c r="O6" s="31" t="s">
        <v>2986</v>
      </c>
      <c r="P6" s="31" t="s">
        <v>314</v>
      </c>
      <c r="Q6" s="31" t="s">
        <v>2987</v>
      </c>
      <c r="R6" s="31" t="s">
        <v>2964</v>
      </c>
      <c r="S6" s="61" t="s">
        <v>2489</v>
      </c>
    </row>
    <row r="7" spans="1:19" ht="62" customHeight="1">
      <c r="A7" s="58" t="s">
        <v>473</v>
      </c>
      <c r="B7" s="31" t="s">
        <v>2491</v>
      </c>
      <c r="C7" s="59" t="s">
        <v>2956</v>
      </c>
      <c r="D7" s="59" t="s">
        <v>395</v>
      </c>
      <c r="E7" s="59" t="s">
        <v>2476</v>
      </c>
      <c r="F7" s="31" t="s">
        <v>2492</v>
      </c>
      <c r="G7" s="60" t="s">
        <v>2988</v>
      </c>
      <c r="H7" s="31" t="s">
        <v>2989</v>
      </c>
      <c r="I7" s="31" t="s">
        <v>2990</v>
      </c>
      <c r="J7" s="59" t="s">
        <v>984</v>
      </c>
      <c r="K7" s="59" t="s">
        <v>2476</v>
      </c>
      <c r="L7" s="31" t="s">
        <v>2475</v>
      </c>
      <c r="M7" s="31" t="s">
        <v>314</v>
      </c>
      <c r="N7" s="31" t="s">
        <v>314</v>
      </c>
      <c r="O7" s="31" t="s">
        <v>2991</v>
      </c>
      <c r="P7" s="31" t="s">
        <v>314</v>
      </c>
      <c r="Q7" s="31" t="s">
        <v>2992</v>
      </c>
      <c r="R7" s="31" t="s">
        <v>2964</v>
      </c>
      <c r="S7" s="61" t="s">
        <v>2493</v>
      </c>
    </row>
    <row r="8" spans="1:19" ht="62" customHeight="1">
      <c r="A8" s="58" t="s">
        <v>482</v>
      </c>
      <c r="B8" s="31" t="s">
        <v>2495</v>
      </c>
      <c r="C8" s="59" t="s">
        <v>2956</v>
      </c>
      <c r="D8" s="59" t="s">
        <v>395</v>
      </c>
      <c r="E8" s="59" t="s">
        <v>2476</v>
      </c>
      <c r="F8" s="31" t="s">
        <v>2496</v>
      </c>
      <c r="G8" s="60" t="s">
        <v>2993</v>
      </c>
      <c r="H8" s="31" t="s">
        <v>2994</v>
      </c>
      <c r="I8" s="31" t="s">
        <v>2995</v>
      </c>
      <c r="J8" s="59" t="s">
        <v>984</v>
      </c>
      <c r="K8" s="59" t="s">
        <v>2476</v>
      </c>
      <c r="L8" s="31" t="s">
        <v>2475</v>
      </c>
      <c r="M8" s="31" t="s">
        <v>314</v>
      </c>
      <c r="N8" s="31" t="s">
        <v>314</v>
      </c>
      <c r="O8" s="31" t="s">
        <v>2996</v>
      </c>
      <c r="P8" s="31" t="s">
        <v>314</v>
      </c>
      <c r="Q8" s="31" t="s">
        <v>2997</v>
      </c>
      <c r="R8" s="31" t="s">
        <v>2964</v>
      </c>
      <c r="S8" s="61" t="s">
        <v>2497</v>
      </c>
    </row>
    <row r="9" spans="1:19" ht="62" customHeight="1">
      <c r="A9" s="58" t="s">
        <v>742</v>
      </c>
      <c r="B9" s="31" t="s">
        <v>2499</v>
      </c>
      <c r="C9" s="59" t="s">
        <v>2956</v>
      </c>
      <c r="D9" s="59" t="s">
        <v>395</v>
      </c>
      <c r="E9" s="59" t="s">
        <v>2476</v>
      </c>
      <c r="F9" s="31" t="s">
        <v>2500</v>
      </c>
      <c r="G9" s="60" t="s">
        <v>2998</v>
      </c>
      <c r="H9" s="31" t="s">
        <v>2999</v>
      </c>
      <c r="I9" s="31" t="s">
        <v>3000</v>
      </c>
      <c r="J9" s="59" t="s">
        <v>2501</v>
      </c>
      <c r="K9" s="59" t="s">
        <v>2476</v>
      </c>
      <c r="L9" s="31" t="s">
        <v>2475</v>
      </c>
      <c r="M9" s="31" t="s">
        <v>314</v>
      </c>
      <c r="N9" s="31" t="s">
        <v>314</v>
      </c>
      <c r="O9" s="31" t="s">
        <v>3001</v>
      </c>
      <c r="P9" s="31" t="s">
        <v>3002</v>
      </c>
      <c r="Q9" s="31" t="s">
        <v>3003</v>
      </c>
      <c r="R9" s="31" t="s">
        <v>2964</v>
      </c>
      <c r="S9" s="61" t="s">
        <v>2502</v>
      </c>
    </row>
    <row r="10" spans="1:19" ht="62" customHeight="1">
      <c r="A10" s="58" t="s">
        <v>905</v>
      </c>
      <c r="B10" s="31" t="s">
        <v>2504</v>
      </c>
      <c r="C10" s="59" t="s">
        <v>2956</v>
      </c>
      <c r="D10" s="59" t="s">
        <v>395</v>
      </c>
      <c r="E10" s="59" t="s">
        <v>2476</v>
      </c>
      <c r="F10" s="31" t="s">
        <v>2505</v>
      </c>
      <c r="G10" s="60" t="s">
        <v>3004</v>
      </c>
      <c r="H10" s="31" t="s">
        <v>3005</v>
      </c>
      <c r="I10" s="31" t="s">
        <v>3006</v>
      </c>
      <c r="J10" s="59" t="s">
        <v>984</v>
      </c>
      <c r="K10" s="59" t="s">
        <v>2476</v>
      </c>
      <c r="L10" s="31" t="s">
        <v>2475</v>
      </c>
      <c r="M10" s="31" t="s">
        <v>314</v>
      </c>
      <c r="N10" s="31" t="s">
        <v>314</v>
      </c>
      <c r="O10" s="31" t="s">
        <v>3007</v>
      </c>
      <c r="P10" s="31" t="s">
        <v>3008</v>
      </c>
      <c r="Q10" s="31" t="s">
        <v>3009</v>
      </c>
      <c r="R10" s="31" t="s">
        <v>2964</v>
      </c>
      <c r="S10" s="61" t="s">
        <v>2506</v>
      </c>
    </row>
    <row r="11" spans="1:19" ht="62" customHeight="1">
      <c r="A11" s="58" t="s">
        <v>751</v>
      </c>
      <c r="B11" s="31" t="s">
        <v>2508</v>
      </c>
      <c r="C11" s="59" t="s">
        <v>2956</v>
      </c>
      <c r="D11" s="59" t="s">
        <v>395</v>
      </c>
      <c r="E11" s="59" t="s">
        <v>2476</v>
      </c>
      <c r="F11" s="31" t="s">
        <v>2509</v>
      </c>
      <c r="G11" s="60" t="s">
        <v>3010</v>
      </c>
      <c r="H11" s="31" t="s">
        <v>3011</v>
      </c>
      <c r="I11" s="31" t="s">
        <v>3012</v>
      </c>
      <c r="J11" s="59" t="s">
        <v>2501</v>
      </c>
      <c r="K11" s="59" t="s">
        <v>2476</v>
      </c>
      <c r="L11" s="31" t="s">
        <v>2510</v>
      </c>
      <c r="M11" s="31" t="s">
        <v>314</v>
      </c>
      <c r="N11" s="31" t="s">
        <v>314</v>
      </c>
      <c r="O11" s="31" t="s">
        <v>3013</v>
      </c>
      <c r="P11" s="31" t="s">
        <v>3014</v>
      </c>
      <c r="Q11" s="31" t="s">
        <v>3015</v>
      </c>
      <c r="R11" s="31" t="s">
        <v>2964</v>
      </c>
      <c r="S11" s="61" t="s">
        <v>2511</v>
      </c>
    </row>
    <row r="12" spans="1:19" ht="62" customHeight="1">
      <c r="A12" s="58" t="s">
        <v>657</v>
      </c>
      <c r="B12" s="31" t="s">
        <v>2513</v>
      </c>
      <c r="C12" s="59" t="s">
        <v>2956</v>
      </c>
      <c r="D12" s="59" t="s">
        <v>395</v>
      </c>
      <c r="E12" s="59" t="s">
        <v>2476</v>
      </c>
      <c r="F12" s="31" t="s">
        <v>2514</v>
      </c>
      <c r="G12" s="60" t="s">
        <v>644</v>
      </c>
      <c r="H12" s="31" t="s">
        <v>314</v>
      </c>
      <c r="I12" s="31" t="s">
        <v>3016</v>
      </c>
      <c r="J12" s="59" t="s">
        <v>498</v>
      </c>
      <c r="K12" s="59" t="s">
        <v>2476</v>
      </c>
      <c r="L12" s="31" t="s">
        <v>2515</v>
      </c>
      <c r="M12" s="31" t="s">
        <v>314</v>
      </c>
      <c r="N12" s="31" t="s">
        <v>314</v>
      </c>
      <c r="O12" s="31" t="s">
        <v>3017</v>
      </c>
      <c r="P12" s="31" t="s">
        <v>3018</v>
      </c>
      <c r="Q12" s="31" t="s"/>
      <c r="R12" s="31" t="s">
        <v>2964</v>
      </c>
      <c r="S12" s="61" t="s">
        <v>2516</v>
      </c>
    </row>
    <row r="13" spans="1:19" ht="62" customHeight="1">
      <c r="A13" s="58" t="s">
        <v>635</v>
      </c>
      <c r="B13" s="31" t="s">
        <v>2517</v>
      </c>
      <c r="C13" s="59" t="s">
        <v>3019</v>
      </c>
      <c r="D13" s="59" t="s">
        <v>395</v>
      </c>
      <c r="E13" s="59" t="s">
        <v>2476</v>
      </c>
      <c r="F13" s="31" t="s">
        <v>2520</v>
      </c>
      <c r="G13" s="60" t="s">
        <v>3020</v>
      </c>
      <c r="H13" s="31" t="s">
        <v>3021</v>
      </c>
      <c r="I13" s="31" t="s">
        <v>3022</v>
      </c>
      <c r="J13" s="59" t="s">
        <v>2521</v>
      </c>
      <c r="K13" s="59" t="s">
        <v>2476</v>
      </c>
      <c r="L13" s="31" t="s">
        <v>2522</v>
      </c>
      <c r="M13" s="31" t="s">
        <v>3023</v>
      </c>
      <c r="N13" s="31" t="s">
        <v>3024</v>
      </c>
      <c r="O13" s="31" t="s">
        <v>3025</v>
      </c>
      <c r="P13" s="31" t="s">
        <v>3026</v>
      </c>
      <c r="Q13" s="31" t="s">
        <v>3027</v>
      </c>
      <c r="R13" s="31" t="s">
        <v>3028</v>
      </c>
      <c r="S13" s="61" t="s">
        <v>2523</v>
      </c>
    </row>
    <row r="14" spans="1:19" ht="62" customHeight="1">
      <c r="A14" s="58" t="s">
        <v>2525</v>
      </c>
      <c r="B14" s="31" t="s">
        <v>2526</v>
      </c>
      <c r="C14" s="59" t="s">
        <v>3019</v>
      </c>
      <c r="D14" s="59" t="s">
        <v>395</v>
      </c>
      <c r="E14" s="59" t="s">
        <v>2529</v>
      </c>
      <c r="F14" s="31" t="s">
        <v>2527</v>
      </c>
      <c r="G14" s="60" t="s">
        <v>3029</v>
      </c>
      <c r="H14" s="31" t="s">
        <v>3030</v>
      </c>
      <c r="I14" s="31" t="s">
        <v>3031</v>
      </c>
      <c r="J14" s="59" t="s">
        <v>2528</v>
      </c>
      <c r="K14" s="59" t="s">
        <v>2529</v>
      </c>
      <c r="L14" s="31" t="s">
        <v>2522</v>
      </c>
      <c r="M14" s="31" t="s">
        <v>314</v>
      </c>
      <c r="N14" s="31" t="s">
        <v>314</v>
      </c>
      <c r="O14" s="31" t="s">
        <v>3032</v>
      </c>
      <c r="P14" s="31" t="s">
        <v>314</v>
      </c>
      <c r="Q14" s="31" t="s">
        <v>3033</v>
      </c>
      <c r="R14" s="31" t="s">
        <v>3028</v>
      </c>
      <c r="S14" s="61" t="s">
        <v>2530</v>
      </c>
    </row>
    <row r="15" spans="1:19" ht="62" customHeight="1">
      <c r="A15" s="58" t="s">
        <v>2532</v>
      </c>
      <c r="B15" s="31" t="s">
        <v>2533</v>
      </c>
      <c r="C15" s="59" t="s">
        <v>3019</v>
      </c>
      <c r="D15" s="59" t="s">
        <v>395</v>
      </c>
      <c r="E15" s="59" t="s">
        <v>2529</v>
      </c>
      <c r="F15" s="31" t="s">
        <v>2534</v>
      </c>
      <c r="G15" s="60" t="s">
        <v>3034</v>
      </c>
      <c r="H15" s="31" t="s">
        <v>3035</v>
      </c>
      <c r="I15" s="31" t="s">
        <v>3036</v>
      </c>
      <c r="J15" s="59" t="s">
        <v>2535</v>
      </c>
      <c r="K15" s="59" t="s">
        <v>2529</v>
      </c>
      <c r="L15" s="31" t="s">
        <v>2522</v>
      </c>
      <c r="M15" s="31" t="s">
        <v>314</v>
      </c>
      <c r="N15" s="31" t="s">
        <v>314</v>
      </c>
      <c r="O15" s="31" t="s">
        <v>3037</v>
      </c>
      <c r="P15" s="31" t="s">
        <v>314</v>
      </c>
      <c r="Q15" s="31" t="s">
        <v>3038</v>
      </c>
      <c r="R15" s="31" t="s">
        <v>3028</v>
      </c>
      <c r="S15" s="61" t="s">
        <v>2536</v>
      </c>
    </row>
    <row r="16" spans="1:19" ht="62" customHeight="1">
      <c r="A16" s="58" t="s">
        <v>628</v>
      </c>
      <c r="B16" s="31" t="s">
        <v>2538</v>
      </c>
      <c r="C16" s="59" t="s">
        <v>3019</v>
      </c>
      <c r="D16" s="59" t="s">
        <v>395</v>
      </c>
      <c r="E16" s="59" t="s">
        <v>2529</v>
      </c>
      <c r="F16" s="31" t="s">
        <v>2539</v>
      </c>
      <c r="G16" s="60" t="s">
        <v>3039</v>
      </c>
      <c r="H16" s="31" t="s">
        <v>3040</v>
      </c>
      <c r="I16" s="31" t="s">
        <v>3041</v>
      </c>
      <c r="J16" s="59" t="s">
        <v>2540</v>
      </c>
      <c r="K16" s="59" t="s">
        <v>2529</v>
      </c>
      <c r="L16" s="31" t="s">
        <v>2522</v>
      </c>
      <c r="M16" s="31" t="s">
        <v>314</v>
      </c>
      <c r="N16" s="31" t="s">
        <v>314</v>
      </c>
      <c r="O16" s="31" t="s">
        <v>3042</v>
      </c>
      <c r="P16" s="31" t="s">
        <v>314</v>
      </c>
      <c r="Q16" s="31" t="s">
        <v>3043</v>
      </c>
      <c r="R16" s="31" t="s">
        <v>3028</v>
      </c>
      <c r="S16" s="61" t="s">
        <v>2541</v>
      </c>
    </row>
    <row r="17" spans="1:19" ht="62" customHeight="1">
      <c r="A17" s="58" t="s">
        <v>2543</v>
      </c>
      <c r="B17" s="31" t="s">
        <v>2544</v>
      </c>
      <c r="C17" s="59" t="s">
        <v>3019</v>
      </c>
      <c r="D17" s="59" t="s">
        <v>395</v>
      </c>
      <c r="E17" s="59" t="s">
        <v>2529</v>
      </c>
      <c r="F17" s="31" t="s">
        <v>2545</v>
      </c>
      <c r="G17" s="60" t="s">
        <v>3044</v>
      </c>
      <c r="H17" s="31" t="s">
        <v>3045</v>
      </c>
      <c r="I17" s="31" t="s">
        <v>3046</v>
      </c>
      <c r="J17" s="59" t="s">
        <v>2546</v>
      </c>
      <c r="K17" s="59" t="s">
        <v>2529</v>
      </c>
      <c r="L17" s="31" t="s">
        <v>2522</v>
      </c>
      <c r="M17" s="31" t="s">
        <v>314</v>
      </c>
      <c r="N17" s="31" t="s">
        <v>314</v>
      </c>
      <c r="O17" s="31" t="s">
        <v>3047</v>
      </c>
      <c r="P17" s="31" t="s">
        <v>314</v>
      </c>
      <c r="Q17" s="31" t="s">
        <v>3048</v>
      </c>
      <c r="R17" s="31" t="s">
        <v>3028</v>
      </c>
      <c r="S17" s="61" t="s">
        <v>2547</v>
      </c>
    </row>
    <row r="18" spans="1:19" ht="62" customHeight="1">
      <c r="A18" s="58" t="s">
        <v>71</v>
      </c>
      <c r="B18" s="31" t="s">
        <v>2549</v>
      </c>
      <c r="C18" s="59" t="s">
        <v>2554</v>
      </c>
      <c r="D18" s="59" t="s">
        <v>395</v>
      </c>
      <c r="E18" s="59" t="s">
        <v>2554</v>
      </c>
      <c r="F18" s="31" t="s">
        <v>2552</v>
      </c>
      <c r="G18" s="60" t="s">
        <v>3049</v>
      </c>
      <c r="H18" s="31" t="s">
        <v>3050</v>
      </c>
      <c r="I18" s="31" t="s">
        <v>3051</v>
      </c>
      <c r="J18" s="59" t="s">
        <v>2553</v>
      </c>
      <c r="K18" s="59" t="s">
        <v>2554</v>
      </c>
      <c r="L18" s="31" t="s">
        <v>2522</v>
      </c>
      <c r="M18" s="31" t="s">
        <v>3052</v>
      </c>
      <c r="N18" s="31" t="s">
        <v>3053</v>
      </c>
      <c r="O18" s="31" t="s">
        <v>3054</v>
      </c>
      <c r="P18" s="31" t="s">
        <v>3055</v>
      </c>
      <c r="Q18" s="31" t="s">
        <v>3056</v>
      </c>
      <c r="R18" s="31" t="s">
        <v>3057</v>
      </c>
      <c r="S18" s="61" t="s">
        <v>2555</v>
      </c>
    </row>
    <row r="19" spans="1:19" ht="62" customHeight="1">
      <c r="A19" s="58" t="s">
        <v>2557</v>
      </c>
      <c r="B19" s="31" t="s">
        <v>2558</v>
      </c>
      <c r="C19" s="59" t="s">
        <v>2554</v>
      </c>
      <c r="D19" s="59" t="s">
        <v>395</v>
      </c>
      <c r="E19" s="59" t="s">
        <v>2554</v>
      </c>
      <c r="F19" s="31" t="s">
        <v>2559</v>
      </c>
      <c r="G19" s="60" t="s">
        <v>3058</v>
      </c>
      <c r="H19" s="31" t="s">
        <v>3059</v>
      </c>
      <c r="I19" s="31" t="s">
        <v>3060</v>
      </c>
      <c r="J19" s="59" t="s">
        <v>2553</v>
      </c>
      <c r="K19" s="59" t="s">
        <v>2554</v>
      </c>
      <c r="L19" s="31" t="s">
        <v>2522</v>
      </c>
      <c r="M19" s="31" t="s">
        <v>314</v>
      </c>
      <c r="N19" s="31" t="s">
        <v>314</v>
      </c>
      <c r="O19" s="31" t="s">
        <v>3061</v>
      </c>
      <c r="P19" s="31" t="s">
        <v>3062</v>
      </c>
      <c r="Q19" s="31" t="s">
        <v>3063</v>
      </c>
      <c r="R19" s="31" t="s">
        <v>3057</v>
      </c>
      <c r="S19" s="61" t="s">
        <v>2560</v>
      </c>
    </row>
    <row r="20" spans="1:19" ht="62" customHeight="1">
      <c r="A20" s="58" t="s">
        <v>2562</v>
      </c>
      <c r="B20" s="31" t="s">
        <v>2563</v>
      </c>
      <c r="C20" s="59" t="s">
        <v>2554</v>
      </c>
      <c r="D20" s="59" t="s">
        <v>395</v>
      </c>
      <c r="E20" s="59" t="s">
        <v>2554</v>
      </c>
      <c r="F20" s="31" t="s">
        <v>2564</v>
      </c>
      <c r="G20" s="60" t="s">
        <v>3064</v>
      </c>
      <c r="H20" s="31" t="s">
        <v>3065</v>
      </c>
      <c r="I20" s="31" t="s">
        <v>3066</v>
      </c>
      <c r="J20" s="59" t="s">
        <v>2553</v>
      </c>
      <c r="K20" s="59" t="s">
        <v>2554</v>
      </c>
      <c r="L20" s="31" t="s">
        <v>2522</v>
      </c>
      <c r="M20" s="31" t="s">
        <v>314</v>
      </c>
      <c r="N20" s="31" t="s">
        <v>3067</v>
      </c>
      <c r="O20" s="31" t="s">
        <v>3068</v>
      </c>
      <c r="P20" s="31" t="s">
        <v>3055</v>
      </c>
      <c r="Q20" s="31" t="s">
        <v>3069</v>
      </c>
      <c r="R20" s="31" t="s">
        <v>3057</v>
      </c>
      <c r="S20" s="61" t="s">
        <v>2565</v>
      </c>
    </row>
    <row r="21" spans="1:19" ht="62" customHeight="1">
      <c r="A21" s="58" t="s">
        <v>2567</v>
      </c>
      <c r="B21" s="31" t="s">
        <v>2568</v>
      </c>
      <c r="C21" s="59" t="s">
        <v>2554</v>
      </c>
      <c r="D21" s="59" t="s">
        <v>395</v>
      </c>
      <c r="E21" s="59" t="s">
        <v>2554</v>
      </c>
      <c r="F21" s="31" t="s">
        <v>2569</v>
      </c>
      <c r="G21" s="60" t="s">
        <v>3070</v>
      </c>
      <c r="H21" s="31" t="s">
        <v>3071</v>
      </c>
      <c r="I21" s="31" t="s">
        <v>3072</v>
      </c>
      <c r="J21" s="59" t="s">
        <v>2553</v>
      </c>
      <c r="K21" s="59" t="s">
        <v>2554</v>
      </c>
      <c r="L21" s="31" t="s">
        <v>2522</v>
      </c>
      <c r="M21" s="31" t="s">
        <v>314</v>
      </c>
      <c r="N21" s="31" t="s">
        <v>314</v>
      </c>
      <c r="O21" s="31" t="s">
        <v>3073</v>
      </c>
      <c r="P21" s="31" t="s">
        <v>3062</v>
      </c>
      <c r="Q21" s="31" t="s">
        <v>3074</v>
      </c>
      <c r="R21" s="31" t="s">
        <v>3057</v>
      </c>
      <c r="S21" s="61" t="s">
        <v>2570</v>
      </c>
    </row>
    <row r="22" spans="1:19" ht="62" customHeight="1">
      <c r="A22" s="58" t="s">
        <v>2572</v>
      </c>
      <c r="B22" s="31" t="s">
        <v>2573</v>
      </c>
      <c r="C22" s="59" t="s">
        <v>2554</v>
      </c>
      <c r="D22" s="59" t="s">
        <v>395</v>
      </c>
      <c r="E22" s="59" t="s">
        <v>2554</v>
      </c>
      <c r="F22" s="31" t="s">
        <v>2574</v>
      </c>
      <c r="G22" s="60" t="s">
        <v>3075</v>
      </c>
      <c r="H22" s="31" t="s">
        <v>3076</v>
      </c>
      <c r="I22" s="31" t="s">
        <v>3077</v>
      </c>
      <c r="J22" s="59" t="s">
        <v>2553</v>
      </c>
      <c r="K22" s="59" t="s">
        <v>2554</v>
      </c>
      <c r="L22" s="31" t="s">
        <v>2522</v>
      </c>
      <c r="M22" s="31" t="s">
        <v>314</v>
      </c>
      <c r="N22" s="31" t="s">
        <v>3078</v>
      </c>
      <c r="O22" s="31" t="s">
        <v>3079</v>
      </c>
      <c r="P22" s="31" t="s">
        <v>3055</v>
      </c>
      <c r="Q22" s="31" t="s">
        <v>3080</v>
      </c>
      <c r="R22" s="31" t="s">
        <v>3057</v>
      </c>
      <c r="S22" s="61" t="s">
        <v>2575</v>
      </c>
    </row>
    <row r="23" spans="1:19" ht="62" customHeight="1">
      <c r="A23" s="58" t="s">
        <v>2577</v>
      </c>
      <c r="B23" s="31" t="s">
        <v>2578</v>
      </c>
      <c r="C23" s="59" t="s">
        <v>2554</v>
      </c>
      <c r="D23" s="59" t="s">
        <v>395</v>
      </c>
      <c r="E23" s="59" t="s">
        <v>2554</v>
      </c>
      <c r="F23" s="31" t="s">
        <v>2579</v>
      </c>
      <c r="G23" s="60" t="s">
        <v>3081</v>
      </c>
      <c r="H23" s="31" t="s">
        <v>3082</v>
      </c>
      <c r="I23" s="31" t="s">
        <v>3083</v>
      </c>
      <c r="J23" s="59" t="s">
        <v>2553</v>
      </c>
      <c r="K23" s="59" t="s">
        <v>2554</v>
      </c>
      <c r="L23" s="31" t="s">
        <v>2522</v>
      </c>
      <c r="M23" s="31" t="s">
        <v>314</v>
      </c>
      <c r="N23" s="31" t="s">
        <v>314</v>
      </c>
      <c r="O23" s="31" t="s">
        <v>3084</v>
      </c>
      <c r="P23" s="31" t="s">
        <v>3062</v>
      </c>
      <c r="Q23" s="31" t="s">
        <v>3085</v>
      </c>
      <c r="R23" s="31" t="s">
        <v>3057</v>
      </c>
      <c r="S23" s="61" t="s">
        <v>2580</v>
      </c>
    </row>
    <row r="24" spans="1:19" ht="62" customHeight="1">
      <c r="A24" s="58" t="s">
        <v>2582</v>
      </c>
      <c r="B24" s="31" t="s">
        <v>2583</v>
      </c>
      <c r="C24" s="59" t="s">
        <v>2554</v>
      </c>
      <c r="D24" s="59" t="s">
        <v>395</v>
      </c>
      <c r="E24" s="59" t="s">
        <v>2554</v>
      </c>
      <c r="F24" s="31" t="s">
        <v>2584</v>
      </c>
      <c r="G24" s="60" t="s">
        <v>3086</v>
      </c>
      <c r="H24" s="31" t="s">
        <v>3087</v>
      </c>
      <c r="I24" s="31" t="s">
        <v>3088</v>
      </c>
      <c r="J24" s="59" t="s">
        <v>2585</v>
      </c>
      <c r="K24" s="59" t="s">
        <v>2554</v>
      </c>
      <c r="L24" s="31" t="s">
        <v>2522</v>
      </c>
      <c r="M24" s="31" t="s">
        <v>314</v>
      </c>
      <c r="N24" s="31" t="s">
        <v>314</v>
      </c>
      <c r="O24" s="31" t="s">
        <v>3089</v>
      </c>
      <c r="P24" s="31" t="s">
        <v>3090</v>
      </c>
      <c r="Q24" s="31" t="s">
        <v>3091</v>
      </c>
      <c r="R24" s="31" t="s">
        <v>3057</v>
      </c>
      <c r="S24" s="61" t="s">
        <v>2586</v>
      </c>
    </row>
    <row r="25" spans="1:19" ht="62" customHeight="1">
      <c r="A25" s="58" t="s">
        <v>2588</v>
      </c>
      <c r="B25" s="31" t="s">
        <v>2589</v>
      </c>
      <c r="C25" s="59" t="s">
        <v>2554</v>
      </c>
      <c r="D25" s="59" t="s">
        <v>395</v>
      </c>
      <c r="E25" s="59" t="s">
        <v>2554</v>
      </c>
      <c r="F25" s="31" t="s">
        <v>2590</v>
      </c>
      <c r="G25" s="60" t="s">
        <v>3092</v>
      </c>
      <c r="H25" s="31" t="s">
        <v>3093</v>
      </c>
      <c r="I25" s="31" t="s">
        <v>3094</v>
      </c>
      <c r="J25" s="59" t="s">
        <v>2553</v>
      </c>
      <c r="K25" s="59" t="s">
        <v>2554</v>
      </c>
      <c r="L25" s="31" t="s">
        <v>2522</v>
      </c>
      <c r="M25" s="31" t="s">
        <v>314</v>
      </c>
      <c r="N25" s="31" t="s">
        <v>3067</v>
      </c>
      <c r="O25" s="31" t="s">
        <v>3095</v>
      </c>
      <c r="P25" s="31" t="s">
        <v>3055</v>
      </c>
      <c r="Q25" s="31" t="s">
        <v>3096</v>
      </c>
      <c r="R25" s="31" t="s">
        <v>3057</v>
      </c>
      <c r="S25" s="61" t="s">
        <v>2591</v>
      </c>
    </row>
    <row r="26" spans="1:19" ht="62" customHeight="1">
      <c r="A26" s="58" t="s">
        <v>2593</v>
      </c>
      <c r="B26" s="31" t="s">
        <v>2594</v>
      </c>
      <c r="C26" s="59" t="s">
        <v>2554</v>
      </c>
      <c r="D26" s="59" t="s">
        <v>395</v>
      </c>
      <c r="E26" s="59" t="s">
        <v>2554</v>
      </c>
      <c r="F26" s="31" t="s">
        <v>2595</v>
      </c>
      <c r="G26" s="60" t="s">
        <v>3097</v>
      </c>
      <c r="H26" s="31" t="s">
        <v>3098</v>
      </c>
      <c r="I26" s="31" t="s">
        <v>3099</v>
      </c>
      <c r="J26" s="59" t="s">
        <v>2553</v>
      </c>
      <c r="K26" s="59" t="s">
        <v>2554</v>
      </c>
      <c r="L26" s="31" t="s">
        <v>2522</v>
      </c>
      <c r="M26" s="31" t="s">
        <v>314</v>
      </c>
      <c r="N26" s="31" t="s">
        <v>314</v>
      </c>
      <c r="O26" s="31" t="s">
        <v>3100</v>
      </c>
      <c r="P26" s="31" t="s">
        <v>3062</v>
      </c>
      <c r="Q26" s="31" t="s">
        <v>3101</v>
      </c>
      <c r="R26" s="31" t="s">
        <v>3057</v>
      </c>
      <c r="S26" s="61" t="s">
        <v>2596</v>
      </c>
    </row>
    <row r="27" spans="1:19" ht="62" customHeight="1">
      <c r="A27" s="58" t="s">
        <v>2598</v>
      </c>
      <c r="B27" s="31" t="s">
        <v>2599</v>
      </c>
      <c r="C27" s="59" t="s">
        <v>2554</v>
      </c>
      <c r="D27" s="59" t="s">
        <v>395</v>
      </c>
      <c r="E27" s="59" t="s">
        <v>2554</v>
      </c>
      <c r="F27" s="31" t="s">
        <v>2600</v>
      </c>
      <c r="G27" s="60" t="s">
        <v>3102</v>
      </c>
      <c r="H27" s="31" t="s">
        <v>3103</v>
      </c>
      <c r="I27" s="31" t="s">
        <v>3104</v>
      </c>
      <c r="J27" s="59" t="s">
        <v>2585</v>
      </c>
      <c r="K27" s="59" t="s">
        <v>2554</v>
      </c>
      <c r="L27" s="31" t="s">
        <v>2522</v>
      </c>
      <c r="M27" s="31" t="s">
        <v>314</v>
      </c>
      <c r="N27" s="31" t="s">
        <v>314</v>
      </c>
      <c r="O27" s="31" t="s">
        <v>3105</v>
      </c>
      <c r="P27" s="31" t="s">
        <v>3106</v>
      </c>
      <c r="Q27" s="31" t="s">
        <v>3107</v>
      </c>
      <c r="R27" s="31" t="s">
        <v>3057</v>
      </c>
      <c r="S27" s="61" t="s">
        <v>2601</v>
      </c>
    </row>
    <row r="28" spans="1:19" ht="62" customHeight="1">
      <c r="A28" s="58" t="s">
        <v>2603</v>
      </c>
      <c r="B28" s="31" t="s">
        <v>2604</v>
      </c>
      <c r="C28" s="59" t="s">
        <v>2554</v>
      </c>
      <c r="D28" s="59" t="s">
        <v>395</v>
      </c>
      <c r="E28" s="59" t="s">
        <v>2554</v>
      </c>
      <c r="F28" s="31" t="s">
        <v>2605</v>
      </c>
      <c r="G28" s="60" t="s">
        <v>3108</v>
      </c>
      <c r="H28" s="31" t="s">
        <v>3109</v>
      </c>
      <c r="I28" s="31" t="s">
        <v>3110</v>
      </c>
      <c r="J28" s="59" t="s">
        <v>2553</v>
      </c>
      <c r="K28" s="59" t="s">
        <v>2554</v>
      </c>
      <c r="L28" s="31" t="s">
        <v>2522</v>
      </c>
      <c r="M28" s="31" t="s">
        <v>314</v>
      </c>
      <c r="N28" s="31" t="s">
        <v>314</v>
      </c>
      <c r="O28" s="31" t="s">
        <v>3111</v>
      </c>
      <c r="P28" s="31" t="s">
        <v>3055</v>
      </c>
      <c r="Q28" s="31" t="s">
        <v>3112</v>
      </c>
      <c r="R28" s="31" t="s">
        <v>3057</v>
      </c>
      <c r="S28" s="61" t="s">
        <v>2606</v>
      </c>
    </row>
    <row r="29" spans="1:19" ht="62" customHeight="1">
      <c r="A29" s="58" t="s">
        <v>2608</v>
      </c>
      <c r="B29" s="31" t="s">
        <v>2609</v>
      </c>
      <c r="C29" s="59" t="s">
        <v>2554</v>
      </c>
      <c r="D29" s="59" t="s">
        <v>395</v>
      </c>
      <c r="E29" s="59" t="s">
        <v>2554</v>
      </c>
      <c r="F29" s="31" t="s">
        <v>2610</v>
      </c>
      <c r="G29" s="60" t="s">
        <v>3113</v>
      </c>
      <c r="H29" s="31" t="s">
        <v>3114</v>
      </c>
      <c r="I29" s="31" t="s">
        <v>3115</v>
      </c>
      <c r="J29" s="59" t="s">
        <v>2553</v>
      </c>
      <c r="K29" s="59" t="s">
        <v>2554</v>
      </c>
      <c r="L29" s="31" t="s">
        <v>2522</v>
      </c>
      <c r="M29" s="31" t="s">
        <v>314</v>
      </c>
      <c r="N29" s="31" t="s">
        <v>314</v>
      </c>
      <c r="O29" s="31" t="s">
        <v>3116</v>
      </c>
      <c r="P29" s="31" t="s">
        <v>3062</v>
      </c>
      <c r="Q29" s="31" t="s">
        <v>3117</v>
      </c>
      <c r="R29" s="31" t="s">
        <v>3057</v>
      </c>
      <c r="S29" s="61" t="s">
        <v>2611</v>
      </c>
    </row>
    <row r="30" spans="1:19" ht="62" customHeight="1">
      <c r="A30" s="58" t="s">
        <v>2613</v>
      </c>
      <c r="B30" s="31" t="s">
        <v>2614</v>
      </c>
      <c r="C30" s="59" t="s">
        <v>2554</v>
      </c>
      <c r="D30" s="59" t="s">
        <v>395</v>
      </c>
      <c r="E30" s="59" t="s">
        <v>2554</v>
      </c>
      <c r="F30" s="31" t="s">
        <v>2615</v>
      </c>
      <c r="G30" s="60" t="s">
        <v>3118</v>
      </c>
      <c r="H30" s="31" t="s">
        <v>3119</v>
      </c>
      <c r="I30" s="31" t="s">
        <v>3120</v>
      </c>
      <c r="J30" s="59" t="s">
        <v>2553</v>
      </c>
      <c r="K30" s="59" t="s">
        <v>2554</v>
      </c>
      <c r="L30" s="31" t="s">
        <v>2522</v>
      </c>
      <c r="M30" s="31" t="s">
        <v>314</v>
      </c>
      <c r="N30" s="31" t="s">
        <v>314</v>
      </c>
      <c r="O30" s="31" t="s">
        <v>3121</v>
      </c>
      <c r="P30" s="31" t="s">
        <v>3055</v>
      </c>
      <c r="Q30" s="31" t="s">
        <v>3122</v>
      </c>
      <c r="R30" s="31" t="s">
        <v>3057</v>
      </c>
      <c r="S30" s="61" t="s">
        <v>2616</v>
      </c>
    </row>
    <row r="31" spans="1:19" ht="62" customHeight="1">
      <c r="A31" s="58" t="s">
        <v>2618</v>
      </c>
      <c r="B31" s="31" t="s">
        <v>2619</v>
      </c>
      <c r="C31" s="59" t="s">
        <v>2554</v>
      </c>
      <c r="D31" s="59" t="s">
        <v>395</v>
      </c>
      <c r="E31" s="59" t="s">
        <v>2554</v>
      </c>
      <c r="F31" s="31" t="s">
        <v>2620</v>
      </c>
      <c r="G31" s="60" t="s">
        <v>3123</v>
      </c>
      <c r="H31" s="31" t="s">
        <v>3124</v>
      </c>
      <c r="I31" s="31" t="s">
        <v>3125</v>
      </c>
      <c r="J31" s="59" t="s">
        <v>2553</v>
      </c>
      <c r="K31" s="59" t="s">
        <v>2554</v>
      </c>
      <c r="L31" s="31" t="s">
        <v>2522</v>
      </c>
      <c r="M31" s="31" t="s">
        <v>314</v>
      </c>
      <c r="N31" s="31" t="s">
        <v>314</v>
      </c>
      <c r="O31" s="31" t="s">
        <v>3126</v>
      </c>
      <c r="P31" s="31" t="s">
        <v>3062</v>
      </c>
      <c r="Q31" s="31" t="s">
        <v>3127</v>
      </c>
      <c r="R31" s="31" t="s">
        <v>3057</v>
      </c>
      <c r="S31" s="61" t="s">
        <v>2621</v>
      </c>
    </row>
    <row r="32" spans="1:19" ht="62" customHeight="1">
      <c r="A32" s="58" t="s">
        <v>2623</v>
      </c>
      <c r="B32" s="31" t="s">
        <v>2624</v>
      </c>
      <c r="C32" s="59" t="s">
        <v>2554</v>
      </c>
      <c r="D32" s="59" t="s">
        <v>395</v>
      </c>
      <c r="E32" s="59" t="s">
        <v>2554</v>
      </c>
      <c r="F32" s="31" t="s">
        <v>2625</v>
      </c>
      <c r="G32" s="60" t="s">
        <v>3128</v>
      </c>
      <c r="H32" s="31" t="s">
        <v>3129</v>
      </c>
      <c r="I32" s="31" t="s">
        <v>3130</v>
      </c>
      <c r="J32" s="59" t="s">
        <v>2553</v>
      </c>
      <c r="K32" s="59" t="s">
        <v>2554</v>
      </c>
      <c r="L32" s="31" t="s">
        <v>2522</v>
      </c>
      <c r="M32" s="31" t="s">
        <v>314</v>
      </c>
      <c r="N32" s="31" t="s">
        <v>314</v>
      </c>
      <c r="O32" s="31" t="s">
        <v>3131</v>
      </c>
      <c r="P32" s="31" t="s">
        <v>3055</v>
      </c>
      <c r="Q32" s="31" t="s">
        <v>3132</v>
      </c>
      <c r="R32" s="31" t="s">
        <v>3057</v>
      </c>
      <c r="S32" s="61" t="s">
        <v>2626</v>
      </c>
    </row>
    <row r="33" spans="1:19" ht="62" customHeight="1">
      <c r="A33" s="58" t="s">
        <v>2628</v>
      </c>
      <c r="B33" s="31" t="s">
        <v>2629</v>
      </c>
      <c r="C33" s="59" t="s">
        <v>2554</v>
      </c>
      <c r="D33" s="59" t="s">
        <v>395</v>
      </c>
      <c r="E33" s="59" t="s">
        <v>2554</v>
      </c>
      <c r="F33" s="31" t="s">
        <v>2630</v>
      </c>
      <c r="G33" s="60" t="s">
        <v>3133</v>
      </c>
      <c r="H33" s="31" t="s">
        <v>3134</v>
      </c>
      <c r="I33" s="31" t="s">
        <v>3135</v>
      </c>
      <c r="J33" s="59" t="s">
        <v>2553</v>
      </c>
      <c r="K33" s="59" t="s">
        <v>2554</v>
      </c>
      <c r="L33" s="31" t="s">
        <v>2522</v>
      </c>
      <c r="M33" s="31" t="s">
        <v>314</v>
      </c>
      <c r="N33" s="31" t="s">
        <v>314</v>
      </c>
      <c r="O33" s="31" t="s">
        <v>3136</v>
      </c>
      <c r="P33" s="31" t="s">
        <v>3062</v>
      </c>
      <c r="Q33" s="31" t="s">
        <v>3137</v>
      </c>
      <c r="R33" s="31" t="s">
        <v>3057</v>
      </c>
      <c r="S33" s="61" t="s">
        <v>2631</v>
      </c>
    </row>
    <row r="34" spans="1:19" ht="62" customHeight="1">
      <c r="A34" s="58" t="s">
        <v>2633</v>
      </c>
      <c r="B34" s="31" t="s">
        <v>2634</v>
      </c>
      <c r="C34" s="59" t="s">
        <v>2554</v>
      </c>
      <c r="D34" s="59" t="s">
        <v>395</v>
      </c>
      <c r="E34" s="59" t="s">
        <v>2554</v>
      </c>
      <c r="F34" s="31" t="s">
        <v>2635</v>
      </c>
      <c r="G34" s="60" t="s">
        <v>3138</v>
      </c>
      <c r="H34" s="31" t="s">
        <v>3139</v>
      </c>
      <c r="I34" s="31" t="s">
        <v>3140</v>
      </c>
      <c r="J34" s="59" t="s">
        <v>2553</v>
      </c>
      <c r="K34" s="59" t="s">
        <v>2554</v>
      </c>
      <c r="L34" s="31" t="s">
        <v>2522</v>
      </c>
      <c r="M34" s="31" t="s">
        <v>314</v>
      </c>
      <c r="N34" s="31" t="s">
        <v>3053</v>
      </c>
      <c r="O34" s="31" t="s">
        <v>3141</v>
      </c>
      <c r="P34" s="31" t="s">
        <v>3055</v>
      </c>
      <c r="Q34" s="31" t="s">
        <v>3142</v>
      </c>
      <c r="R34" s="31" t="s">
        <v>3057</v>
      </c>
      <c r="S34" s="61" t="s">
        <v>2636</v>
      </c>
    </row>
    <row r="35" spans="1:19" ht="62" customHeight="1">
      <c r="A35" s="58" t="s">
        <v>2638</v>
      </c>
      <c r="B35" s="31" t="s">
        <v>2639</v>
      </c>
      <c r="C35" s="59" t="s">
        <v>2554</v>
      </c>
      <c r="D35" s="59" t="s">
        <v>395</v>
      </c>
      <c r="E35" s="59" t="s">
        <v>2554</v>
      </c>
      <c r="F35" s="31" t="s">
        <v>2640</v>
      </c>
      <c r="G35" s="60" t="s">
        <v>3143</v>
      </c>
      <c r="H35" s="31" t="s">
        <v>3144</v>
      </c>
      <c r="I35" s="31" t="s">
        <v>3145</v>
      </c>
      <c r="J35" s="59" t="s">
        <v>2553</v>
      </c>
      <c r="K35" s="59" t="s">
        <v>2554</v>
      </c>
      <c r="L35" s="31" t="s">
        <v>2522</v>
      </c>
      <c r="M35" s="31" t="s">
        <v>314</v>
      </c>
      <c r="N35" s="31" t="s">
        <v>314</v>
      </c>
      <c r="O35" s="31" t="s">
        <v>3146</v>
      </c>
      <c r="P35" s="31" t="s">
        <v>3062</v>
      </c>
      <c r="Q35" s="31" t="s">
        <v>3147</v>
      </c>
      <c r="R35" s="31" t="s">
        <v>3057</v>
      </c>
      <c r="S35" s="61" t="s">
        <v>2641</v>
      </c>
    </row>
    <row r="36" spans="1:19" ht="62" customHeight="1">
      <c r="A36" s="58" t="s">
        <v>2643</v>
      </c>
      <c r="B36" s="31" t="s">
        <v>2644</v>
      </c>
      <c r="C36" s="59" t="s">
        <v>2554</v>
      </c>
      <c r="D36" s="59" t="s">
        <v>395</v>
      </c>
      <c r="E36" s="59" t="s">
        <v>2554</v>
      </c>
      <c r="F36" s="31" t="s">
        <v>2645</v>
      </c>
      <c r="G36" s="60" t="s">
        <v>3148</v>
      </c>
      <c r="H36" s="31" t="s">
        <v>3149</v>
      </c>
      <c r="I36" s="31" t="s">
        <v>3150</v>
      </c>
      <c r="J36" s="59" t="s">
        <v>2646</v>
      </c>
      <c r="K36" s="59" t="s">
        <v>2554</v>
      </c>
      <c r="L36" s="31" t="s">
        <v>2522</v>
      </c>
      <c r="M36" s="31" t="s">
        <v>314</v>
      </c>
      <c r="N36" s="31" t="s">
        <v>3151</v>
      </c>
      <c r="O36" s="31" t="s">
        <v>3152</v>
      </c>
      <c r="P36" s="31" t="s">
        <v>3153</v>
      </c>
      <c r="Q36" s="31" t="s">
        <v>3154</v>
      </c>
      <c r="R36" s="31" t="s">
        <v>3057</v>
      </c>
      <c r="S36" s="61" t="s">
        <v>2647</v>
      </c>
    </row>
    <row r="37" spans="1:19" ht="62" customHeight="1">
      <c r="A37" s="58" t="s">
        <v>2649</v>
      </c>
      <c r="B37" s="31" t="s">
        <v>2650</v>
      </c>
      <c r="C37" s="59" t="s">
        <v>2554</v>
      </c>
      <c r="D37" s="59" t="s">
        <v>395</v>
      </c>
      <c r="E37" s="59" t="s">
        <v>2554</v>
      </c>
      <c r="F37" s="31" t="s">
        <v>2651</v>
      </c>
      <c r="G37" s="60" t="s">
        <v>3155</v>
      </c>
      <c r="H37" s="31" t="s">
        <v>3156</v>
      </c>
      <c r="I37" s="31" t="s">
        <v>3157</v>
      </c>
      <c r="J37" s="59" t="s">
        <v>2652</v>
      </c>
      <c r="K37" s="59" t="s">
        <v>2554</v>
      </c>
      <c r="L37" s="31" t="s">
        <v>2522</v>
      </c>
      <c r="M37" s="31" t="s">
        <v>314</v>
      </c>
      <c r="N37" s="31" t="s">
        <v>314</v>
      </c>
      <c r="O37" s="31" t="s">
        <v>3158</v>
      </c>
      <c r="P37" s="31" t="s">
        <v>314</v>
      </c>
      <c r="Q37" s="31" t="s">
        <v>3159</v>
      </c>
      <c r="R37" s="31" t="s">
        <v>3057</v>
      </c>
      <c r="S37" s="61" t="s">
        <v>2653</v>
      </c>
    </row>
    <row r="38" spans="1:19" ht="62" customHeight="1">
      <c r="A38" s="58" t="s">
        <v>2655</v>
      </c>
      <c r="B38" s="31" t="s">
        <v>2656</v>
      </c>
      <c r="C38" s="59" t="s">
        <v>2554</v>
      </c>
      <c r="D38" s="59" t="s">
        <v>395</v>
      </c>
      <c r="E38" s="59" t="s">
        <v>2554</v>
      </c>
      <c r="F38" s="31" t="s">
        <v>2657</v>
      </c>
      <c r="G38" s="60" t="s">
        <v>3160</v>
      </c>
      <c r="H38" s="31" t="s">
        <v>3161</v>
      </c>
      <c r="I38" s="31" t="s">
        <v>3162</v>
      </c>
      <c r="J38" s="59" t="s">
        <v>2658</v>
      </c>
      <c r="K38" s="59" t="s">
        <v>2554</v>
      </c>
      <c r="L38" s="31" t="s">
        <v>2522</v>
      </c>
      <c r="M38" s="31" t="s">
        <v>314</v>
      </c>
      <c r="N38" s="31" t="s">
        <v>314</v>
      </c>
      <c r="O38" s="31" t="s">
        <v>3163</v>
      </c>
      <c r="P38" s="31" t="s">
        <v>314</v>
      </c>
      <c r="Q38" s="31" t="s">
        <v>3164</v>
      </c>
      <c r="R38" s="31" t="s">
        <v>3057</v>
      </c>
      <c r="S38" s="61" t="s">
        <v>2659</v>
      </c>
    </row>
    <row r="39" spans="1:19" ht="62" customHeight="1">
      <c r="A39" s="58" t="s">
        <v>2661</v>
      </c>
      <c r="B39" s="31" t="s">
        <v>2662</v>
      </c>
      <c r="C39" s="59" t="s">
        <v>2554</v>
      </c>
      <c r="D39" s="59" t="s">
        <v>395</v>
      </c>
      <c r="E39" s="59" t="s">
        <v>2554</v>
      </c>
      <c r="F39" s="31" t="s">
        <v>2663</v>
      </c>
      <c r="G39" s="60" t="s">
        <v>3165</v>
      </c>
      <c r="H39" s="31" t="s">
        <v>3166</v>
      </c>
      <c r="I39" s="31" t="s">
        <v>3167</v>
      </c>
      <c r="J39" s="59" t="s">
        <v>2646</v>
      </c>
      <c r="K39" s="59" t="s">
        <v>2554</v>
      </c>
      <c r="L39" s="31" t="s">
        <v>2522</v>
      </c>
      <c r="M39" s="31" t="s">
        <v>314</v>
      </c>
      <c r="N39" s="31" t="s">
        <v>314</v>
      </c>
      <c r="O39" s="31" t="s">
        <v>3168</v>
      </c>
      <c r="P39" s="31" t="s">
        <v>3169</v>
      </c>
      <c r="Q39" s="31" t="s">
        <v>3170</v>
      </c>
      <c r="R39" s="31" t="s">
        <v>3057</v>
      </c>
      <c r="S39" s="61" t="s">
        <v>2664</v>
      </c>
    </row>
    <row r="40" spans="1:19" ht="62" customHeight="1">
      <c r="A40" s="58" t="s">
        <v>2666</v>
      </c>
      <c r="B40" s="31" t="s">
        <v>2667</v>
      </c>
      <c r="C40" s="59" t="s">
        <v>2554</v>
      </c>
      <c r="D40" s="59" t="s">
        <v>395</v>
      </c>
      <c r="E40" s="59" t="s">
        <v>2554</v>
      </c>
      <c r="F40" s="31" t="s">
        <v>2668</v>
      </c>
      <c r="G40" s="60" t="s">
        <v>3171</v>
      </c>
      <c r="H40" s="31" t="s">
        <v>3172</v>
      </c>
      <c r="I40" s="31" t="s">
        <v>3173</v>
      </c>
      <c r="J40" s="59" t="s">
        <v>2652</v>
      </c>
      <c r="K40" s="59" t="s">
        <v>2554</v>
      </c>
      <c r="L40" s="31" t="s">
        <v>2522</v>
      </c>
      <c r="M40" s="31" t="s">
        <v>314</v>
      </c>
      <c r="N40" s="31" t="s">
        <v>314</v>
      </c>
      <c r="O40" s="31" t="s">
        <v>314</v>
      </c>
      <c r="P40" s="31" t="s">
        <v>314</v>
      </c>
      <c r="Q40" s="31" t="s">
        <v>3174</v>
      </c>
      <c r="R40" s="31" t="s">
        <v>3057</v>
      </c>
      <c r="S40" s="61" t="s">
        <v>2669</v>
      </c>
    </row>
    <row r="41" spans="1:19" ht="62" customHeight="1">
      <c r="A41" s="58" t="s">
        <v>2671</v>
      </c>
      <c r="B41" s="31" t="s">
        <v>2672</v>
      </c>
      <c r="C41" s="59" t="s">
        <v>2554</v>
      </c>
      <c r="D41" s="59" t="s">
        <v>395</v>
      </c>
      <c r="E41" s="59" t="s">
        <v>2554</v>
      </c>
      <c r="F41" s="31" t="s">
        <v>2673</v>
      </c>
      <c r="G41" s="60" t="s">
        <v>3175</v>
      </c>
      <c r="H41" s="31" t="s">
        <v>3176</v>
      </c>
      <c r="I41" s="31" t="s">
        <v>3177</v>
      </c>
      <c r="J41" s="59" t="s">
        <v>2646</v>
      </c>
      <c r="K41" s="59" t="s">
        <v>2554</v>
      </c>
      <c r="L41" s="31" t="s">
        <v>2522</v>
      </c>
      <c r="M41" s="31" t="s">
        <v>314</v>
      </c>
      <c r="N41" s="31" t="s">
        <v>3178</v>
      </c>
      <c r="O41" s="31" t="s">
        <v>3179</v>
      </c>
      <c r="P41" s="31" t="s">
        <v>3153</v>
      </c>
      <c r="Q41" s="31" t="s">
        <v>3180</v>
      </c>
      <c r="R41" s="31" t="s">
        <v>3057</v>
      </c>
      <c r="S41" s="61" t="s">
        <v>2674</v>
      </c>
    </row>
    <row r="42" spans="1:19" ht="62" customHeight="1">
      <c r="A42" s="58" t="s">
        <v>2676</v>
      </c>
      <c r="B42" s="31" t="s">
        <v>2677</v>
      </c>
      <c r="C42" s="59" t="s">
        <v>2554</v>
      </c>
      <c r="D42" s="59" t="s">
        <v>395</v>
      </c>
      <c r="E42" s="59" t="s">
        <v>2554</v>
      </c>
      <c r="F42" s="31" t="s">
        <v>2678</v>
      </c>
      <c r="G42" s="60" t="s">
        <v>3181</v>
      </c>
      <c r="H42" s="31" t="s">
        <v>3182</v>
      </c>
      <c r="I42" s="31" t="s">
        <v>3183</v>
      </c>
      <c r="J42" s="59" t="s">
        <v>2652</v>
      </c>
      <c r="K42" s="59" t="s">
        <v>2554</v>
      </c>
      <c r="L42" s="31" t="s">
        <v>2522</v>
      </c>
      <c r="M42" s="31" t="s">
        <v>314</v>
      </c>
      <c r="N42" s="31" t="s">
        <v>314</v>
      </c>
      <c r="O42" s="31" t="s">
        <v>3184</v>
      </c>
      <c r="P42" s="31" t="s">
        <v>314</v>
      </c>
      <c r="Q42" s="31" t="s">
        <v>3185</v>
      </c>
      <c r="R42" s="31" t="s">
        <v>3057</v>
      </c>
      <c r="S42" s="61" t="s">
        <v>2679</v>
      </c>
    </row>
    <row r="43" spans="1:19" ht="62" customHeight="1">
      <c r="A43" s="58" t="s">
        <v>2681</v>
      </c>
      <c r="B43" s="31" t="s">
        <v>2682</v>
      </c>
      <c r="C43" s="59" t="s">
        <v>2554</v>
      </c>
      <c r="D43" s="59" t="s">
        <v>395</v>
      </c>
      <c r="E43" s="59" t="s">
        <v>2554</v>
      </c>
      <c r="F43" s="31" t="s">
        <v>2683</v>
      </c>
      <c r="G43" s="60" t="s">
        <v>3186</v>
      </c>
      <c r="H43" s="31" t="s">
        <v>3187</v>
      </c>
      <c r="I43" s="31" t="s">
        <v>3188</v>
      </c>
      <c r="J43" s="59" t="s">
        <v>2658</v>
      </c>
      <c r="K43" s="59" t="s">
        <v>2554</v>
      </c>
      <c r="L43" s="31" t="s">
        <v>2522</v>
      </c>
      <c r="M43" s="31" t="s">
        <v>314</v>
      </c>
      <c r="N43" s="31" t="s">
        <v>314</v>
      </c>
      <c r="O43" s="31" t="s">
        <v>3189</v>
      </c>
      <c r="P43" s="31" t="s">
        <v>314</v>
      </c>
      <c r="Q43" s="31" t="s">
        <v>3190</v>
      </c>
      <c r="R43" s="31" t="s">
        <v>3057</v>
      </c>
      <c r="S43" s="61" t="s">
        <v>2684</v>
      </c>
    </row>
    <row r="44" spans="1:19" ht="62" customHeight="1">
      <c r="A44" s="58" t="s">
        <v>2686</v>
      </c>
      <c r="B44" s="31" t="s">
        <v>2687</v>
      </c>
      <c r="C44" s="59" t="s">
        <v>2554</v>
      </c>
      <c r="D44" s="59" t="s">
        <v>395</v>
      </c>
      <c r="E44" s="59" t="s">
        <v>2554</v>
      </c>
      <c r="F44" s="31" t="s">
        <v>2688</v>
      </c>
      <c r="G44" s="60" t="s">
        <v>3191</v>
      </c>
      <c r="H44" s="31" t="s">
        <v>3192</v>
      </c>
      <c r="I44" s="31" t="s">
        <v>3193</v>
      </c>
      <c r="J44" s="59" t="s">
        <v>2646</v>
      </c>
      <c r="K44" s="59" t="s">
        <v>2554</v>
      </c>
      <c r="L44" s="31" t="s">
        <v>2522</v>
      </c>
      <c r="M44" s="31" t="s">
        <v>314</v>
      </c>
      <c r="N44" s="31" t="s">
        <v>314</v>
      </c>
      <c r="O44" s="31" t="s">
        <v>3194</v>
      </c>
      <c r="P44" s="31" t="s">
        <v>3169</v>
      </c>
      <c r="Q44" s="31" t="s">
        <v>3195</v>
      </c>
      <c r="R44" s="31" t="s">
        <v>3057</v>
      </c>
      <c r="S44" s="61" t="s">
        <v>2689</v>
      </c>
    </row>
    <row r="45" spans="1:19" ht="62" customHeight="1">
      <c r="A45" s="58" t="s">
        <v>2691</v>
      </c>
      <c r="B45" s="31" t="s">
        <v>2692</v>
      </c>
      <c r="C45" s="59" t="s">
        <v>2554</v>
      </c>
      <c r="D45" s="59" t="s">
        <v>395</v>
      </c>
      <c r="E45" s="59" t="s">
        <v>2554</v>
      </c>
      <c r="F45" s="31" t="s">
        <v>2693</v>
      </c>
      <c r="G45" s="60" t="s">
        <v>3196</v>
      </c>
      <c r="H45" s="31" t="s">
        <v>3197</v>
      </c>
      <c r="I45" s="31" t="s">
        <v>3198</v>
      </c>
      <c r="J45" s="59" t="s">
        <v>2652</v>
      </c>
      <c r="K45" s="59" t="s">
        <v>2554</v>
      </c>
      <c r="L45" s="31" t="s">
        <v>2522</v>
      </c>
      <c r="M45" s="31" t="s">
        <v>314</v>
      </c>
      <c r="N45" s="31" t="s">
        <v>314</v>
      </c>
      <c r="O45" s="31" t="s">
        <v>314</v>
      </c>
      <c r="P45" s="31" t="s">
        <v>314</v>
      </c>
      <c r="Q45" s="31" t="s">
        <v>3199</v>
      </c>
      <c r="R45" s="31" t="s">
        <v>3057</v>
      </c>
      <c r="S45" s="61" t="s">
        <v>2694</v>
      </c>
    </row>
    <row r="46" spans="1:19" ht="62" customHeight="1">
      <c r="A46" s="58" t="s">
        <v>2696</v>
      </c>
      <c r="B46" s="31" t="s">
        <v>2697</v>
      </c>
      <c r="C46" s="59" t="s">
        <v>2554</v>
      </c>
      <c r="D46" s="59" t="s">
        <v>395</v>
      </c>
      <c r="E46" s="59" t="s">
        <v>2554</v>
      </c>
      <c r="F46" s="31" t="s">
        <v>2698</v>
      </c>
      <c r="G46" s="60" t="s">
        <v>3200</v>
      </c>
      <c r="H46" s="31" t="s">
        <v>3201</v>
      </c>
      <c r="I46" s="31" t="s">
        <v>3202</v>
      </c>
      <c r="J46" s="59" t="s">
        <v>2646</v>
      </c>
      <c r="K46" s="59" t="s">
        <v>2554</v>
      </c>
      <c r="L46" s="31" t="s">
        <v>2522</v>
      </c>
      <c r="M46" s="31" t="s">
        <v>314</v>
      </c>
      <c r="N46" s="31" t="s">
        <v>3203</v>
      </c>
      <c r="O46" s="31" t="s">
        <v>3204</v>
      </c>
      <c r="P46" s="31" t="s">
        <v>3153</v>
      </c>
      <c r="Q46" s="31" t="s">
        <v>3205</v>
      </c>
      <c r="R46" s="31" t="s">
        <v>3057</v>
      </c>
      <c r="S46" s="61" t="s">
        <v>2699</v>
      </c>
    </row>
    <row r="47" spans="1:19" ht="62" customHeight="1">
      <c r="A47" s="58" t="s">
        <v>2701</v>
      </c>
      <c r="B47" s="31" t="s">
        <v>2702</v>
      </c>
      <c r="C47" s="59" t="s">
        <v>2554</v>
      </c>
      <c r="D47" s="59" t="s">
        <v>395</v>
      </c>
      <c r="E47" s="59" t="s">
        <v>2554</v>
      </c>
      <c r="F47" s="31" t="s">
        <v>2703</v>
      </c>
      <c r="G47" s="60" t="s">
        <v>3206</v>
      </c>
      <c r="H47" s="31" t="s">
        <v>3207</v>
      </c>
      <c r="I47" s="31" t="s">
        <v>3208</v>
      </c>
      <c r="J47" s="59" t="s">
        <v>2652</v>
      </c>
      <c r="K47" s="59" t="s">
        <v>2554</v>
      </c>
      <c r="L47" s="31" t="s">
        <v>2522</v>
      </c>
      <c r="M47" s="31" t="s">
        <v>314</v>
      </c>
      <c r="N47" s="31" t="s">
        <v>314</v>
      </c>
      <c r="O47" s="31" t="s">
        <v>3209</v>
      </c>
      <c r="P47" s="31" t="s">
        <v>314</v>
      </c>
      <c r="Q47" s="31" t="s">
        <v>3210</v>
      </c>
      <c r="R47" s="31" t="s">
        <v>3057</v>
      </c>
      <c r="S47" s="61" t="s">
        <v>2704</v>
      </c>
    </row>
    <row r="48" spans="1:19" ht="62" customHeight="1">
      <c r="A48" s="58" t="s">
        <v>2706</v>
      </c>
      <c r="B48" s="31" t="s">
        <v>2707</v>
      </c>
      <c r="C48" s="59" t="s">
        <v>2554</v>
      </c>
      <c r="D48" s="59" t="s">
        <v>395</v>
      </c>
      <c r="E48" s="59" t="s">
        <v>2554</v>
      </c>
      <c r="F48" s="31" t="s">
        <v>2708</v>
      </c>
      <c r="G48" s="60" t="s">
        <v>3211</v>
      </c>
      <c r="H48" s="31" t="s">
        <v>3212</v>
      </c>
      <c r="I48" s="31" t="s">
        <v>3213</v>
      </c>
      <c r="J48" s="59" t="s">
        <v>2658</v>
      </c>
      <c r="K48" s="59" t="s">
        <v>2554</v>
      </c>
      <c r="L48" s="31" t="s">
        <v>2522</v>
      </c>
      <c r="M48" s="31" t="s">
        <v>314</v>
      </c>
      <c r="N48" s="31" t="s">
        <v>314</v>
      </c>
      <c r="O48" s="31" t="s">
        <v>3214</v>
      </c>
      <c r="P48" s="31" t="s">
        <v>314</v>
      </c>
      <c r="Q48" s="31" t="s">
        <v>3215</v>
      </c>
      <c r="R48" s="31" t="s">
        <v>3057</v>
      </c>
      <c r="S48" s="61" t="s">
        <v>2709</v>
      </c>
    </row>
    <row r="49" spans="1:19" ht="62" customHeight="1">
      <c r="A49" s="58" t="s">
        <v>2711</v>
      </c>
      <c r="B49" s="31" t="s">
        <v>2712</v>
      </c>
      <c r="C49" s="59" t="s">
        <v>2554</v>
      </c>
      <c r="D49" s="59" t="s">
        <v>395</v>
      </c>
      <c r="E49" s="59" t="s">
        <v>2554</v>
      </c>
      <c r="F49" s="31" t="s">
        <v>2713</v>
      </c>
      <c r="G49" s="60" t="s">
        <v>3216</v>
      </c>
      <c r="H49" s="31" t="s">
        <v>3217</v>
      </c>
      <c r="I49" s="31" t="s">
        <v>3218</v>
      </c>
      <c r="J49" s="59" t="s">
        <v>2646</v>
      </c>
      <c r="K49" s="59" t="s">
        <v>2554</v>
      </c>
      <c r="L49" s="31" t="s">
        <v>2522</v>
      </c>
      <c r="M49" s="31" t="s">
        <v>314</v>
      </c>
      <c r="N49" s="31" t="s">
        <v>314</v>
      </c>
      <c r="O49" s="31" t="s">
        <v>3219</v>
      </c>
      <c r="P49" s="31" t="s">
        <v>3169</v>
      </c>
      <c r="Q49" s="31" t="s">
        <v>3220</v>
      </c>
      <c r="R49" s="31" t="s">
        <v>3057</v>
      </c>
      <c r="S49" s="61" t="s">
        <v>2714</v>
      </c>
    </row>
    <row r="50" spans="1:19" ht="62" customHeight="1">
      <c r="A50" s="58" t="s">
        <v>2716</v>
      </c>
      <c r="B50" s="31" t="s">
        <v>2717</v>
      </c>
      <c r="C50" s="59" t="s">
        <v>2554</v>
      </c>
      <c r="D50" s="59" t="s">
        <v>395</v>
      </c>
      <c r="E50" s="59" t="s">
        <v>2554</v>
      </c>
      <c r="F50" s="31" t="s">
        <v>2718</v>
      </c>
      <c r="G50" s="60" t="s">
        <v>3221</v>
      </c>
      <c r="H50" s="31" t="s">
        <v>3222</v>
      </c>
      <c r="I50" s="31" t="s">
        <v>3223</v>
      </c>
      <c r="J50" s="59" t="s">
        <v>2652</v>
      </c>
      <c r="K50" s="59" t="s">
        <v>2554</v>
      </c>
      <c r="L50" s="31" t="s">
        <v>2522</v>
      </c>
      <c r="M50" s="31" t="s">
        <v>314</v>
      </c>
      <c r="N50" s="31" t="s">
        <v>314</v>
      </c>
      <c r="O50" s="31" t="s">
        <v>314</v>
      </c>
      <c r="P50" s="31" t="s">
        <v>314</v>
      </c>
      <c r="Q50" s="31" t="s">
        <v>3224</v>
      </c>
      <c r="R50" s="31" t="s">
        <v>3057</v>
      </c>
      <c r="S50" s="61" t="s">
        <v>2719</v>
      </c>
    </row>
    <row r="51" spans="1:19" ht="62" customHeight="1">
      <c r="A51" s="58" t="s">
        <v>2721</v>
      </c>
      <c r="B51" s="31" t="s">
        <v>2722</v>
      </c>
      <c r="C51" s="59" t="s">
        <v>2554</v>
      </c>
      <c r="D51" s="59" t="s">
        <v>395</v>
      </c>
      <c r="E51" s="59" t="s">
        <v>2554</v>
      </c>
      <c r="F51" s="31" t="s">
        <v>2723</v>
      </c>
      <c r="G51" s="60" t="s">
        <v>3225</v>
      </c>
      <c r="H51" s="31" t="s">
        <v>3226</v>
      </c>
      <c r="I51" s="31" t="s">
        <v>3227</v>
      </c>
      <c r="J51" s="59" t="s">
        <v>2646</v>
      </c>
      <c r="K51" s="59" t="s">
        <v>2554</v>
      </c>
      <c r="L51" s="31" t="s">
        <v>2522</v>
      </c>
      <c r="M51" s="31" t="s">
        <v>314</v>
      </c>
      <c r="N51" s="31" t="s">
        <v>3228</v>
      </c>
      <c r="O51" s="31" t="s">
        <v>3229</v>
      </c>
      <c r="P51" s="31" t="s">
        <v>3230</v>
      </c>
      <c r="Q51" s="31" t="s">
        <v>3231</v>
      </c>
      <c r="R51" s="31" t="s">
        <v>3057</v>
      </c>
      <c r="S51" s="61" t="s">
        <v>2724</v>
      </c>
    </row>
    <row r="52" spans="1:19" ht="62" customHeight="1">
      <c r="A52" s="58" t="s">
        <v>2726</v>
      </c>
      <c r="B52" s="31" t="s">
        <v>2727</v>
      </c>
      <c r="C52" s="59" t="s">
        <v>2554</v>
      </c>
      <c r="D52" s="59" t="s">
        <v>395</v>
      </c>
      <c r="E52" s="59" t="s">
        <v>2554</v>
      </c>
      <c r="F52" s="31" t="s">
        <v>2728</v>
      </c>
      <c r="G52" s="60" t="s">
        <v>3232</v>
      </c>
      <c r="H52" s="31" t="s">
        <v>3233</v>
      </c>
      <c r="I52" s="31" t="s">
        <v>3234</v>
      </c>
      <c r="J52" s="59" t="s">
        <v>2652</v>
      </c>
      <c r="K52" s="59" t="s">
        <v>2554</v>
      </c>
      <c r="L52" s="31" t="s">
        <v>2522</v>
      </c>
      <c r="M52" s="31" t="s">
        <v>314</v>
      </c>
      <c r="N52" s="31" t="s">
        <v>314</v>
      </c>
      <c r="O52" s="31" t="s">
        <v>314</v>
      </c>
      <c r="P52" s="31" t="s">
        <v>314</v>
      </c>
      <c r="Q52" s="31" t="s">
        <v>3235</v>
      </c>
      <c r="R52" s="31" t="s">
        <v>3057</v>
      </c>
      <c r="S52" s="61" t="s">
        <v>2729</v>
      </c>
    </row>
    <row r="53" spans="1:19" ht="62" customHeight="1">
      <c r="A53" s="58" t="s">
        <v>2731</v>
      </c>
      <c r="B53" s="31" t="s">
        <v>2732</v>
      </c>
      <c r="C53" s="59" t="s">
        <v>2554</v>
      </c>
      <c r="D53" s="59" t="s">
        <v>395</v>
      </c>
      <c r="E53" s="59" t="s">
        <v>2554</v>
      </c>
      <c r="F53" s="31" t="s">
        <v>2733</v>
      </c>
      <c r="G53" s="60" t="s">
        <v>3236</v>
      </c>
      <c r="H53" s="31" t="s">
        <v>3237</v>
      </c>
      <c r="I53" s="31" t="s">
        <v>3238</v>
      </c>
      <c r="J53" s="59" t="s">
        <v>2646</v>
      </c>
      <c r="K53" s="59" t="s">
        <v>2554</v>
      </c>
      <c r="L53" s="31" t="s">
        <v>2522</v>
      </c>
      <c r="M53" s="31" t="s">
        <v>314</v>
      </c>
      <c r="N53" s="31" t="s">
        <v>314</v>
      </c>
      <c r="O53" s="31" t="s">
        <v>3239</v>
      </c>
      <c r="P53" s="31" t="s">
        <v>3169</v>
      </c>
      <c r="Q53" s="31" t="s">
        <v>3240</v>
      </c>
      <c r="R53" s="31" t="s">
        <v>3057</v>
      </c>
      <c r="S53" s="61" t="s">
        <v>2734</v>
      </c>
    </row>
    <row r="54" spans="1:19" ht="62" customHeight="1">
      <c r="A54" s="58" t="s">
        <v>2736</v>
      </c>
      <c r="B54" s="31" t="s">
        <v>2737</v>
      </c>
      <c r="C54" s="59" t="s">
        <v>2554</v>
      </c>
      <c r="D54" s="59" t="s">
        <v>395</v>
      </c>
      <c r="E54" s="59" t="s">
        <v>2554</v>
      </c>
      <c r="F54" s="31" t="s">
        <v>2738</v>
      </c>
      <c r="G54" s="60" t="s">
        <v>3241</v>
      </c>
      <c r="H54" s="31" t="s">
        <v>3242</v>
      </c>
      <c r="I54" s="31" t="s">
        <v>3243</v>
      </c>
      <c r="J54" s="59" t="s">
        <v>2652</v>
      </c>
      <c r="K54" s="59" t="s">
        <v>2554</v>
      </c>
      <c r="L54" s="31" t="s">
        <v>2522</v>
      </c>
      <c r="M54" s="31" t="s">
        <v>314</v>
      </c>
      <c r="N54" s="31" t="s">
        <v>314</v>
      </c>
      <c r="O54" s="31" t="s">
        <v>314</v>
      </c>
      <c r="P54" s="31" t="s">
        <v>314</v>
      </c>
      <c r="Q54" s="31" t="s">
        <v>3244</v>
      </c>
      <c r="R54" s="31" t="s">
        <v>3057</v>
      </c>
      <c r="S54" s="61" t="s">
        <v>2739</v>
      </c>
    </row>
    <row r="55" spans="1:19" ht="62" customHeight="1">
      <c r="A55" s="58" t="s">
        <v>2741</v>
      </c>
      <c r="B55" s="31" t="s">
        <v>2742</v>
      </c>
      <c r="C55" s="59" t="s">
        <v>2554</v>
      </c>
      <c r="D55" s="59" t="s">
        <v>395</v>
      </c>
      <c r="E55" s="59" t="s">
        <v>2554</v>
      </c>
      <c r="F55" s="31" t="s">
        <v>2743</v>
      </c>
      <c r="G55" s="60" t="s">
        <v>3245</v>
      </c>
      <c r="H55" s="31" t="s">
        <v>3246</v>
      </c>
      <c r="I55" s="31" t="s">
        <v>3247</v>
      </c>
      <c r="J55" s="59" t="s">
        <v>2646</v>
      </c>
      <c r="K55" s="59" t="s">
        <v>2554</v>
      </c>
      <c r="L55" s="31" t="s">
        <v>2522</v>
      </c>
      <c r="M55" s="31" t="s">
        <v>314</v>
      </c>
      <c r="N55" s="31" t="s">
        <v>3248</v>
      </c>
      <c r="O55" s="31" t="s">
        <v>3249</v>
      </c>
      <c r="P55" s="31" t="s">
        <v>3230</v>
      </c>
      <c r="Q55" s="31" t="s">
        <v>3250</v>
      </c>
      <c r="R55" s="31" t="s">
        <v>3057</v>
      </c>
      <c r="S55" s="61" t="s">
        <v>2744</v>
      </c>
    </row>
    <row r="56" spans="1:19" ht="62" customHeight="1">
      <c r="A56" s="58" t="s">
        <v>2746</v>
      </c>
      <c r="B56" s="31" t="s">
        <v>2747</v>
      </c>
      <c r="C56" s="59" t="s">
        <v>2554</v>
      </c>
      <c r="D56" s="59" t="s">
        <v>395</v>
      </c>
      <c r="E56" s="59" t="s">
        <v>2554</v>
      </c>
      <c r="F56" s="31" t="s">
        <v>2748</v>
      </c>
      <c r="G56" s="60" t="s">
        <v>3251</v>
      </c>
      <c r="H56" s="31" t="s">
        <v>3252</v>
      </c>
      <c r="I56" s="31" t="s">
        <v>3253</v>
      </c>
      <c r="J56" s="59" t="s">
        <v>2652</v>
      </c>
      <c r="K56" s="59" t="s">
        <v>2554</v>
      </c>
      <c r="L56" s="31" t="s">
        <v>2522</v>
      </c>
      <c r="M56" s="31" t="s">
        <v>314</v>
      </c>
      <c r="N56" s="31" t="s">
        <v>314</v>
      </c>
      <c r="O56" s="31" t="s">
        <v>314</v>
      </c>
      <c r="P56" s="31" t="s">
        <v>314</v>
      </c>
      <c r="Q56" s="31" t="s">
        <v>3254</v>
      </c>
      <c r="R56" s="31" t="s">
        <v>3057</v>
      </c>
      <c r="S56" s="61" t="s">
        <v>2749</v>
      </c>
    </row>
    <row r="57" spans="1:19" ht="62" customHeight="1">
      <c r="A57" s="58" t="s">
        <v>2751</v>
      </c>
      <c r="B57" s="31" t="s">
        <v>2752</v>
      </c>
      <c r="C57" s="59" t="s">
        <v>2554</v>
      </c>
      <c r="D57" s="59" t="s">
        <v>395</v>
      </c>
      <c r="E57" s="59" t="s">
        <v>2554</v>
      </c>
      <c r="F57" s="31" t="s">
        <v>2753</v>
      </c>
      <c r="G57" s="60" t="s">
        <v>3255</v>
      </c>
      <c r="H57" s="31" t="s">
        <v>3256</v>
      </c>
      <c r="I57" s="31" t="s">
        <v>3257</v>
      </c>
      <c r="J57" s="59" t="s">
        <v>2646</v>
      </c>
      <c r="K57" s="59" t="s">
        <v>2554</v>
      </c>
      <c r="L57" s="31" t="s">
        <v>2522</v>
      </c>
      <c r="M57" s="31" t="s">
        <v>314</v>
      </c>
      <c r="N57" s="31" t="s">
        <v>314</v>
      </c>
      <c r="O57" s="31" t="s">
        <v>3258</v>
      </c>
      <c r="P57" s="31" t="s">
        <v>3169</v>
      </c>
      <c r="Q57" s="31" t="s">
        <v>3259</v>
      </c>
      <c r="R57" s="31" t="s">
        <v>3057</v>
      </c>
      <c r="S57" s="61" t="s">
        <v>2754</v>
      </c>
    </row>
    <row r="58" spans="1:19" ht="62" customHeight="1">
      <c r="A58" s="58" t="s">
        <v>2756</v>
      </c>
      <c r="B58" s="31" t="s">
        <v>2757</v>
      </c>
      <c r="C58" s="59" t="s">
        <v>2554</v>
      </c>
      <c r="D58" s="59" t="s">
        <v>395</v>
      </c>
      <c r="E58" s="59" t="s">
        <v>2554</v>
      </c>
      <c r="F58" s="31" t="s">
        <v>2758</v>
      </c>
      <c r="G58" s="60" t="s">
        <v>3260</v>
      </c>
      <c r="H58" s="31" t="s">
        <v>3261</v>
      </c>
      <c r="I58" s="31" t="s">
        <v>3262</v>
      </c>
      <c r="J58" s="59" t="s">
        <v>2652</v>
      </c>
      <c r="K58" s="59" t="s">
        <v>2554</v>
      </c>
      <c r="L58" s="31" t="s">
        <v>2522</v>
      </c>
      <c r="M58" s="31" t="s">
        <v>314</v>
      </c>
      <c r="N58" s="31" t="s">
        <v>314</v>
      </c>
      <c r="O58" s="31" t="s">
        <v>314</v>
      </c>
      <c r="P58" s="31" t="s">
        <v>314</v>
      </c>
      <c r="Q58" s="31" t="s">
        <v>3263</v>
      </c>
      <c r="R58" s="31" t="s">
        <v>3057</v>
      </c>
      <c r="S58" s="61" t="s">
        <v>2759</v>
      </c>
    </row>
    <row r="59" spans="1:19" ht="62" customHeight="1">
      <c r="A59" s="58" t="s">
        <v>2761</v>
      </c>
      <c r="B59" s="31" t="s">
        <v>2762</v>
      </c>
      <c r="C59" s="59" t="s">
        <v>2554</v>
      </c>
      <c r="D59" s="59" t="s">
        <v>395</v>
      </c>
      <c r="E59" s="59" t="s">
        <v>2554</v>
      </c>
      <c r="F59" s="31" t="s">
        <v>2763</v>
      </c>
      <c r="G59" s="60" t="s">
        <v>3264</v>
      </c>
      <c r="H59" s="31" t="s">
        <v>3265</v>
      </c>
      <c r="I59" s="31" t="s">
        <v>3266</v>
      </c>
      <c r="J59" s="59" t="s">
        <v>2646</v>
      </c>
      <c r="K59" s="59" t="s">
        <v>2554</v>
      </c>
      <c r="L59" s="31" t="s">
        <v>2522</v>
      </c>
      <c r="M59" s="31" t="s">
        <v>314</v>
      </c>
      <c r="N59" s="31" t="s">
        <v>3267</v>
      </c>
      <c r="O59" s="31" t="s">
        <v>3268</v>
      </c>
      <c r="P59" s="31" t="s">
        <v>3230</v>
      </c>
      <c r="Q59" s="31" t="s">
        <v>3269</v>
      </c>
      <c r="R59" s="31" t="s">
        <v>3057</v>
      </c>
      <c r="S59" s="61" t="s">
        <v>2764</v>
      </c>
    </row>
    <row r="60" spans="1:19" ht="62" customHeight="1">
      <c r="A60" s="58" t="s">
        <v>2766</v>
      </c>
      <c r="B60" s="31" t="s">
        <v>2767</v>
      </c>
      <c r="C60" s="59" t="s">
        <v>2554</v>
      </c>
      <c r="D60" s="59" t="s">
        <v>395</v>
      </c>
      <c r="E60" s="59" t="s">
        <v>2554</v>
      </c>
      <c r="F60" s="31" t="s">
        <v>2768</v>
      </c>
      <c r="G60" s="60" t="s">
        <v>3270</v>
      </c>
      <c r="H60" s="31" t="s">
        <v>3271</v>
      </c>
      <c r="I60" s="31" t="s">
        <v>3272</v>
      </c>
      <c r="J60" s="59" t="s">
        <v>2652</v>
      </c>
      <c r="K60" s="59" t="s">
        <v>2554</v>
      </c>
      <c r="L60" s="31" t="s">
        <v>2522</v>
      </c>
      <c r="M60" s="31" t="s">
        <v>314</v>
      </c>
      <c r="N60" s="31" t="s">
        <v>314</v>
      </c>
      <c r="O60" s="31" t="s">
        <v>314</v>
      </c>
      <c r="P60" s="31" t="s">
        <v>314</v>
      </c>
      <c r="Q60" s="31" t="s">
        <v>3273</v>
      </c>
      <c r="R60" s="31" t="s">
        <v>3057</v>
      </c>
      <c r="S60" s="61" t="s">
        <v>2769</v>
      </c>
    </row>
    <row r="61" spans="1:19" ht="62" customHeight="1">
      <c r="A61" s="58" t="s">
        <v>2771</v>
      </c>
      <c r="B61" s="31" t="s">
        <v>2772</v>
      </c>
      <c r="C61" s="59" t="s">
        <v>2554</v>
      </c>
      <c r="D61" s="59" t="s">
        <v>395</v>
      </c>
      <c r="E61" s="59" t="s">
        <v>2554</v>
      </c>
      <c r="F61" s="31" t="s">
        <v>2773</v>
      </c>
      <c r="G61" s="60" t="s">
        <v>3274</v>
      </c>
      <c r="H61" s="31" t="s">
        <v>3275</v>
      </c>
      <c r="I61" s="31" t="s">
        <v>3276</v>
      </c>
      <c r="J61" s="59" t="s">
        <v>2646</v>
      </c>
      <c r="K61" s="59" t="s">
        <v>2554</v>
      </c>
      <c r="L61" s="31" t="s">
        <v>2522</v>
      </c>
      <c r="M61" s="31" t="s">
        <v>314</v>
      </c>
      <c r="N61" s="31" t="s">
        <v>314</v>
      </c>
      <c r="O61" s="31" t="s">
        <v>3277</v>
      </c>
      <c r="P61" s="31" t="s">
        <v>3169</v>
      </c>
      <c r="Q61" s="31" t="s">
        <v>3278</v>
      </c>
      <c r="R61" s="31" t="s">
        <v>3057</v>
      </c>
      <c r="S61" s="61" t="s">
        <v>2774</v>
      </c>
    </row>
    <row r="62" spans="1:19" ht="62" customHeight="1">
      <c r="A62" s="58" t="s">
        <v>2776</v>
      </c>
      <c r="B62" s="31" t="s">
        <v>2777</v>
      </c>
      <c r="C62" s="59" t="s">
        <v>2554</v>
      </c>
      <c r="D62" s="59" t="s">
        <v>395</v>
      </c>
      <c r="E62" s="59" t="s">
        <v>2554</v>
      </c>
      <c r="F62" s="31" t="s">
        <v>2778</v>
      </c>
      <c r="G62" s="60" t="s">
        <v>3279</v>
      </c>
      <c r="H62" s="31" t="s">
        <v>3280</v>
      </c>
      <c r="I62" s="31" t="s">
        <v>3281</v>
      </c>
      <c r="J62" s="59" t="s">
        <v>2652</v>
      </c>
      <c r="K62" s="59" t="s">
        <v>2554</v>
      </c>
      <c r="L62" s="31" t="s">
        <v>2522</v>
      </c>
      <c r="M62" s="31" t="s">
        <v>314</v>
      </c>
      <c r="N62" s="31" t="s">
        <v>314</v>
      </c>
      <c r="O62" s="31" t="s">
        <v>314</v>
      </c>
      <c r="P62" s="31" t="s">
        <v>314</v>
      </c>
      <c r="Q62" s="31" t="s">
        <v>3282</v>
      </c>
      <c r="R62" s="31" t="s">
        <v>3057</v>
      </c>
      <c r="S62" s="61" t="s">
        <v>2779</v>
      </c>
    </row>
    <row r="63" spans="1:19" ht="62" customHeight="1">
      <c r="A63" s="58" t="s">
        <v>2781</v>
      </c>
      <c r="B63" s="31" t="s">
        <v>2782</v>
      </c>
      <c r="C63" s="59" t="s">
        <v>2554</v>
      </c>
      <c r="D63" s="59" t="s">
        <v>395</v>
      </c>
      <c r="E63" s="59" t="s">
        <v>2554</v>
      </c>
      <c r="F63" s="31" t="s">
        <v>2783</v>
      </c>
      <c r="G63" s="60" t="s">
        <v>3283</v>
      </c>
      <c r="H63" s="31" t="s">
        <v>3284</v>
      </c>
      <c r="I63" s="31" t="s">
        <v>3285</v>
      </c>
      <c r="J63" s="59" t="s">
        <v>2646</v>
      </c>
      <c r="K63" s="59" t="s">
        <v>2554</v>
      </c>
      <c r="L63" s="31" t="s">
        <v>2522</v>
      </c>
      <c r="M63" s="31" t="s">
        <v>314</v>
      </c>
      <c r="N63" s="31" t="s">
        <v>3286</v>
      </c>
      <c r="O63" s="31" t="s">
        <v>3287</v>
      </c>
      <c r="P63" s="31" t="s">
        <v>3288</v>
      </c>
      <c r="Q63" s="31" t="s">
        <v>3289</v>
      </c>
      <c r="R63" s="31" t="s">
        <v>3057</v>
      </c>
      <c r="S63" s="61" t="s">
        <v>2784</v>
      </c>
    </row>
    <row r="64" spans="1:19" ht="62" customHeight="1">
      <c r="A64" s="58" t="s">
        <v>2786</v>
      </c>
      <c r="B64" s="31" t="s">
        <v>2787</v>
      </c>
      <c r="C64" s="59" t="s">
        <v>2554</v>
      </c>
      <c r="D64" s="59" t="s">
        <v>395</v>
      </c>
      <c r="E64" s="59" t="s">
        <v>2554</v>
      </c>
      <c r="F64" s="31" t="s">
        <v>2788</v>
      </c>
      <c r="G64" s="60" t="s">
        <v>3290</v>
      </c>
      <c r="H64" s="31" t="s">
        <v>3291</v>
      </c>
      <c r="I64" s="31" t="s">
        <v>3292</v>
      </c>
      <c r="J64" s="59" t="s">
        <v>2652</v>
      </c>
      <c r="K64" s="59" t="s">
        <v>2554</v>
      </c>
      <c r="L64" s="31" t="s">
        <v>2522</v>
      </c>
      <c r="M64" s="31" t="s">
        <v>314</v>
      </c>
      <c r="N64" s="31" t="s">
        <v>314</v>
      </c>
      <c r="O64" s="31" t="s">
        <v>314</v>
      </c>
      <c r="P64" s="31" t="s">
        <v>314</v>
      </c>
      <c r="Q64" s="31" t="s">
        <v>3293</v>
      </c>
      <c r="R64" s="31" t="s">
        <v>3057</v>
      </c>
      <c r="S64" s="61" t="s">
        <v>2789</v>
      </c>
    </row>
    <row r="65" spans="1:19" ht="62" customHeight="1">
      <c r="A65" s="58" t="s">
        <v>2791</v>
      </c>
      <c r="B65" s="31" t="s">
        <v>2792</v>
      </c>
      <c r="C65" s="59" t="s">
        <v>2554</v>
      </c>
      <c r="D65" s="59" t="s">
        <v>395</v>
      </c>
      <c r="E65" s="59" t="s">
        <v>2554</v>
      </c>
      <c r="F65" s="31" t="s">
        <v>2793</v>
      </c>
      <c r="G65" s="60" t="s">
        <v>3294</v>
      </c>
      <c r="H65" s="31" t="s">
        <v>3295</v>
      </c>
      <c r="I65" s="31" t="s">
        <v>3296</v>
      </c>
      <c r="J65" s="59" t="s">
        <v>2646</v>
      </c>
      <c r="K65" s="59" t="s">
        <v>2554</v>
      </c>
      <c r="L65" s="31" t="s">
        <v>2522</v>
      </c>
      <c r="M65" s="31" t="s">
        <v>314</v>
      </c>
      <c r="N65" s="31" t="s">
        <v>314</v>
      </c>
      <c r="O65" s="31" t="s">
        <v>3297</v>
      </c>
      <c r="P65" s="31" t="s">
        <v>3169</v>
      </c>
      <c r="Q65" s="31" t="s">
        <v>3298</v>
      </c>
      <c r="R65" s="31" t="s">
        <v>3057</v>
      </c>
      <c r="S65" s="61" t="s">
        <v>2794</v>
      </c>
    </row>
    <row r="66" spans="1:19" ht="62" customHeight="1">
      <c r="A66" s="58" t="s">
        <v>2796</v>
      </c>
      <c r="B66" s="31" t="s">
        <v>2797</v>
      </c>
      <c r="C66" s="59" t="s">
        <v>2554</v>
      </c>
      <c r="D66" s="59" t="s">
        <v>395</v>
      </c>
      <c r="E66" s="59" t="s">
        <v>2554</v>
      </c>
      <c r="F66" s="31" t="s">
        <v>2798</v>
      </c>
      <c r="G66" s="60" t="s">
        <v>3299</v>
      </c>
      <c r="H66" s="31" t="s">
        <v>3300</v>
      </c>
      <c r="I66" s="31" t="s">
        <v>3301</v>
      </c>
      <c r="J66" s="59" t="s">
        <v>2652</v>
      </c>
      <c r="K66" s="59" t="s">
        <v>2554</v>
      </c>
      <c r="L66" s="31" t="s">
        <v>2522</v>
      </c>
      <c r="M66" s="31" t="s">
        <v>314</v>
      </c>
      <c r="N66" s="31" t="s">
        <v>314</v>
      </c>
      <c r="O66" s="31" t="s">
        <v>314</v>
      </c>
      <c r="P66" s="31" t="s">
        <v>314</v>
      </c>
      <c r="Q66" s="31" t="s">
        <v>3302</v>
      </c>
      <c r="R66" s="31" t="s">
        <v>3057</v>
      </c>
      <c r="S66" s="61" t="s">
        <v>2799</v>
      </c>
    </row>
    <row r="67" spans="1:19" ht="62" customHeight="1">
      <c r="A67" s="58" t="s">
        <v>2801</v>
      </c>
      <c r="B67" s="31" t="s">
        <v>2802</v>
      </c>
      <c r="C67" s="59" t="s">
        <v>2554</v>
      </c>
      <c r="D67" s="59" t="s">
        <v>395</v>
      </c>
      <c r="E67" s="59" t="s">
        <v>2554</v>
      </c>
      <c r="F67" s="31" t="s">
        <v>2803</v>
      </c>
      <c r="G67" s="60" t="s">
        <v>3303</v>
      </c>
      <c r="H67" s="31" t="s">
        <v>3304</v>
      </c>
      <c r="I67" s="31" t="s">
        <v>3305</v>
      </c>
      <c r="J67" s="59" t="s">
        <v>2804</v>
      </c>
      <c r="K67" s="59" t="s">
        <v>2554</v>
      </c>
      <c r="L67" s="31" t="s">
        <v>2522</v>
      </c>
      <c r="M67" s="31" t="s">
        <v>314</v>
      </c>
      <c r="N67" s="31" t="s">
        <v>3306</v>
      </c>
      <c r="O67" s="31" t="s">
        <v>3307</v>
      </c>
      <c r="P67" s="31" t="s">
        <v>3308</v>
      </c>
      <c r="Q67" s="31" t="s">
        <v>3309</v>
      </c>
      <c r="R67" s="31" t="s">
        <v>3057</v>
      </c>
      <c r="S67" s="61" t="s">
        <v>2805</v>
      </c>
    </row>
    <row r="68" spans="1:19" ht="62" customHeight="1">
      <c r="A68" s="58" t="s">
        <v>2807</v>
      </c>
      <c r="B68" s="31" t="s">
        <v>2808</v>
      </c>
      <c r="C68" s="59" t="s">
        <v>2554</v>
      </c>
      <c r="D68" s="59" t="s">
        <v>395</v>
      </c>
      <c r="E68" s="59" t="s">
        <v>2554</v>
      </c>
      <c r="F68" s="31" t="s">
        <v>2809</v>
      </c>
      <c r="G68" s="60" t="s">
        <v>3310</v>
      </c>
      <c r="H68" s="31" t="s">
        <v>3311</v>
      </c>
      <c r="I68" s="31" t="s">
        <v>3312</v>
      </c>
      <c r="J68" s="59" t="s">
        <v>2804</v>
      </c>
      <c r="K68" s="59" t="s">
        <v>2554</v>
      </c>
      <c r="L68" s="31" t="s">
        <v>2522</v>
      </c>
      <c r="M68" s="31" t="s">
        <v>314</v>
      </c>
      <c r="N68" s="31" t="s">
        <v>3306</v>
      </c>
      <c r="O68" s="31" t="s">
        <v>3313</v>
      </c>
      <c r="P68" s="31" t="s">
        <v>3314</v>
      </c>
      <c r="Q68" s="31" t="s">
        <v>3315</v>
      </c>
      <c r="R68" s="31" t="s">
        <v>3057</v>
      </c>
      <c r="S68" s="61" t="s">
        <v>2810</v>
      </c>
    </row>
    <row r="69" spans="1:19" ht="62" customHeight="1">
      <c r="A69" s="58" t="s">
        <v>2812</v>
      </c>
      <c r="B69" s="31" t="s">
        <v>2813</v>
      </c>
      <c r="C69" s="59" t="s">
        <v>2554</v>
      </c>
      <c r="D69" s="59" t="s">
        <v>395</v>
      </c>
      <c r="E69" s="59" t="s">
        <v>2554</v>
      </c>
      <c r="F69" s="31" t="s">
        <v>2814</v>
      </c>
      <c r="G69" s="60" t="s">
        <v>3316</v>
      </c>
      <c r="H69" s="31" t="s">
        <v>3317</v>
      </c>
      <c r="I69" s="31" t="s">
        <v>3318</v>
      </c>
      <c r="J69" s="59" t="s">
        <v>2804</v>
      </c>
      <c r="K69" s="59" t="s">
        <v>2554</v>
      </c>
      <c r="L69" s="31" t="s">
        <v>2522</v>
      </c>
      <c r="M69" s="31" t="s">
        <v>314</v>
      </c>
      <c r="N69" s="31" t="s">
        <v>3319</v>
      </c>
      <c r="O69" s="31" t="s">
        <v>3320</v>
      </c>
      <c r="P69" s="31" t="s">
        <v>3321</v>
      </c>
      <c r="Q69" s="31" t="s">
        <v>3322</v>
      </c>
      <c r="R69" s="31" t="s">
        <v>3057</v>
      </c>
      <c r="S69" s="61" t="s">
        <v>2815</v>
      </c>
    </row>
    <row r="70" spans="1:19" ht="62" customHeight="1">
      <c r="A70" s="58" t="s">
        <v>2817</v>
      </c>
      <c r="B70" s="31" t="s">
        <v>2818</v>
      </c>
      <c r="C70" s="59" t="s">
        <v>2554</v>
      </c>
      <c r="D70" s="59" t="s">
        <v>395</v>
      </c>
      <c r="E70" s="59" t="s">
        <v>2554</v>
      </c>
      <c r="F70" s="31" t="s">
        <v>2819</v>
      </c>
      <c r="G70" s="60" t="s">
        <v>3323</v>
      </c>
      <c r="H70" s="31" t="s">
        <v>3324</v>
      </c>
      <c r="I70" s="31" t="s">
        <v>3325</v>
      </c>
      <c r="J70" s="59" t="s">
        <v>2804</v>
      </c>
      <c r="K70" s="59" t="s">
        <v>2554</v>
      </c>
      <c r="L70" s="31" t="s">
        <v>2522</v>
      </c>
      <c r="M70" s="31" t="s">
        <v>314</v>
      </c>
      <c r="N70" s="31" t="s">
        <v>314</v>
      </c>
      <c r="O70" s="31" t="s">
        <v>3326</v>
      </c>
      <c r="P70" s="31" t="s">
        <v>3327</v>
      </c>
      <c r="Q70" s="31" t="s">
        <v>3328</v>
      </c>
      <c r="R70" s="31" t="s">
        <v>3057</v>
      </c>
      <c r="S70" s="61" t="s">
        <v>2820</v>
      </c>
    </row>
    <row r="71" spans="1:19" ht="62" customHeight="1">
      <c r="A71" s="58" t="s">
        <v>2822</v>
      </c>
      <c r="B71" s="31" t="s">
        <v>2823</v>
      </c>
      <c r="C71" s="59" t="s">
        <v>2554</v>
      </c>
      <c r="D71" s="59" t="s">
        <v>395</v>
      </c>
      <c r="E71" s="59" t="s">
        <v>2554</v>
      </c>
      <c r="F71" s="31" t="s">
        <v>2824</v>
      </c>
      <c r="G71" s="60" t="s">
        <v>3329</v>
      </c>
      <c r="H71" s="31" t="s">
        <v>3330</v>
      </c>
      <c r="I71" s="31" t="s">
        <v>3331</v>
      </c>
      <c r="J71" s="59" t="s">
        <v>2804</v>
      </c>
      <c r="K71" s="59" t="s">
        <v>2554</v>
      </c>
      <c r="L71" s="31" t="s">
        <v>2522</v>
      </c>
      <c r="M71" s="31" t="s">
        <v>314</v>
      </c>
      <c r="N71" s="31" t="s">
        <v>314</v>
      </c>
      <c r="O71" s="31" t="s">
        <v>3332</v>
      </c>
      <c r="P71" s="31" t="s">
        <v>3333</v>
      </c>
      <c r="Q71" s="31" t="s">
        <v>3334</v>
      </c>
      <c r="R71" s="31" t="s">
        <v>3057</v>
      </c>
      <c r="S71" s="61" t="s">
        <v>2825</v>
      </c>
    </row>
    <row r="72" spans="1:19" ht="62" customHeight="1">
      <c r="A72" s="58" t="s">
        <v>2827</v>
      </c>
      <c r="B72" s="31" t="s">
        <v>2828</v>
      </c>
      <c r="C72" s="59" t="s">
        <v>2554</v>
      </c>
      <c r="D72" s="59" t="s">
        <v>395</v>
      </c>
      <c r="E72" s="59" t="s">
        <v>2554</v>
      </c>
      <c r="F72" s="31" t="s">
        <v>2829</v>
      </c>
      <c r="G72" s="60" t="s">
        <v>3335</v>
      </c>
      <c r="H72" s="31" t="s">
        <v>3336</v>
      </c>
      <c r="I72" s="31" t="s">
        <v>3337</v>
      </c>
      <c r="J72" s="59" t="s">
        <v>2501</v>
      </c>
      <c r="K72" s="59" t="s">
        <v>2554</v>
      </c>
      <c r="L72" s="31" t="s">
        <v>2522</v>
      </c>
      <c r="M72" s="31" t="s">
        <v>314</v>
      </c>
      <c r="N72" s="31" t="s">
        <v>3338</v>
      </c>
      <c r="O72" s="31" t="s">
        <v>3339</v>
      </c>
      <c r="P72" s="31" t="s">
        <v>3340</v>
      </c>
      <c r="Q72" s="31" t="s">
        <v>3341</v>
      </c>
      <c r="R72" s="31" t="s">
        <v>3057</v>
      </c>
      <c r="S72" s="61" t="s">
        <v>2830</v>
      </c>
    </row>
    <row r="73" spans="1:19" ht="62" customHeight="1">
      <c r="A73" s="58" t="s">
        <v>2832</v>
      </c>
      <c r="B73" s="31" t="s">
        <v>2833</v>
      </c>
      <c r="C73" s="59" t="s">
        <v>2554</v>
      </c>
      <c r="D73" s="59" t="s">
        <v>395</v>
      </c>
      <c r="E73" s="59" t="s">
        <v>2554</v>
      </c>
      <c r="F73" s="31" t="s">
        <v>2834</v>
      </c>
      <c r="G73" s="60" t="s">
        <v>3342</v>
      </c>
      <c r="H73" s="31" t="s">
        <v>3343</v>
      </c>
      <c r="I73" s="31" t="s">
        <v>3344</v>
      </c>
      <c r="J73" s="59" t="s">
        <v>2804</v>
      </c>
      <c r="K73" s="59" t="s">
        <v>2554</v>
      </c>
      <c r="L73" s="31" t="s">
        <v>2522</v>
      </c>
      <c r="M73" s="31" t="s">
        <v>314</v>
      </c>
      <c r="N73" s="31" t="s">
        <v>314</v>
      </c>
      <c r="O73" s="31" t="s">
        <v>3345</v>
      </c>
      <c r="P73" s="31" t="s">
        <v>314</v>
      </c>
      <c r="Q73" s="31" t="s">
        <v>3346</v>
      </c>
      <c r="R73" s="31" t="s">
        <v>3057</v>
      </c>
      <c r="S73" s="61" t="s">
        <v>2835</v>
      </c>
    </row>
    <row r="74" spans="1:19" ht="62" customHeight="1">
      <c r="A74" s="58" t="s">
        <v>2837</v>
      </c>
      <c r="B74" s="31" t="s">
        <v>2838</v>
      </c>
      <c r="C74" s="59" t="s">
        <v>2554</v>
      </c>
      <c r="D74" s="59" t="s">
        <v>395</v>
      </c>
      <c r="E74" s="59" t="s">
        <v>2554</v>
      </c>
      <c r="F74" s="31" t="s">
        <v>2839</v>
      </c>
      <c r="G74" s="60" t="s">
        <v>3347</v>
      </c>
      <c r="H74" s="31" t="s">
        <v>3348</v>
      </c>
      <c r="I74" s="31" t="s">
        <v>3349</v>
      </c>
      <c r="J74" s="59" t="s">
        <v>2840</v>
      </c>
      <c r="K74" s="59" t="s">
        <v>2554</v>
      </c>
      <c r="L74" s="31" t="s">
        <v>2522</v>
      </c>
      <c r="M74" s="31" t="s">
        <v>314</v>
      </c>
      <c r="N74" s="31" t="s">
        <v>314</v>
      </c>
      <c r="O74" s="31" t="s">
        <v>3350</v>
      </c>
      <c r="P74" s="31" t="s">
        <v>314</v>
      </c>
      <c r="Q74" s="31" t="s">
        <v>3351</v>
      </c>
      <c r="R74" s="31" t="s">
        <v>3057</v>
      </c>
      <c r="S74" s="61" t="s">
        <v>2841</v>
      </c>
    </row>
    <row r="75" spans="1:19" ht="62" customHeight="1">
      <c r="A75" s="58" t="s">
        <v>2843</v>
      </c>
      <c r="B75" s="31" t="s">
        <v>2844</v>
      </c>
      <c r="C75" s="59" t="s">
        <v>2554</v>
      </c>
      <c r="D75" s="59" t="s">
        <v>395</v>
      </c>
      <c r="E75" s="59" t="s">
        <v>2554</v>
      </c>
      <c r="F75" s="31" t="s">
        <v>2845</v>
      </c>
      <c r="G75" s="60" t="s">
        <v>3352</v>
      </c>
      <c r="H75" s="31" t="s">
        <v>3353</v>
      </c>
      <c r="I75" s="31" t="s">
        <v>3354</v>
      </c>
      <c r="J75" s="59" t="s">
        <v>2804</v>
      </c>
      <c r="K75" s="59" t="s">
        <v>2554</v>
      </c>
      <c r="L75" s="31" t="s">
        <v>2522</v>
      </c>
      <c r="M75" s="31" t="s">
        <v>314</v>
      </c>
      <c r="N75" s="31" t="s">
        <v>314</v>
      </c>
      <c r="O75" s="31" t="s">
        <v>3355</v>
      </c>
      <c r="P75" s="31" t="s">
        <v>3356</v>
      </c>
      <c r="Q75" s="31" t="s">
        <v>3357</v>
      </c>
      <c r="R75" s="31" t="s">
        <v>3057</v>
      </c>
      <c r="S75" s="61" t="s">
        <v>2846</v>
      </c>
    </row>
    <row r="76" spans="1:19" ht="62" customHeight="1">
      <c r="A76" s="58" t="s">
        <v>2848</v>
      </c>
      <c r="B76" s="31" t="s">
        <v>2849</v>
      </c>
      <c r="C76" s="59" t="s">
        <v>2554</v>
      </c>
      <c r="D76" s="59" t="s">
        <v>395</v>
      </c>
      <c r="E76" s="59" t="s">
        <v>2554</v>
      </c>
      <c r="F76" s="31" t="s">
        <v>2850</v>
      </c>
      <c r="G76" s="60" t="s">
        <v>3358</v>
      </c>
      <c r="H76" s="31" t="s">
        <v>3359</v>
      </c>
      <c r="I76" s="31" t="s">
        <v>3360</v>
      </c>
      <c r="J76" s="59" t="s">
        <v>2804</v>
      </c>
      <c r="K76" s="59" t="s">
        <v>2554</v>
      </c>
      <c r="L76" s="31" t="s">
        <v>2522</v>
      </c>
      <c r="M76" s="31" t="s">
        <v>314</v>
      </c>
      <c r="N76" s="31" t="s">
        <v>3361</v>
      </c>
      <c r="O76" s="31" t="s">
        <v>3362</v>
      </c>
      <c r="P76" s="31" t="s">
        <v>3363</v>
      </c>
      <c r="Q76" s="31" t="s">
        <v>3364</v>
      </c>
      <c r="R76" s="31" t="s">
        <v>3057</v>
      </c>
      <c r="S76" s="61" t="s">
        <v>2851</v>
      </c>
    </row>
    <row r="77" spans="1:19" ht="62" customHeight="1">
      <c r="A77" s="58" t="s">
        <v>2853</v>
      </c>
      <c r="B77" s="31" t="s">
        <v>2854</v>
      </c>
      <c r="C77" s="59" t="s">
        <v>2554</v>
      </c>
      <c r="D77" s="59" t="s">
        <v>395</v>
      </c>
      <c r="E77" s="59" t="s">
        <v>2554</v>
      </c>
      <c r="F77" s="31" t="s">
        <v>2855</v>
      </c>
      <c r="G77" s="60" t="s">
        <v>3365</v>
      </c>
      <c r="H77" s="31" t="s">
        <v>3366</v>
      </c>
      <c r="I77" s="31" t="s">
        <v>3367</v>
      </c>
      <c r="J77" s="59" t="s">
        <v>2804</v>
      </c>
      <c r="K77" s="59" t="s">
        <v>2554</v>
      </c>
      <c r="L77" s="31" t="s">
        <v>2522</v>
      </c>
      <c r="M77" s="31" t="s">
        <v>314</v>
      </c>
      <c r="N77" s="31" t="s">
        <v>314</v>
      </c>
      <c r="O77" s="31" t="s">
        <v>3368</v>
      </c>
      <c r="P77" s="31" t="s">
        <v>3369</v>
      </c>
      <c r="Q77" s="31" t="s">
        <v>3370</v>
      </c>
      <c r="R77" s="31" t="s">
        <v>3057</v>
      </c>
      <c r="S77" s="61" t="s">
        <v>2856</v>
      </c>
    </row>
    <row r="78" spans="1:19" ht="62" customHeight="1">
      <c r="A78" s="58" t="s">
        <v>2858</v>
      </c>
      <c r="B78" s="31" t="s">
        <v>2859</v>
      </c>
      <c r="C78" s="59" t="s">
        <v>2554</v>
      </c>
      <c r="D78" s="59" t="s">
        <v>395</v>
      </c>
      <c r="E78" s="59" t="s">
        <v>2554</v>
      </c>
      <c r="F78" s="31" t="s">
        <v>2860</v>
      </c>
      <c r="G78" s="60" t="s">
        <v>3371</v>
      </c>
      <c r="H78" s="31" t="s">
        <v>3372</v>
      </c>
      <c r="I78" s="31" t="s">
        <v>3373</v>
      </c>
      <c r="J78" s="59" t="s">
        <v>2804</v>
      </c>
      <c r="K78" s="59" t="s">
        <v>2554</v>
      </c>
      <c r="L78" s="31" t="s">
        <v>2522</v>
      </c>
      <c r="M78" s="31" t="s">
        <v>314</v>
      </c>
      <c r="N78" s="31" t="s">
        <v>314</v>
      </c>
      <c r="O78" s="31" t="s">
        <v>3374</v>
      </c>
      <c r="P78" s="31" t="s">
        <v>3375</v>
      </c>
      <c r="Q78" s="31" t="s">
        <v>3376</v>
      </c>
      <c r="R78" s="31" t="s">
        <v>3057</v>
      </c>
      <c r="S78" s="61" t="s">
        <v>2861</v>
      </c>
    </row>
    <row r="79" spans="1:19" ht="62" customHeight="1">
      <c r="A79" s="58" t="s">
        <v>2863</v>
      </c>
      <c r="B79" s="31" t="s">
        <v>2864</v>
      </c>
      <c r="C79" s="59" t="s">
        <v>2554</v>
      </c>
      <c r="D79" s="59" t="s">
        <v>395</v>
      </c>
      <c r="E79" s="59" t="s">
        <v>2554</v>
      </c>
      <c r="F79" s="31" t="s">
        <v>2865</v>
      </c>
      <c r="G79" s="60" t="s">
        <v>3377</v>
      </c>
      <c r="H79" s="31" t="s">
        <v>3378</v>
      </c>
      <c r="I79" s="31" t="s">
        <v>3379</v>
      </c>
      <c r="J79" s="59" t="s">
        <v>2866</v>
      </c>
      <c r="K79" s="59" t="s">
        <v>2554</v>
      </c>
      <c r="L79" s="31" t="s">
        <v>2522</v>
      </c>
      <c r="M79" s="31" t="s">
        <v>314</v>
      </c>
      <c r="N79" s="31" t="s">
        <v>3380</v>
      </c>
      <c r="O79" s="31" t="s">
        <v>3381</v>
      </c>
      <c r="P79" s="31" t="s">
        <v>3382</v>
      </c>
      <c r="Q79" s="31" t="s">
        <v>3383</v>
      </c>
      <c r="R79" s="31" t="s">
        <v>3057</v>
      </c>
      <c r="S79" s="61" t="s">
        <v>2867</v>
      </c>
    </row>
    <row r="80" spans="1:19" ht="62" customHeight="1">
      <c r="A80" s="58" t="s">
        <v>2869</v>
      </c>
      <c r="B80" s="31" t="s">
        <v>2870</v>
      </c>
      <c r="C80" s="59" t="s">
        <v>2554</v>
      </c>
      <c r="D80" s="59" t="s">
        <v>395</v>
      </c>
      <c r="E80" s="59" t="s">
        <v>2554</v>
      </c>
      <c r="F80" s="31" t="s">
        <v>2871</v>
      </c>
      <c r="G80" s="60" t="s">
        <v>3384</v>
      </c>
      <c r="H80" s="31" t="s">
        <v>3385</v>
      </c>
      <c r="I80" s="31" t="s">
        <v>3386</v>
      </c>
      <c r="J80" s="59" t="s">
        <v>2866</v>
      </c>
      <c r="K80" s="59" t="s">
        <v>2554</v>
      </c>
      <c r="L80" s="31" t="s">
        <v>2522</v>
      </c>
      <c r="M80" s="31" t="s">
        <v>314</v>
      </c>
      <c r="N80" s="31" t="s">
        <v>314</v>
      </c>
      <c r="O80" s="31" t="s">
        <v>3387</v>
      </c>
      <c r="P80" s="31" t="s">
        <v>3388</v>
      </c>
      <c r="Q80" s="31" t="s">
        <v>3389</v>
      </c>
      <c r="R80" s="31" t="s">
        <v>3057</v>
      </c>
      <c r="S80" s="61" t="s">
        <v>2872</v>
      </c>
    </row>
    <row r="81" spans="1:19" ht="62" customHeight="1">
      <c r="A81" s="58" t="s">
        <v>2874</v>
      </c>
      <c r="B81" s="31" t="s">
        <v>2875</v>
      </c>
      <c r="C81" s="59" t="s">
        <v>2554</v>
      </c>
      <c r="D81" s="59" t="s">
        <v>395</v>
      </c>
      <c r="E81" s="59" t="s">
        <v>2554</v>
      </c>
      <c r="F81" s="31" t="s">
        <v>2876</v>
      </c>
      <c r="G81" s="60" t="s">
        <v>3390</v>
      </c>
      <c r="H81" s="31" t="s">
        <v>3391</v>
      </c>
      <c r="I81" s="31" t="s">
        <v>3392</v>
      </c>
      <c r="J81" s="59" t="s">
        <v>2866</v>
      </c>
      <c r="K81" s="59" t="s">
        <v>2554</v>
      </c>
      <c r="L81" s="31" t="s">
        <v>2522</v>
      </c>
      <c r="M81" s="31" t="s">
        <v>314</v>
      </c>
      <c r="N81" s="31" t="s">
        <v>314</v>
      </c>
      <c r="O81" s="31" t="s">
        <v>3393</v>
      </c>
      <c r="P81" s="31" t="s">
        <v>3394</v>
      </c>
      <c r="Q81" s="31" t="s">
        <v>3395</v>
      </c>
      <c r="R81" s="31" t="s">
        <v>3057</v>
      </c>
      <c r="S81" s="61" t="s">
        <v>2877</v>
      </c>
    </row>
    <row r="82" spans="1:19" ht="62" customHeight="1">
      <c r="A82" s="58" t="s">
        <v>2879</v>
      </c>
      <c r="B82" s="31" t="s">
        <v>2880</v>
      </c>
      <c r="C82" s="59" t="s">
        <v>2554</v>
      </c>
      <c r="D82" s="59" t="s">
        <v>395</v>
      </c>
      <c r="E82" s="59" t="s">
        <v>2554</v>
      </c>
      <c r="F82" s="31" t="s">
        <v>2881</v>
      </c>
      <c r="G82" s="60" t="s">
        <v>3396</v>
      </c>
      <c r="H82" s="31" t="s">
        <v>3397</v>
      </c>
      <c r="I82" s="31" t="s">
        <v>3398</v>
      </c>
      <c r="J82" s="59" t="s">
        <v>2866</v>
      </c>
      <c r="K82" s="59" t="s">
        <v>2554</v>
      </c>
      <c r="L82" s="31" t="s">
        <v>2522</v>
      </c>
      <c r="M82" s="31" t="s">
        <v>314</v>
      </c>
      <c r="N82" s="31" t="s">
        <v>314</v>
      </c>
      <c r="O82" s="31" t="s">
        <v>3399</v>
      </c>
      <c r="P82" s="31" t="s">
        <v>3400</v>
      </c>
      <c r="Q82" s="31" t="s">
        <v>3401</v>
      </c>
      <c r="R82" s="31" t="s">
        <v>3057</v>
      </c>
      <c r="S82" s="61" t="s">
        <v>2882</v>
      </c>
    </row>
    <row r="83" spans="1:19" ht="62" customHeight="1">
      <c r="A83" s="58" t="s">
        <v>2884</v>
      </c>
      <c r="B83" s="31" t="s">
        <v>2885</v>
      </c>
      <c r="C83" s="59" t="s">
        <v>2554</v>
      </c>
      <c r="D83" s="59" t="s">
        <v>395</v>
      </c>
      <c r="E83" s="59" t="s">
        <v>2554</v>
      </c>
      <c r="F83" s="31" t="s">
        <v>2886</v>
      </c>
      <c r="G83" s="60" t="s">
        <v>3402</v>
      </c>
      <c r="H83" s="31" t="s">
        <v>3403</v>
      </c>
      <c r="I83" s="31" t="s">
        <v>3404</v>
      </c>
      <c r="J83" s="59" t="s">
        <v>2804</v>
      </c>
      <c r="K83" s="59" t="s">
        <v>2554</v>
      </c>
      <c r="L83" s="31" t="s">
        <v>2522</v>
      </c>
      <c r="M83" s="31" t="s">
        <v>314</v>
      </c>
      <c r="N83" s="31" t="s">
        <v>3405</v>
      </c>
      <c r="O83" s="31" t="s">
        <v>3406</v>
      </c>
      <c r="P83" s="31" t="s">
        <v>3407</v>
      </c>
      <c r="Q83" s="31" t="s">
        <v>3408</v>
      </c>
      <c r="R83" s="31" t="s">
        <v>3057</v>
      </c>
      <c r="S83" s="61" t="s">
        <v>2887</v>
      </c>
    </row>
    <row r="84" spans="1:19" ht="62" customHeight="1">
      <c r="A84" s="58" t="s">
        <v>2889</v>
      </c>
      <c r="B84" s="31" t="s">
        <v>2890</v>
      </c>
      <c r="C84" s="59" t="s">
        <v>2554</v>
      </c>
      <c r="D84" s="59" t="s">
        <v>395</v>
      </c>
      <c r="E84" s="59" t="s">
        <v>2554</v>
      </c>
      <c r="F84" s="31" t="s">
        <v>2891</v>
      </c>
      <c r="G84" s="60" t="s">
        <v>3409</v>
      </c>
      <c r="H84" s="31" t="s">
        <v>3410</v>
      </c>
      <c r="I84" s="31" t="s">
        <v>3411</v>
      </c>
      <c r="J84" s="59" t="s">
        <v>2804</v>
      </c>
      <c r="K84" s="59" t="s">
        <v>2554</v>
      </c>
      <c r="L84" s="31" t="s">
        <v>2522</v>
      </c>
      <c r="M84" s="31" t="s">
        <v>314</v>
      </c>
      <c r="N84" s="31" t="s">
        <v>314</v>
      </c>
      <c r="O84" s="31" t="s">
        <v>3412</v>
      </c>
      <c r="P84" s="31" t="s">
        <v>3413</v>
      </c>
      <c r="Q84" s="31" t="s">
        <v>3414</v>
      </c>
      <c r="R84" s="31" t="s">
        <v>3057</v>
      </c>
      <c r="S84" s="61" t="s">
        <v>2892</v>
      </c>
    </row>
    <row r="85" spans="1:19" ht="62" customHeight="1">
      <c r="A85" s="58" t="s">
        <v>2894</v>
      </c>
      <c r="B85" s="31" t="s">
        <v>2895</v>
      </c>
      <c r="C85" s="59" t="s">
        <v>2554</v>
      </c>
      <c r="D85" s="59" t="s">
        <v>395</v>
      </c>
      <c r="E85" s="59" t="s">
        <v>2554</v>
      </c>
      <c r="F85" s="31" t="s">
        <v>2896</v>
      </c>
      <c r="G85" s="60" t="s">
        <v>3415</v>
      </c>
      <c r="H85" s="31" t="s">
        <v>3416</v>
      </c>
      <c r="I85" s="31" t="s">
        <v>3417</v>
      </c>
      <c r="J85" s="59" t="s">
        <v>2804</v>
      </c>
      <c r="K85" s="59" t="s">
        <v>2554</v>
      </c>
      <c r="L85" s="31" t="s">
        <v>2522</v>
      </c>
      <c r="M85" s="31" t="s">
        <v>314</v>
      </c>
      <c r="N85" s="31" t="s">
        <v>3418</v>
      </c>
      <c r="O85" s="31" t="s">
        <v>3419</v>
      </c>
      <c r="P85" s="31" t="s">
        <v>3420</v>
      </c>
      <c r="Q85" s="31" t="s">
        <v>3421</v>
      </c>
      <c r="R85" s="31" t="s">
        <v>3057</v>
      </c>
      <c r="S85" s="61" t="s">
        <v>2897</v>
      </c>
    </row>
    <row r="86" spans="1:19" ht="62" customHeight="1">
      <c r="A86" s="58" t="s">
        <v>2899</v>
      </c>
      <c r="B86" s="31" t="s">
        <v>2900</v>
      </c>
      <c r="C86" s="59" t="s">
        <v>2554</v>
      </c>
      <c r="D86" s="59" t="s">
        <v>395</v>
      </c>
      <c r="E86" s="59" t="s">
        <v>2554</v>
      </c>
      <c r="F86" s="31" t="s">
        <v>2901</v>
      </c>
      <c r="G86" s="60" t="s">
        <v>3422</v>
      </c>
      <c r="H86" s="31" t="s">
        <v>3423</v>
      </c>
      <c r="I86" s="31" t="s">
        <v>3424</v>
      </c>
      <c r="J86" s="59" t="s">
        <v>2804</v>
      </c>
      <c r="K86" s="59" t="s">
        <v>2554</v>
      </c>
      <c r="L86" s="31" t="s">
        <v>2522</v>
      </c>
      <c r="M86" s="31" t="s">
        <v>314</v>
      </c>
      <c r="N86" s="31" t="s">
        <v>314</v>
      </c>
      <c r="O86" s="31" t="s">
        <v>3425</v>
      </c>
      <c r="P86" s="31" t="s">
        <v>3420</v>
      </c>
      <c r="Q86" s="31" t="s">
        <v>3426</v>
      </c>
      <c r="R86" s="31" t="s">
        <v>3057</v>
      </c>
      <c r="S86" s="61" t="s">
        <v>2902</v>
      </c>
    </row>
    <row r="87" spans="1:19" ht="62" customHeight="1">
      <c r="A87" s="58" t="s">
        <v>2904</v>
      </c>
      <c r="B87" s="31" t="s">
        <v>2905</v>
      </c>
      <c r="C87" s="59" t="s">
        <v>2554</v>
      </c>
      <c r="D87" s="59" t="s">
        <v>395</v>
      </c>
      <c r="E87" s="59" t="s">
        <v>2554</v>
      </c>
      <c r="F87" s="31" t="s">
        <v>2906</v>
      </c>
      <c r="G87" s="60" t="s">
        <v>3427</v>
      </c>
      <c r="H87" s="31" t="s">
        <v>3428</v>
      </c>
      <c r="I87" s="31" t="s">
        <v>3429</v>
      </c>
      <c r="J87" s="59" t="s">
        <v>2804</v>
      </c>
      <c r="K87" s="59" t="s">
        <v>2554</v>
      </c>
      <c r="L87" s="31" t="s">
        <v>2522</v>
      </c>
      <c r="M87" s="31" t="s">
        <v>314</v>
      </c>
      <c r="N87" s="31" t="s">
        <v>314</v>
      </c>
      <c r="O87" s="31" t="s">
        <v>3430</v>
      </c>
      <c r="P87" s="31" t="s">
        <v>3431</v>
      </c>
      <c r="Q87" s="31" t="s">
        <v>3432</v>
      </c>
      <c r="R87" s="31" t="s">
        <v>3057</v>
      </c>
      <c r="S87" s="61" t="s">
        <v>2907</v>
      </c>
    </row>
    <row r="88" spans="1:19" ht="62" customHeight="1">
      <c r="A88" s="58" t="s">
        <v>2909</v>
      </c>
      <c r="B88" s="31" t="s">
        <v>2910</v>
      </c>
      <c r="C88" s="59" t="s">
        <v>2554</v>
      </c>
      <c r="D88" s="59" t="s">
        <v>395</v>
      </c>
      <c r="E88" s="59" t="s">
        <v>2554</v>
      </c>
      <c r="F88" s="31" t="s">
        <v>2911</v>
      </c>
      <c r="G88" s="60" t="s">
        <v>3433</v>
      </c>
      <c r="H88" s="31" t="s">
        <v>3434</v>
      </c>
      <c r="I88" s="31" t="s">
        <v>3435</v>
      </c>
      <c r="J88" s="59" t="s">
        <v>2804</v>
      </c>
      <c r="K88" s="59" t="s">
        <v>2554</v>
      </c>
      <c r="L88" s="31" t="s">
        <v>2522</v>
      </c>
      <c r="M88" s="31" t="s">
        <v>314</v>
      </c>
      <c r="N88" s="31" t="s">
        <v>3436</v>
      </c>
      <c r="O88" s="31" t="s">
        <v>3437</v>
      </c>
      <c r="P88" s="31" t="s">
        <v>3438</v>
      </c>
      <c r="Q88" s="31" t="s">
        <v>3439</v>
      </c>
      <c r="R88" s="31" t="s">
        <v>3057</v>
      </c>
      <c r="S88" s="61" t="s">
        <v>2912</v>
      </c>
    </row>
    <row r="89" spans="1:19" ht="62" customHeight="1">
      <c r="A89" s="58" t="s">
        <v>2914</v>
      </c>
      <c r="B89" s="31" t="s">
        <v>2915</v>
      </c>
      <c r="C89" s="59" t="s">
        <v>2554</v>
      </c>
      <c r="D89" s="59" t="s">
        <v>395</v>
      </c>
      <c r="E89" s="59" t="s">
        <v>2554</v>
      </c>
      <c r="F89" s="31" t="s">
        <v>2916</v>
      </c>
      <c r="G89" s="60" t="s">
        <v>3440</v>
      </c>
      <c r="H89" s="31" t="s">
        <v>3441</v>
      </c>
      <c r="I89" s="31" t="s">
        <v>3442</v>
      </c>
      <c r="J89" s="59" t="s">
        <v>2804</v>
      </c>
      <c r="K89" s="59" t="s">
        <v>2554</v>
      </c>
      <c r="L89" s="31" t="s">
        <v>2522</v>
      </c>
      <c r="M89" s="31" t="s">
        <v>314</v>
      </c>
      <c r="N89" s="31" t="s">
        <v>314</v>
      </c>
      <c r="O89" s="31" t="s">
        <v>3443</v>
      </c>
      <c r="P89" s="31" t="s">
        <v>3444</v>
      </c>
      <c r="Q89" s="31" t="s">
        <v>3445</v>
      </c>
      <c r="R89" s="31" t="s">
        <v>3057</v>
      </c>
      <c r="S89" s="61" t="s">
        <v>2917</v>
      </c>
    </row>
    <row r="90" spans="1:19" ht="62" customHeight="1">
      <c r="A90" s="58" t="s">
        <v>2919</v>
      </c>
      <c r="B90" s="31" t="s">
        <v>2920</v>
      </c>
      <c r="C90" s="59" t="s">
        <v>2554</v>
      </c>
      <c r="D90" s="59" t="s">
        <v>395</v>
      </c>
      <c r="E90" s="59" t="s">
        <v>2554</v>
      </c>
      <c r="F90" s="31" t="s">
        <v>2921</v>
      </c>
      <c r="G90" s="60" t="s">
        <v>3446</v>
      </c>
      <c r="H90" s="31" t="s">
        <v>3447</v>
      </c>
      <c r="I90" s="31" t="s">
        <v>3448</v>
      </c>
      <c r="J90" s="59" t="s">
        <v>2804</v>
      </c>
      <c r="K90" s="59" t="s">
        <v>2554</v>
      </c>
      <c r="L90" s="31" t="s">
        <v>2522</v>
      </c>
      <c r="M90" s="31" t="s">
        <v>314</v>
      </c>
      <c r="N90" s="31" t="s">
        <v>314</v>
      </c>
      <c r="O90" s="31" t="s">
        <v>3449</v>
      </c>
      <c r="P90" s="31" t="s">
        <v>3450</v>
      </c>
      <c r="Q90" s="31" t="s">
        <v>3451</v>
      </c>
      <c r="R90" s="31" t="s">
        <v>3057</v>
      </c>
      <c r="S90" s="61" t="s">
        <v>2922</v>
      </c>
    </row>
    <row r="91" spans="1:19" ht="62" customHeight="1">
      <c r="A91" s="58" t="s">
        <v>2924</v>
      </c>
      <c r="B91" s="31" t="s">
        <v>2925</v>
      </c>
      <c r="C91" s="59" t="s">
        <v>2554</v>
      </c>
      <c r="D91" s="59" t="s">
        <v>395</v>
      </c>
      <c r="E91" s="59" t="s">
        <v>2554</v>
      </c>
      <c r="F91" s="31" t="s">
        <v>2926</v>
      </c>
      <c r="G91" s="60" t="s">
        <v>3452</v>
      </c>
      <c r="H91" s="31" t="s">
        <v>3453</v>
      </c>
      <c r="I91" s="31" t="s">
        <v>3454</v>
      </c>
      <c r="J91" s="59" t="s">
        <v>2804</v>
      </c>
      <c r="K91" s="59" t="s">
        <v>2554</v>
      </c>
      <c r="L91" s="31" t="s">
        <v>2522</v>
      </c>
      <c r="M91" s="31" t="s">
        <v>314</v>
      </c>
      <c r="N91" s="31" t="s">
        <v>314</v>
      </c>
      <c r="O91" s="31" t="s">
        <v>3455</v>
      </c>
      <c r="P91" s="31" t="s">
        <v>3456</v>
      </c>
      <c r="Q91" s="31" t="s">
        <v>3457</v>
      </c>
      <c r="R91" s="31" t="s">
        <v>3057</v>
      </c>
      <c r="S91" s="61" t="s">
        <v>2927</v>
      </c>
    </row>
    <row r="92" spans="1:19" ht="62" customHeight="1">
      <c r="A92" s="58" t="s">
        <v>704</v>
      </c>
      <c r="B92" s="31" t="s">
        <v>2929</v>
      </c>
      <c r="C92" s="59" t="s">
        <v>2554</v>
      </c>
      <c r="D92" s="59" t="s">
        <v>395</v>
      </c>
      <c r="E92" s="59" t="s">
        <v>2554</v>
      </c>
      <c r="F92" s="31" t="s">
        <v>2930</v>
      </c>
      <c r="G92" s="60" t="s">
        <v>3458</v>
      </c>
      <c r="H92" s="31" t="s">
        <v>3459</v>
      </c>
      <c r="I92" s="31" t="s">
        <v>3460</v>
      </c>
      <c r="J92" s="59" t="s">
        <v>2553</v>
      </c>
      <c r="K92" s="59" t="s">
        <v>2554</v>
      </c>
      <c r="L92" s="31" t="s">
        <v>2522</v>
      </c>
      <c r="M92" s="31" t="s">
        <v>314</v>
      </c>
      <c r="N92" s="31" t="s">
        <v>3461</v>
      </c>
      <c r="O92" s="31" t="s">
        <v>3462</v>
      </c>
      <c r="P92" s="31" t="s">
        <v>3463</v>
      </c>
      <c r="Q92" s="31" t="s">
        <v>3464</v>
      </c>
      <c r="R92" s="31" t="s">
        <v>3057</v>
      </c>
      <c r="S92" s="61" t="s">
        <v>2931</v>
      </c>
    </row>
    <row r="93" spans="1:19" ht="62" customHeight="1">
      <c r="A93" s="58" t="s">
        <v>2933</v>
      </c>
      <c r="B93" s="31" t="s">
        <v>2934</v>
      </c>
      <c r="C93" s="59" t="s">
        <v>2554</v>
      </c>
      <c r="D93" s="59" t="s">
        <v>395</v>
      </c>
      <c r="E93" s="59" t="s">
        <v>2554</v>
      </c>
      <c r="F93" s="31" t="s">
        <v>2935</v>
      </c>
      <c r="G93" s="60" t="s">
        <v>3465</v>
      </c>
      <c r="H93" s="31" t="s">
        <v>3466</v>
      </c>
      <c r="I93" s="31" t="s">
        <v>3467</v>
      </c>
      <c r="J93" s="59" t="s">
        <v>2553</v>
      </c>
      <c r="K93" s="59" t="s">
        <v>2554</v>
      </c>
      <c r="L93" s="31" t="s">
        <v>2522</v>
      </c>
      <c r="M93" s="31" t="s">
        <v>314</v>
      </c>
      <c r="N93" s="31" t="s">
        <v>314</v>
      </c>
      <c r="O93" s="31" t="s">
        <v>3468</v>
      </c>
      <c r="P93" s="31" t="s">
        <v>3469</v>
      </c>
      <c r="Q93" s="31" t="s">
        <v>3470</v>
      </c>
      <c r="R93" s="31" t="s">
        <v>3057</v>
      </c>
      <c r="S93" s="61" t="s">
        <v>2936</v>
      </c>
    </row>
    <row r="94" spans="1:19" ht="62" customHeight="1">
      <c r="A94" s="58" t="s">
        <v>2938</v>
      </c>
      <c r="B94" s="31" t="s">
        <v>2939</v>
      </c>
      <c r="C94" s="59" t="s">
        <v>2554</v>
      </c>
      <c r="D94" s="59" t="s">
        <v>395</v>
      </c>
      <c r="E94" s="59" t="s">
        <v>2554</v>
      </c>
      <c r="F94" s="31" t="s">
        <v>2940</v>
      </c>
      <c r="G94" s="60" t="s">
        <v>3471</v>
      </c>
      <c r="H94" s="31" t="s">
        <v>3472</v>
      </c>
      <c r="I94" s="31" t="s">
        <v>3473</v>
      </c>
      <c r="J94" s="59" t="s">
        <v>2553</v>
      </c>
      <c r="K94" s="59" t="s">
        <v>2554</v>
      </c>
      <c r="L94" s="31" t="s">
        <v>2522</v>
      </c>
      <c r="M94" s="31" t="s">
        <v>314</v>
      </c>
      <c r="N94" s="31" t="s">
        <v>314</v>
      </c>
      <c r="O94" s="31" t="s">
        <v>3474</v>
      </c>
      <c r="P94" s="31" t="s">
        <v>3475</v>
      </c>
      <c r="Q94" s="31" t="s">
        <v>3476</v>
      </c>
      <c r="R94" s="31" t="s">
        <v>3057</v>
      </c>
      <c r="S94" s="61" t="s">
        <v>2941</v>
      </c>
    </row>
    <row r="95" spans="1:19" ht="62" customHeight="1">
      <c r="A95" s="58" t="s">
        <v>2943</v>
      </c>
      <c r="B95" s="31" t="s">
        <v>2944</v>
      </c>
      <c r="C95" s="59" t="s">
        <v>2554</v>
      </c>
      <c r="D95" s="59" t="s">
        <v>395</v>
      </c>
      <c r="E95" s="59" t="s">
        <v>2554</v>
      </c>
      <c r="F95" s="31" t="s">
        <v>2945</v>
      </c>
      <c r="G95" s="60" t="s">
        <v>3477</v>
      </c>
      <c r="H95" s="31" t="s">
        <v>3478</v>
      </c>
      <c r="I95" s="31" t="s">
        <v>3479</v>
      </c>
      <c r="J95" s="59" t="s">
        <v>2553</v>
      </c>
      <c r="K95" s="59" t="s">
        <v>2554</v>
      </c>
      <c r="L95" s="31" t="s">
        <v>2522</v>
      </c>
      <c r="M95" s="31" t="s">
        <v>314</v>
      </c>
      <c r="N95" s="31" t="s">
        <v>314</v>
      </c>
      <c r="O95" s="31" t="s">
        <v>3480</v>
      </c>
      <c r="P95" s="31" t="s">
        <v>3481</v>
      </c>
      <c r="Q95" s="31" t="s">
        <v>3482</v>
      </c>
      <c r="R95" s="31" t="s">
        <v>3057</v>
      </c>
      <c r="S95" s="61" t="s">
        <v>2946</v>
      </c>
    </row>
  </sheetData>
  <autoFilter ref="A1:S95"/>
  <printOptions horizontalCentered="1"/>
  <pageMargins left="0.28" right="0.28" top="0.4" bottom="0.4" header="0.5" footer="0.5"/>
  <pageSetup paperSize="9" fitToWidth="1" fitToHeight="0" orientation="landscape"/>
</worksheet>
</file>

<file path=xl/worksheets/sheet4.xml><?xml version="1.0" encoding="utf-8"?>
<worksheet xmlns="http://schemas.openxmlformats.org/spreadsheetml/2006/main">
  <sheetPr>
    <tabColor rgb="FF7030A0"/>
    <outlinePr summaryBelow="1" summaryRight="1"/>
    <pageSetUpPr fitToPage="1"/>
  </sheetPr>
  <dimension ref="L283"/>
  <sheetViews>
    <sheetView showGridLines="1" workbookViewId="0">
      <pane xSplit="2" ySplit="1" topLeftCell="C2" activePane="bottomRight" state="frozen"/>
    </sheetView>
  </sheetViews>
  <sheetFormatPr baseColWidth="8" defaultRowHeight="15"/>
  <cols>
    <col min="1" max="1" width="10" customWidth="1"/>
    <col min="2" max="2" width="36" customWidth="1"/>
    <col min="3" max="3" width="14" customWidth="1"/>
    <col min="4" max="4" width="8" customWidth="1"/>
    <col min="5" max="5" width="26" customWidth="1"/>
    <col min="6" max="6" width="22" customWidth="1"/>
    <col min="7" max="7" width="12" customWidth="1"/>
    <col min="8" max="8" width="40" customWidth="1"/>
    <col min="9" max="9" width="14" customWidth="1"/>
    <col min="10" max="10" width="14" customWidth="1"/>
    <col min="11" max="11" width="12" customWidth="1"/>
    <col min="12" max="12" width="60" customWidth="1"/>
  </cols>
  <sheetData>
    <row r="1" spans="1:12" ht="34" customHeight="1">
      <c r="A1" s="12" t="s">
        <v>72</v>
      </c>
      <c r="B1" s="12" t="s">
        <v>73</v>
      </c>
      <c r="C1" s="12" t="s">
        <v>46</v>
      </c>
      <c r="D1" s="12" t="s">
        <v>3483</v>
      </c>
      <c r="E1" s="12" t="s">
        <v>48</v>
      </c>
      <c r="F1" s="12" t="s">
        <v>3484</v>
      </c>
      <c r="G1" s="12" t="s">
        <v>3485</v>
      </c>
      <c r="H1" s="12" t="s">
        <v>3486</v>
      </c>
      <c r="I1" s="12" t="s">
        <v>3487</v>
      </c>
      <c r="J1" s="12" t="s">
        <v>49</v>
      </c>
      <c r="K1" s="12" t="s">
        <v>50</v>
      </c>
      <c r="L1" s="12" t="s">
        <v>3488</v>
      </c>
    </row>
    <row r="2" spans="1:12">
      <c r="A2" s="58" t="s">
        <v>873</v>
      </c>
      <c r="B2" s="31" t="s">
        <v>2473</v>
      </c>
      <c r="C2" s="59" t="s">
        <v>99</v>
      </c>
      <c r="D2" s="59">
        <v>1</v>
      </c>
      <c r="E2" s="31" t="s">
        <v>3489</v>
      </c>
      <c r="F2" s="31" t="s">
        <v>3490</v>
      </c>
      <c r="G2" s="62" t="s">
        <v>873</v>
      </c>
      <c r="H2" s="31" t="s">
        <v>314</v>
      </c>
      <c r="I2" s="59" t="s">
        <v>314</v>
      </c>
      <c r="J2" s="31" t="s">
        <v>314</v>
      </c>
      <c r="K2" s="31" t="s">
        <v>314</v>
      </c>
      <c r="L2" s="31" t="s">
        <v>2473</v>
      </c>
    </row>
    <row r="3" spans="1:12">
      <c r="A3" s="58" t="s">
        <v>873</v>
      </c>
      <c r="B3" s="31" t="s">
        <v>2473</v>
      </c>
      <c r="C3" s="59" t="s">
        <v>99</v>
      </c>
      <c r="D3" s="59">
        <v>2</v>
      </c>
      <c r="E3" s="31" t="s">
        <v>870</v>
      </c>
      <c r="F3" s="31" t="s">
        <v>3491</v>
      </c>
      <c r="G3" s="62" t="s">
        <v>868</v>
      </c>
      <c r="H3" s="31" t="s">
        <v>314</v>
      </c>
      <c r="I3" s="59" t="s">
        <v>314</v>
      </c>
      <c r="J3" s="31" t="s">
        <v>314</v>
      </c>
      <c r="K3" s="31" t="s">
        <v>314</v>
      </c>
      <c r="L3" s="31" t="s">
        <v>3492</v>
      </c>
    </row>
    <row r="4" spans="1:12">
      <c r="A4" s="58" t="s">
        <v>873</v>
      </c>
      <c r="B4" s="31" t="s">
        <v>2473</v>
      </c>
      <c r="C4" s="59" t="s">
        <v>99</v>
      </c>
      <c r="D4" s="59">
        <v>3</v>
      </c>
      <c r="E4" s="31" t="s">
        <v>878</v>
      </c>
      <c r="F4" s="31" t="s">
        <v>3493</v>
      </c>
      <c r="G4" s="62" t="s">
        <v>876</v>
      </c>
      <c r="H4" s="31" t="s">
        <v>314</v>
      </c>
      <c r="I4" s="59" t="s">
        <v>314</v>
      </c>
      <c r="J4" s="31" t="s">
        <v>314</v>
      </c>
      <c r="K4" s="31" t="s">
        <v>314</v>
      </c>
      <c r="L4" s="31" t="s">
        <v>877</v>
      </c>
    </row>
    <row r="5" spans="1:12">
      <c r="A5" s="58" t="s">
        <v>550</v>
      </c>
      <c r="B5" s="31" t="s">
        <v>533</v>
      </c>
      <c r="C5" s="59" t="s">
        <v>99</v>
      </c>
      <c r="D5" s="59">
        <v>1</v>
      </c>
      <c r="E5" s="31" t="s">
        <v>534</v>
      </c>
      <c r="F5" s="31" t="s">
        <v>3490</v>
      </c>
      <c r="G5" s="62" t="s">
        <v>550</v>
      </c>
      <c r="H5" s="31" t="s">
        <v>314</v>
      </c>
      <c r="I5" s="59" t="s">
        <v>536</v>
      </c>
      <c r="J5" s="31" t="s">
        <v>314</v>
      </c>
      <c r="K5" s="31" t="s">
        <v>314</v>
      </c>
      <c r="L5" s="31" t="s">
        <v>3494</v>
      </c>
    </row>
    <row r="6" spans="1:12">
      <c r="A6" s="58" t="s">
        <v>550</v>
      </c>
      <c r="B6" s="31" t="s">
        <v>533</v>
      </c>
      <c r="C6" s="59" t="s">
        <v>99</v>
      </c>
      <c r="D6" s="59">
        <v>2</v>
      </c>
      <c r="E6" s="31" t="s">
        <v>545</v>
      </c>
      <c r="F6" s="31" t="s">
        <v>3495</v>
      </c>
      <c r="G6" s="62" t="s">
        <v>543</v>
      </c>
      <c r="H6" s="31" t="s">
        <v>314</v>
      </c>
      <c r="I6" s="59" t="s">
        <v>314</v>
      </c>
      <c r="J6" s="31" t="s">
        <v>314</v>
      </c>
      <c r="K6" s="31" t="s">
        <v>314</v>
      </c>
      <c r="L6" s="31" t="s">
        <v>544</v>
      </c>
    </row>
    <row r="7" spans="1:12">
      <c r="A7" s="58" t="s">
        <v>550</v>
      </c>
      <c r="B7" s="31" t="s">
        <v>533</v>
      </c>
      <c r="C7" s="59" t="s">
        <v>99</v>
      </c>
      <c r="D7" s="59">
        <v>3</v>
      </c>
      <c r="E7" s="31" t="s">
        <v>555</v>
      </c>
      <c r="F7" s="31" t="s">
        <v>3496</v>
      </c>
      <c r="G7" s="62" t="s">
        <v>553</v>
      </c>
      <c r="H7" s="31" t="s">
        <v>314</v>
      </c>
      <c r="I7" s="59" t="s">
        <v>314</v>
      </c>
      <c r="J7" s="31" t="s">
        <v>314</v>
      </c>
      <c r="K7" s="31" t="s">
        <v>314</v>
      </c>
      <c r="L7" s="31" t="s">
        <v>3497</v>
      </c>
    </row>
    <row r="8" spans="1:12">
      <c r="A8" s="58" t="s">
        <v>550</v>
      </c>
      <c r="B8" s="31" t="s">
        <v>533</v>
      </c>
      <c r="C8" s="59" t="s">
        <v>99</v>
      </c>
      <c r="D8" s="59">
        <v>4</v>
      </c>
      <c r="E8" s="31" t="s">
        <v>564</v>
      </c>
      <c r="F8" s="31" t="s">
        <v>3498</v>
      </c>
      <c r="G8" s="62" t="s">
        <v>562</v>
      </c>
      <c r="H8" s="31" t="s">
        <v>314</v>
      </c>
      <c r="I8" s="59" t="s">
        <v>314</v>
      </c>
      <c r="J8" s="31" t="s">
        <v>314</v>
      </c>
      <c r="K8" s="31" t="s">
        <v>314</v>
      </c>
      <c r="L8" s="31" t="s">
        <v>3499</v>
      </c>
    </row>
    <row r="9" spans="1:12">
      <c r="A9" s="58" t="s">
        <v>828</v>
      </c>
      <c r="B9" s="31" t="s">
        <v>2482</v>
      </c>
      <c r="C9" s="59" t="s">
        <v>99</v>
      </c>
      <c r="D9" s="59">
        <v>1</v>
      </c>
      <c r="E9" s="31" t="s">
        <v>818</v>
      </c>
      <c r="F9" s="31" t="s">
        <v>3490</v>
      </c>
      <c r="G9" s="62" t="s">
        <v>828</v>
      </c>
      <c r="H9" s="31" t="s">
        <v>314</v>
      </c>
      <c r="I9" s="59" t="s">
        <v>3500</v>
      </c>
      <c r="J9" s="31" t="s">
        <v>314</v>
      </c>
      <c r="K9" s="31" t="s">
        <v>314</v>
      </c>
      <c r="L9" s="31" t="s">
        <v>3501</v>
      </c>
    </row>
    <row r="10" spans="1:12">
      <c r="A10" s="58" t="s">
        <v>828</v>
      </c>
      <c r="B10" s="31" t="s">
        <v>2482</v>
      </c>
      <c r="C10" s="59" t="s">
        <v>99</v>
      </c>
      <c r="D10" s="59">
        <v>2</v>
      </c>
      <c r="E10" s="31" t="s">
        <v>826</v>
      </c>
      <c r="F10" s="31" t="s">
        <v>3502</v>
      </c>
      <c r="G10" s="62" t="s">
        <v>824</v>
      </c>
      <c r="H10" s="31" t="s">
        <v>314</v>
      </c>
      <c r="I10" s="59" t="s">
        <v>3500</v>
      </c>
      <c r="J10" s="31" t="s">
        <v>314</v>
      </c>
      <c r="K10" s="31" t="s">
        <v>314</v>
      </c>
      <c r="L10" s="31" t="s">
        <v>3503</v>
      </c>
    </row>
    <row r="11" spans="1:12">
      <c r="A11" s="58" t="s">
        <v>828</v>
      </c>
      <c r="B11" s="31" t="s">
        <v>2482</v>
      </c>
      <c r="C11" s="59" t="s">
        <v>99</v>
      </c>
      <c r="D11" s="59">
        <v>3</v>
      </c>
      <c r="E11" s="31" t="s">
        <v>832</v>
      </c>
      <c r="F11" s="31" t="s">
        <v>3502</v>
      </c>
      <c r="G11" s="62" t="s">
        <v>830</v>
      </c>
      <c r="H11" s="31" t="s">
        <v>314</v>
      </c>
      <c r="I11" s="59" t="s">
        <v>3500</v>
      </c>
      <c r="J11" s="31" t="s">
        <v>314</v>
      </c>
      <c r="K11" s="31" t="s">
        <v>314</v>
      </c>
      <c r="L11" s="31" t="s">
        <v>3504</v>
      </c>
    </row>
    <row r="12" spans="1:12">
      <c r="A12" s="58" t="s">
        <v>828</v>
      </c>
      <c r="B12" s="31" t="s">
        <v>2482</v>
      </c>
      <c r="C12" s="59" t="s">
        <v>99</v>
      </c>
      <c r="D12" s="59">
        <v>4</v>
      </c>
      <c r="E12" s="31" t="s">
        <v>837</v>
      </c>
      <c r="F12" s="31" t="s">
        <v>3502</v>
      </c>
      <c r="G12" s="62" t="s">
        <v>835</v>
      </c>
      <c r="H12" s="31" t="s">
        <v>314</v>
      </c>
      <c r="I12" s="59" t="s">
        <v>3500</v>
      </c>
      <c r="J12" s="31" t="s">
        <v>314</v>
      </c>
      <c r="K12" s="31" t="s">
        <v>314</v>
      </c>
      <c r="L12" s="31" t="s">
        <v>3505</v>
      </c>
    </row>
    <row r="13" spans="1:12">
      <c r="A13" s="58" t="s">
        <v>828</v>
      </c>
      <c r="B13" s="31" t="s">
        <v>2482</v>
      </c>
      <c r="C13" s="59" t="s">
        <v>99</v>
      </c>
      <c r="D13" s="59">
        <v>5</v>
      </c>
      <c r="E13" s="31" t="s">
        <v>842</v>
      </c>
      <c r="F13" s="31" t="s">
        <v>3506</v>
      </c>
      <c r="G13" s="62" t="s">
        <v>840</v>
      </c>
      <c r="H13" s="31" t="s">
        <v>314</v>
      </c>
      <c r="I13" s="59" t="s">
        <v>3500</v>
      </c>
      <c r="J13" s="31" t="s">
        <v>314</v>
      </c>
      <c r="K13" s="31" t="s">
        <v>314</v>
      </c>
      <c r="L13" s="31" t="s">
        <v>3507</v>
      </c>
    </row>
    <row r="14" spans="1:12">
      <c r="A14" s="58" t="s">
        <v>828</v>
      </c>
      <c r="B14" s="31" t="s">
        <v>2482</v>
      </c>
      <c r="C14" s="59" t="s">
        <v>99</v>
      </c>
      <c r="D14" s="59">
        <v>6</v>
      </c>
      <c r="E14" s="31" t="s">
        <v>847</v>
      </c>
      <c r="F14" s="31" t="s">
        <v>3502</v>
      </c>
      <c r="G14" s="62" t="s">
        <v>845</v>
      </c>
      <c r="H14" s="31" t="s">
        <v>314</v>
      </c>
      <c r="I14" s="59" t="s">
        <v>3500</v>
      </c>
      <c r="J14" s="31" t="s">
        <v>314</v>
      </c>
      <c r="K14" s="31" t="s">
        <v>314</v>
      </c>
      <c r="L14" s="31" t="s">
        <v>3508</v>
      </c>
    </row>
    <row r="15" spans="1:12">
      <c r="A15" s="58" t="s">
        <v>828</v>
      </c>
      <c r="B15" s="31" t="s">
        <v>2482</v>
      </c>
      <c r="C15" s="59" t="s">
        <v>99</v>
      </c>
      <c r="D15" s="59">
        <v>7</v>
      </c>
      <c r="E15" s="31" t="s">
        <v>852</v>
      </c>
      <c r="F15" s="31" t="s">
        <v>3506</v>
      </c>
      <c r="G15" s="62" t="s">
        <v>850</v>
      </c>
      <c r="H15" s="31" t="s">
        <v>314</v>
      </c>
      <c r="I15" s="59" t="s">
        <v>3500</v>
      </c>
      <c r="J15" s="31" t="s">
        <v>314</v>
      </c>
      <c r="K15" s="31" t="s">
        <v>314</v>
      </c>
      <c r="L15" s="31" t="s">
        <v>3509</v>
      </c>
    </row>
    <row r="16" spans="1:12">
      <c r="A16" s="58" t="s">
        <v>828</v>
      </c>
      <c r="B16" s="31" t="s">
        <v>2482</v>
      </c>
      <c r="C16" s="59" t="s">
        <v>99</v>
      </c>
      <c r="D16" s="59">
        <v>8</v>
      </c>
      <c r="E16" s="31" t="s">
        <v>857</v>
      </c>
      <c r="F16" s="31" t="s">
        <v>3506</v>
      </c>
      <c r="G16" s="62" t="s">
        <v>855</v>
      </c>
      <c r="H16" s="31" t="s">
        <v>314</v>
      </c>
      <c r="I16" s="59" t="s">
        <v>3500</v>
      </c>
      <c r="J16" s="31" t="s">
        <v>314</v>
      </c>
      <c r="K16" s="31" t="s">
        <v>314</v>
      </c>
      <c r="L16" s="31" t="s">
        <v>3510</v>
      </c>
    </row>
    <row r="17" spans="1:12">
      <c r="A17" s="58" t="s">
        <v>931</v>
      </c>
      <c r="B17" s="31" t="s">
        <v>2486</v>
      </c>
      <c r="C17" s="59" t="s">
        <v>99</v>
      </c>
      <c r="D17" s="59">
        <v>1</v>
      </c>
      <c r="E17" s="31" t="s">
        <v>3511</v>
      </c>
      <c r="F17" s="31" t="s">
        <v>3490</v>
      </c>
      <c r="G17" s="62" t="s">
        <v>931</v>
      </c>
      <c r="H17" s="31" t="s">
        <v>314</v>
      </c>
      <c r="I17" s="59" t="s">
        <v>3512</v>
      </c>
      <c r="J17" s="31" t="s">
        <v>314</v>
      </c>
      <c r="K17" s="31" t="s">
        <v>314</v>
      </c>
      <c r="L17" s="31" t="s">
        <v>2486</v>
      </c>
    </row>
    <row r="18" spans="1:12">
      <c r="A18" s="58" t="s">
        <v>931</v>
      </c>
      <c r="B18" s="31" t="s">
        <v>2486</v>
      </c>
      <c r="C18" s="59" t="s">
        <v>99</v>
      </c>
      <c r="D18" s="59">
        <v>2</v>
      </c>
      <c r="E18" s="31" t="s">
        <v>818</v>
      </c>
      <c r="F18" s="31" t="s">
        <v>3491</v>
      </c>
      <c r="G18" s="62" t="s">
        <v>816</v>
      </c>
      <c r="H18" s="31" t="s">
        <v>314</v>
      </c>
      <c r="I18" s="59" t="s">
        <v>820</v>
      </c>
      <c r="J18" s="31" t="s">
        <v>314</v>
      </c>
      <c r="K18" s="31" t="s">
        <v>314</v>
      </c>
      <c r="L18" s="31" t="s">
        <v>3513</v>
      </c>
    </row>
    <row r="19" spans="1:12">
      <c r="A19" s="58" t="s">
        <v>931</v>
      </c>
      <c r="B19" s="31" t="s">
        <v>2486</v>
      </c>
      <c r="C19" s="59" t="s">
        <v>99</v>
      </c>
      <c r="D19" s="59">
        <v>3</v>
      </c>
      <c r="E19" s="31" t="s">
        <v>534</v>
      </c>
      <c r="F19" s="31" t="s">
        <v>3493</v>
      </c>
      <c r="G19" s="62" t="s">
        <v>532</v>
      </c>
      <c r="H19" s="31" t="s">
        <v>314</v>
      </c>
      <c r="I19" s="59" t="s">
        <v>536</v>
      </c>
      <c r="J19" s="31" t="s">
        <v>314</v>
      </c>
      <c r="K19" s="31" t="s">
        <v>314</v>
      </c>
      <c r="L19" s="31" t="s">
        <v>3494</v>
      </c>
    </row>
    <row r="20" spans="1:12">
      <c r="A20" s="58" t="s">
        <v>473</v>
      </c>
      <c r="B20" s="31" t="s">
        <v>2491</v>
      </c>
      <c r="C20" s="59" t="s">
        <v>99</v>
      </c>
      <c r="D20" s="59">
        <v>1</v>
      </c>
      <c r="E20" s="31" t="s">
        <v>3514</v>
      </c>
      <c r="F20" s="31" t="s">
        <v>3490</v>
      </c>
      <c r="G20" s="62" t="s">
        <v>473</v>
      </c>
      <c r="H20" s="31" t="s">
        <v>314</v>
      </c>
      <c r="I20" s="59" t="s">
        <v>314</v>
      </c>
      <c r="J20" s="31" t="s">
        <v>314</v>
      </c>
      <c r="K20" s="31" t="s">
        <v>314</v>
      </c>
      <c r="L20" s="31" t="s">
        <v>2491</v>
      </c>
    </row>
    <row r="21" spans="1:12">
      <c r="A21" s="58" t="s">
        <v>473</v>
      </c>
      <c r="B21" s="31" t="s">
        <v>2491</v>
      </c>
      <c r="C21" s="59" t="s">
        <v>99</v>
      </c>
      <c r="D21" s="59">
        <v>2</v>
      </c>
      <c r="E21" s="31" t="s">
        <v>579</v>
      </c>
      <c r="F21" s="31" t="s">
        <v>3491</v>
      </c>
      <c r="G21" s="62" t="s">
        <v>591</v>
      </c>
      <c r="H21" s="31" t="s">
        <v>314</v>
      </c>
      <c r="I21" s="59" t="s">
        <v>536</v>
      </c>
      <c r="J21" s="31" t="s">
        <v>314</v>
      </c>
      <c r="K21" s="31" t="s">
        <v>314</v>
      </c>
      <c r="L21" s="31" t="s">
        <v>3515</v>
      </c>
    </row>
    <row r="22" spans="1:12">
      <c r="A22" s="58" t="s">
        <v>473</v>
      </c>
      <c r="B22" s="31" t="s">
        <v>2491</v>
      </c>
      <c r="C22" s="59" t="s">
        <v>99</v>
      </c>
      <c r="D22" s="59">
        <v>3</v>
      </c>
      <c r="E22" s="31" t="s">
        <v>534</v>
      </c>
      <c r="F22" s="31" t="s">
        <v>3493</v>
      </c>
      <c r="G22" s="62" t="s">
        <v>585</v>
      </c>
      <c r="H22" s="31" t="s">
        <v>314</v>
      </c>
      <c r="I22" s="59" t="s">
        <v>536</v>
      </c>
      <c r="J22" s="31" t="s">
        <v>314</v>
      </c>
      <c r="K22" s="31" t="s">
        <v>314</v>
      </c>
      <c r="L22" s="31" t="s">
        <v>3516</v>
      </c>
    </row>
    <row r="23" spans="1:12">
      <c r="A23" s="58" t="s">
        <v>482</v>
      </c>
      <c r="B23" s="31" t="s">
        <v>2495</v>
      </c>
      <c r="C23" s="59" t="s">
        <v>99</v>
      </c>
      <c r="D23" s="59">
        <v>1</v>
      </c>
      <c r="E23" s="31" t="s">
        <v>3517</v>
      </c>
      <c r="F23" s="31" t="s">
        <v>3490</v>
      </c>
      <c r="G23" s="62" t="s">
        <v>482</v>
      </c>
      <c r="H23" s="31" t="s">
        <v>314</v>
      </c>
      <c r="I23" s="59" t="s">
        <v>314</v>
      </c>
      <c r="J23" s="31" t="s">
        <v>314</v>
      </c>
      <c r="K23" s="31" t="s">
        <v>314</v>
      </c>
      <c r="L23" s="31" t="s">
        <v>2495</v>
      </c>
    </row>
    <row r="24" spans="1:12">
      <c r="A24" s="58" t="s">
        <v>482</v>
      </c>
      <c r="B24" s="31" t="s">
        <v>2495</v>
      </c>
      <c r="C24" s="59" t="s">
        <v>99</v>
      </c>
      <c r="D24" s="59">
        <v>2</v>
      </c>
      <c r="E24" s="31" t="s">
        <v>478</v>
      </c>
      <c r="F24" s="31" t="s">
        <v>3491</v>
      </c>
      <c r="G24" s="62" t="s">
        <v>476</v>
      </c>
      <c r="H24" s="31" t="s">
        <v>314</v>
      </c>
      <c r="I24" s="59" t="s">
        <v>442</v>
      </c>
      <c r="J24" s="31" t="s">
        <v>314</v>
      </c>
      <c r="K24" s="31" t="s">
        <v>314</v>
      </c>
      <c r="L24" s="31" t="s">
        <v>3518</v>
      </c>
    </row>
    <row r="25" spans="1:12">
      <c r="A25" s="58" t="s">
        <v>482</v>
      </c>
      <c r="B25" s="31" t="s">
        <v>2495</v>
      </c>
      <c r="C25" s="59" t="s">
        <v>99</v>
      </c>
      <c r="D25" s="59">
        <v>3</v>
      </c>
      <c r="E25" s="31" t="s">
        <v>599</v>
      </c>
      <c r="F25" s="31" t="s">
        <v>3493</v>
      </c>
      <c r="G25" s="62" t="s">
        <v>597</v>
      </c>
      <c r="H25" s="31" t="s">
        <v>314</v>
      </c>
      <c r="I25" s="59" t="s">
        <v>3519</v>
      </c>
      <c r="J25" s="31" t="s">
        <v>314</v>
      </c>
      <c r="K25" s="31" t="s">
        <v>314</v>
      </c>
      <c r="L25" s="31" t="s">
        <v>3520</v>
      </c>
    </row>
    <row r="26" spans="1:12">
      <c r="A26" s="58" t="s">
        <v>742</v>
      </c>
      <c r="B26" s="31" t="s">
        <v>2499</v>
      </c>
      <c r="C26" s="59" t="s">
        <v>99</v>
      </c>
      <c r="D26" s="59">
        <v>1</v>
      </c>
      <c r="E26" s="31" t="s">
        <v>3521</v>
      </c>
      <c r="F26" s="31" t="s">
        <v>3490</v>
      </c>
      <c r="G26" s="62" t="s">
        <v>742</v>
      </c>
      <c r="H26" s="31" t="s">
        <v>314</v>
      </c>
      <c r="I26" s="59" t="s">
        <v>3522</v>
      </c>
      <c r="J26" s="31" t="s">
        <v>314</v>
      </c>
      <c r="K26" s="31" t="s">
        <v>314</v>
      </c>
      <c r="L26" s="31" t="s">
        <v>3523</v>
      </c>
    </row>
    <row r="27" spans="1:12">
      <c r="A27" s="58" t="s">
        <v>742</v>
      </c>
      <c r="B27" s="31" t="s">
        <v>2499</v>
      </c>
      <c r="C27" s="59" t="s">
        <v>99</v>
      </c>
      <c r="D27" s="59">
        <v>2</v>
      </c>
      <c r="E27" s="31" t="s">
        <v>534</v>
      </c>
      <c r="F27" s="31" t="s">
        <v>3491</v>
      </c>
      <c r="G27" s="62" t="s">
        <v>532</v>
      </c>
      <c r="H27" s="31" t="s">
        <v>314</v>
      </c>
      <c r="I27" s="59" t="s">
        <v>536</v>
      </c>
      <c r="J27" s="31" t="s">
        <v>314</v>
      </c>
      <c r="K27" s="31" t="s">
        <v>314</v>
      </c>
      <c r="L27" s="31" t="s">
        <v>3524</v>
      </c>
    </row>
    <row r="28" spans="1:12">
      <c r="A28" s="58" t="s">
        <v>742</v>
      </c>
      <c r="B28" s="31" t="s">
        <v>2499</v>
      </c>
      <c r="C28" s="59" t="s">
        <v>99</v>
      </c>
      <c r="D28" s="59">
        <v>3</v>
      </c>
      <c r="E28" s="31" t="s">
        <v>735</v>
      </c>
      <c r="F28" s="31" t="s">
        <v>3525</v>
      </c>
      <c r="G28" s="62" t="s">
        <v>733</v>
      </c>
      <c r="H28" s="31" t="s">
        <v>314</v>
      </c>
      <c r="I28" s="59" t="s">
        <v>738</v>
      </c>
      <c r="J28" s="31" t="s">
        <v>314</v>
      </c>
      <c r="K28" s="31" t="s">
        <v>314</v>
      </c>
      <c r="L28" s="31" t="s">
        <v>3526</v>
      </c>
    </row>
    <row r="29" spans="1:12">
      <c r="A29" s="58" t="s">
        <v>905</v>
      </c>
      <c r="B29" s="31" t="s">
        <v>2504</v>
      </c>
      <c r="C29" s="59" t="s">
        <v>99</v>
      </c>
      <c r="D29" s="59">
        <v>1</v>
      </c>
      <c r="E29" s="31" t="s">
        <v>3527</v>
      </c>
      <c r="F29" s="31" t="s">
        <v>3490</v>
      </c>
      <c r="G29" s="62" t="s">
        <v>905</v>
      </c>
      <c r="H29" s="31" t="s">
        <v>314</v>
      </c>
      <c r="I29" s="59" t="s">
        <v>314</v>
      </c>
      <c r="J29" s="31" t="s">
        <v>314</v>
      </c>
      <c r="K29" s="31" t="s">
        <v>314</v>
      </c>
      <c r="L29" s="31" t="s">
        <v>2504</v>
      </c>
    </row>
    <row r="30" spans="1:12">
      <c r="A30" s="58" t="s">
        <v>905</v>
      </c>
      <c r="B30" s="31" t="s">
        <v>2504</v>
      </c>
      <c r="C30" s="59" t="s">
        <v>99</v>
      </c>
      <c r="D30" s="59">
        <v>2</v>
      </c>
      <c r="E30" s="31" t="s">
        <v>898</v>
      </c>
      <c r="F30" s="31" t="s">
        <v>3491</v>
      </c>
      <c r="G30" s="62" t="s">
        <v>895</v>
      </c>
      <c r="H30" s="31" t="s">
        <v>314</v>
      </c>
      <c r="I30" s="59" t="s">
        <v>901</v>
      </c>
      <c r="J30" s="31" t="s">
        <v>314</v>
      </c>
      <c r="K30" s="31" t="s">
        <v>314</v>
      </c>
      <c r="L30" s="31" t="s">
        <v>3528</v>
      </c>
    </row>
    <row r="31" spans="1:12">
      <c r="A31" s="58" t="s">
        <v>905</v>
      </c>
      <c r="B31" s="31" t="s">
        <v>2504</v>
      </c>
      <c r="C31" s="59" t="s">
        <v>99</v>
      </c>
      <c r="D31" s="59">
        <v>3</v>
      </c>
      <c r="E31" s="31" t="s">
        <v>910</v>
      </c>
      <c r="F31" s="31" t="s">
        <v>3493</v>
      </c>
      <c r="G31" s="62" t="s">
        <v>908</v>
      </c>
      <c r="H31" s="31" t="s">
        <v>314</v>
      </c>
      <c r="I31" s="59" t="s">
        <v>901</v>
      </c>
      <c r="J31" s="31" t="s">
        <v>314</v>
      </c>
      <c r="K31" s="31" t="s">
        <v>314</v>
      </c>
      <c r="L31" s="31" t="s">
        <v>3529</v>
      </c>
    </row>
    <row r="32" spans="1:12">
      <c r="A32" s="58" t="s">
        <v>751</v>
      </c>
      <c r="B32" s="31" t="s">
        <v>2508</v>
      </c>
      <c r="C32" s="59" t="s">
        <v>99</v>
      </c>
      <c r="D32" s="59">
        <v>1</v>
      </c>
      <c r="E32" s="31" t="s">
        <v>3530</v>
      </c>
      <c r="F32" s="31" t="s">
        <v>3490</v>
      </c>
      <c r="G32" s="62" t="s">
        <v>751</v>
      </c>
      <c r="H32" s="31" t="s">
        <v>314</v>
      </c>
      <c r="I32" s="59" t="s">
        <v>3531</v>
      </c>
      <c r="J32" s="31" t="s">
        <v>314</v>
      </c>
      <c r="K32" s="31" t="s">
        <v>314</v>
      </c>
      <c r="L32" s="31" t="s">
        <v>3532</v>
      </c>
    </row>
    <row r="33" spans="1:12">
      <c r="A33" s="58" t="s">
        <v>751</v>
      </c>
      <c r="B33" s="31" t="s">
        <v>2508</v>
      </c>
      <c r="C33" s="59" t="s">
        <v>99</v>
      </c>
      <c r="D33" s="59">
        <v>2</v>
      </c>
      <c r="E33" s="31" t="s">
        <v>534</v>
      </c>
      <c r="F33" s="31" t="s">
        <v>3491</v>
      </c>
      <c r="G33" s="62" t="s">
        <v>532</v>
      </c>
      <c r="H33" s="31" t="s">
        <v>314</v>
      </c>
      <c r="I33" s="59" t="s">
        <v>536</v>
      </c>
      <c r="J33" s="31" t="s">
        <v>314</v>
      </c>
      <c r="K33" s="31" t="s">
        <v>314</v>
      </c>
      <c r="L33" s="31" t="s">
        <v>3524</v>
      </c>
    </row>
    <row r="34" spans="1:12">
      <c r="A34" s="58" t="s">
        <v>751</v>
      </c>
      <c r="B34" s="31" t="s">
        <v>2508</v>
      </c>
      <c r="C34" s="59" t="s">
        <v>99</v>
      </c>
      <c r="D34" s="59">
        <v>3</v>
      </c>
      <c r="E34" s="31" t="s">
        <v>746</v>
      </c>
      <c r="F34" s="31" t="s">
        <v>3525</v>
      </c>
      <c r="G34" s="62" t="s">
        <v>744</v>
      </c>
      <c r="H34" s="31" t="s">
        <v>314</v>
      </c>
      <c r="I34" s="59" t="s">
        <v>738</v>
      </c>
      <c r="J34" s="31" t="s">
        <v>314</v>
      </c>
      <c r="K34" s="31" t="s">
        <v>314</v>
      </c>
      <c r="L34" s="31" t="s">
        <v>3533</v>
      </c>
    </row>
    <row r="35" spans="1:12">
      <c r="A35" s="58" t="s">
        <v>635</v>
      </c>
      <c r="B35" s="31" t="s">
        <v>2517</v>
      </c>
      <c r="C35" s="59" t="s">
        <v>103</v>
      </c>
      <c r="D35" s="59">
        <v>1</v>
      </c>
      <c r="E35" s="31" t="s">
        <v>3534</v>
      </c>
      <c r="F35" s="31" t="s">
        <v>3490</v>
      </c>
      <c r="G35" s="62" t="s">
        <v>635</v>
      </c>
      <c r="H35" s="31" t="s">
        <v>314</v>
      </c>
      <c r="I35" s="59" t="s">
        <v>3535</v>
      </c>
      <c r="J35" s="31" t="s">
        <v>3536</v>
      </c>
      <c r="K35" s="31" t="s">
        <v>314</v>
      </c>
      <c r="L35" s="31" t="s">
        <v>3537</v>
      </c>
    </row>
    <row r="36" spans="1:12">
      <c r="A36" s="58" t="s">
        <v>635</v>
      </c>
      <c r="B36" s="31" t="s">
        <v>2517</v>
      </c>
      <c r="C36" s="59" t="s">
        <v>103</v>
      </c>
      <c r="D36" s="59">
        <v>2</v>
      </c>
      <c r="E36" s="31" t="s">
        <v>534</v>
      </c>
      <c r="F36" s="31" t="s">
        <v>3491</v>
      </c>
      <c r="G36" s="62" t="s">
        <v>1571</v>
      </c>
      <c r="H36" s="31" t="s">
        <v>314</v>
      </c>
      <c r="I36" s="59" t="s">
        <v>536</v>
      </c>
      <c r="J36" s="31" t="s">
        <v>3536</v>
      </c>
      <c r="K36" s="31" t="s">
        <v>314</v>
      </c>
      <c r="L36" s="31" t="s">
        <v>3524</v>
      </c>
    </row>
    <row r="37" spans="1:12">
      <c r="A37" s="58" t="s">
        <v>635</v>
      </c>
      <c r="B37" s="31" t="s">
        <v>2517</v>
      </c>
      <c r="C37" s="59" t="s">
        <v>103</v>
      </c>
      <c r="D37" s="59">
        <v>3</v>
      </c>
      <c r="E37" s="31" t="s">
        <v>668</v>
      </c>
      <c r="F37" s="31" t="s">
        <v>3538</v>
      </c>
      <c r="G37" s="62" t="s">
        <v>1558</v>
      </c>
      <c r="H37" s="31" t="s">
        <v>314</v>
      </c>
      <c r="I37" s="59" t="s">
        <v>3539</v>
      </c>
      <c r="J37" s="31" t="s">
        <v>3536</v>
      </c>
      <c r="K37" s="31" t="s">
        <v>314</v>
      </c>
      <c r="L37" s="31" t="s">
        <v>3540</v>
      </c>
    </row>
    <row r="38" spans="1:12">
      <c r="A38" s="58" t="s">
        <v>2525</v>
      </c>
      <c r="B38" s="31" t="s">
        <v>2526</v>
      </c>
      <c r="C38" s="59" t="s">
        <v>103</v>
      </c>
      <c r="D38" s="59">
        <v>1</v>
      </c>
      <c r="E38" s="31" t="s">
        <v>3541</v>
      </c>
      <c r="F38" s="31" t="s">
        <v>3490</v>
      </c>
      <c r="G38" s="62" t="s">
        <v>2525</v>
      </c>
      <c r="H38" s="31" t="s">
        <v>314</v>
      </c>
      <c r="I38" s="59" t="s">
        <v>3542</v>
      </c>
      <c r="J38" s="31" t="s">
        <v>314</v>
      </c>
      <c r="K38" s="31" t="s">
        <v>314</v>
      </c>
      <c r="L38" s="31" t="s">
        <v>3543</v>
      </c>
    </row>
    <row r="39" spans="1:12">
      <c r="A39" s="58" t="s">
        <v>2525</v>
      </c>
      <c r="B39" s="31" t="s">
        <v>2526</v>
      </c>
      <c r="C39" s="59" t="s">
        <v>103</v>
      </c>
      <c r="D39" s="59">
        <v>2</v>
      </c>
      <c r="E39" s="31" t="s">
        <v>439</v>
      </c>
      <c r="F39" s="31" t="s">
        <v>3491</v>
      </c>
      <c r="G39" s="62" t="s">
        <v>1578</v>
      </c>
      <c r="H39" s="31" t="s">
        <v>314</v>
      </c>
      <c r="I39" s="59" t="s">
        <v>442</v>
      </c>
      <c r="J39" s="31" t="s">
        <v>314</v>
      </c>
      <c r="K39" s="31" t="s">
        <v>314</v>
      </c>
      <c r="L39" s="31" t="s">
        <v>3544</v>
      </c>
    </row>
    <row r="40" spans="1:12">
      <c r="A40" s="58" t="s">
        <v>2525</v>
      </c>
      <c r="B40" s="31" t="s">
        <v>2526</v>
      </c>
      <c r="C40" s="59" t="s">
        <v>103</v>
      </c>
      <c r="D40" s="59">
        <v>3</v>
      </c>
      <c r="E40" s="31" t="s">
        <v>668</v>
      </c>
      <c r="F40" s="31" t="s">
        <v>3538</v>
      </c>
      <c r="G40" s="62" t="s">
        <v>1558</v>
      </c>
      <c r="H40" s="31" t="s">
        <v>314</v>
      </c>
      <c r="I40" s="59" t="s">
        <v>3539</v>
      </c>
      <c r="J40" s="31" t="s">
        <v>314</v>
      </c>
      <c r="K40" s="31" t="s">
        <v>314</v>
      </c>
      <c r="L40" s="31" t="s">
        <v>3540</v>
      </c>
    </row>
    <row r="41" spans="1:12">
      <c r="A41" s="58" t="s">
        <v>2532</v>
      </c>
      <c r="B41" s="31" t="s">
        <v>2533</v>
      </c>
      <c r="C41" s="59" t="s">
        <v>103</v>
      </c>
      <c r="D41" s="59">
        <v>1</v>
      </c>
      <c r="E41" s="31" t="s">
        <v>3545</v>
      </c>
      <c r="F41" s="31" t="s">
        <v>3490</v>
      </c>
      <c r="G41" s="62" t="s">
        <v>2532</v>
      </c>
      <c r="H41" s="31" t="s">
        <v>314</v>
      </c>
      <c r="I41" s="59" t="s">
        <v>3546</v>
      </c>
      <c r="J41" s="31" t="s">
        <v>314</v>
      </c>
      <c r="K41" s="31" t="s">
        <v>314</v>
      </c>
      <c r="L41" s="31" t="s">
        <v>3547</v>
      </c>
    </row>
    <row r="42" spans="1:12">
      <c r="A42" s="58" t="s">
        <v>2532</v>
      </c>
      <c r="B42" s="31" t="s">
        <v>2533</v>
      </c>
      <c r="C42" s="59" t="s">
        <v>103</v>
      </c>
      <c r="D42" s="59">
        <v>2</v>
      </c>
      <c r="E42" s="31" t="s">
        <v>496</v>
      </c>
      <c r="F42" s="31" t="s">
        <v>3491</v>
      </c>
      <c r="G42" s="62" t="s">
        <v>1583</v>
      </c>
      <c r="H42" s="31" t="s">
        <v>314</v>
      </c>
      <c r="I42" s="59" t="s">
        <v>508</v>
      </c>
      <c r="J42" s="31" t="s">
        <v>314</v>
      </c>
      <c r="K42" s="31" t="s">
        <v>314</v>
      </c>
      <c r="L42" s="31" t="s">
        <v>3548</v>
      </c>
    </row>
    <row r="43" spans="1:12">
      <c r="A43" s="58" t="s">
        <v>2532</v>
      </c>
      <c r="B43" s="31" t="s">
        <v>2533</v>
      </c>
      <c r="C43" s="59" t="s">
        <v>103</v>
      </c>
      <c r="D43" s="59">
        <v>3</v>
      </c>
      <c r="E43" s="31" t="s">
        <v>668</v>
      </c>
      <c r="F43" s="31" t="s">
        <v>3538</v>
      </c>
      <c r="G43" s="62" t="s">
        <v>1558</v>
      </c>
      <c r="H43" s="31" t="s">
        <v>314</v>
      </c>
      <c r="I43" s="59" t="s">
        <v>3539</v>
      </c>
      <c r="J43" s="31" t="s">
        <v>314</v>
      </c>
      <c r="K43" s="31" t="s">
        <v>314</v>
      </c>
      <c r="L43" s="31" t="s">
        <v>3540</v>
      </c>
    </row>
    <row r="44" spans="1:12">
      <c r="A44" s="58" t="s">
        <v>628</v>
      </c>
      <c r="B44" s="31" t="s">
        <v>2538</v>
      </c>
      <c r="C44" s="59" t="s">
        <v>103</v>
      </c>
      <c r="D44" s="59">
        <v>1</v>
      </c>
      <c r="E44" s="31" t="s">
        <v>3549</v>
      </c>
      <c r="F44" s="31" t="s">
        <v>3490</v>
      </c>
      <c r="G44" s="62" t="s">
        <v>628</v>
      </c>
      <c r="H44" s="31" t="s">
        <v>314</v>
      </c>
      <c r="I44" s="59" t="s">
        <v>3550</v>
      </c>
      <c r="J44" s="31" t="s">
        <v>314</v>
      </c>
      <c r="K44" s="31" t="s">
        <v>314</v>
      </c>
      <c r="L44" s="31" t="s">
        <v>3551</v>
      </c>
    </row>
    <row r="45" spans="1:12">
      <c r="A45" s="58" t="s">
        <v>628</v>
      </c>
      <c r="B45" s="31" t="s">
        <v>2538</v>
      </c>
      <c r="C45" s="59" t="s">
        <v>103</v>
      </c>
      <c r="D45" s="59">
        <v>2</v>
      </c>
      <c r="E45" s="31" t="s">
        <v>486</v>
      </c>
      <c r="F45" s="31" t="s">
        <v>3491</v>
      </c>
      <c r="G45" s="62" t="s">
        <v>1588</v>
      </c>
      <c r="H45" s="31" t="s">
        <v>314</v>
      </c>
      <c r="I45" s="59" t="s">
        <v>488</v>
      </c>
      <c r="J45" s="31" t="s">
        <v>314</v>
      </c>
      <c r="K45" s="31" t="s">
        <v>314</v>
      </c>
      <c r="L45" s="31" t="s">
        <v>3552</v>
      </c>
    </row>
    <row r="46" spans="1:12">
      <c r="A46" s="58" t="s">
        <v>628</v>
      </c>
      <c r="B46" s="31" t="s">
        <v>2538</v>
      </c>
      <c r="C46" s="59" t="s">
        <v>103</v>
      </c>
      <c r="D46" s="59">
        <v>3</v>
      </c>
      <c r="E46" s="31" t="s">
        <v>668</v>
      </c>
      <c r="F46" s="31" t="s">
        <v>3538</v>
      </c>
      <c r="G46" s="62" t="s">
        <v>1558</v>
      </c>
      <c r="H46" s="31" t="s">
        <v>314</v>
      </c>
      <c r="I46" s="59" t="s">
        <v>3539</v>
      </c>
      <c r="J46" s="31" t="s">
        <v>314</v>
      </c>
      <c r="K46" s="31" t="s">
        <v>314</v>
      </c>
      <c r="L46" s="31" t="s">
        <v>3540</v>
      </c>
    </row>
    <row r="47" spans="1:12">
      <c r="A47" s="58" t="s">
        <v>2543</v>
      </c>
      <c r="B47" s="31" t="s">
        <v>2544</v>
      </c>
      <c r="C47" s="59" t="s">
        <v>103</v>
      </c>
      <c r="D47" s="59">
        <v>1</v>
      </c>
      <c r="E47" s="31" t="s">
        <v>3553</v>
      </c>
      <c r="F47" s="31" t="s">
        <v>3490</v>
      </c>
      <c r="G47" s="62" t="s">
        <v>2543</v>
      </c>
      <c r="H47" s="31" t="s">
        <v>314</v>
      </c>
      <c r="I47" s="59" t="s">
        <v>3554</v>
      </c>
      <c r="J47" s="31" t="s">
        <v>314</v>
      </c>
      <c r="K47" s="31" t="s">
        <v>314</v>
      </c>
      <c r="L47" s="31" t="s">
        <v>3555</v>
      </c>
    </row>
    <row r="48" spans="1:12">
      <c r="A48" s="58" t="s">
        <v>2543</v>
      </c>
      <c r="B48" s="31" t="s">
        <v>2544</v>
      </c>
      <c r="C48" s="59" t="s">
        <v>103</v>
      </c>
      <c r="D48" s="59">
        <v>2</v>
      </c>
      <c r="E48" s="31" t="s">
        <v>646</v>
      </c>
      <c r="F48" s="31" t="s">
        <v>3491</v>
      </c>
      <c r="G48" s="62" t="s">
        <v>1593</v>
      </c>
      <c r="H48" s="31" t="s">
        <v>314</v>
      </c>
      <c r="I48" s="59" t="s">
        <v>498</v>
      </c>
      <c r="J48" s="31" t="s">
        <v>314</v>
      </c>
      <c r="K48" s="31" t="s">
        <v>314</v>
      </c>
      <c r="L48" s="31" t="s">
        <v>3556</v>
      </c>
    </row>
    <row r="49" spans="1:12">
      <c r="A49" s="58" t="s">
        <v>2543</v>
      </c>
      <c r="B49" s="31" t="s">
        <v>2544</v>
      </c>
      <c r="C49" s="59" t="s">
        <v>103</v>
      </c>
      <c r="D49" s="59">
        <v>3</v>
      </c>
      <c r="E49" s="31" t="s">
        <v>668</v>
      </c>
      <c r="F49" s="31" t="s">
        <v>3538</v>
      </c>
      <c r="G49" s="62" t="s">
        <v>1558</v>
      </c>
      <c r="H49" s="31" t="s">
        <v>314</v>
      </c>
      <c r="I49" s="59" t="s">
        <v>3539</v>
      </c>
      <c r="J49" s="31" t="s">
        <v>314</v>
      </c>
      <c r="K49" s="31" t="s">
        <v>314</v>
      </c>
      <c r="L49" s="31" t="s">
        <v>3540</v>
      </c>
    </row>
    <row r="50" spans="1:12">
      <c r="A50" s="58" t="s">
        <v>71</v>
      </c>
      <c r="B50" s="31" t="s">
        <v>2549</v>
      </c>
      <c r="C50" s="59" t="s">
        <v>107</v>
      </c>
      <c r="D50" s="59">
        <v>1</v>
      </c>
      <c r="E50" s="31" t="s">
        <v>3557</v>
      </c>
      <c r="F50" s="31" t="s">
        <v>3490</v>
      </c>
      <c r="G50" s="62" t="s">
        <v>71</v>
      </c>
      <c r="H50" s="31" t="s">
        <v>314</v>
      </c>
      <c r="I50" s="59" t="s">
        <v>3558</v>
      </c>
      <c r="J50" s="31" t="s">
        <v>1919</v>
      </c>
      <c r="K50" s="31" t="s">
        <v>1894</v>
      </c>
      <c r="L50" s="31" t="s">
        <v>3559</v>
      </c>
    </row>
    <row r="51" spans="1:12">
      <c r="A51" s="58" t="s">
        <v>71</v>
      </c>
      <c r="B51" s="31" t="s">
        <v>2549</v>
      </c>
      <c r="C51" s="59" t="s">
        <v>107</v>
      </c>
      <c r="D51" s="59">
        <v>2</v>
      </c>
      <c r="E51" s="31" t="s">
        <v>1918</v>
      </c>
      <c r="F51" s="31" t="s">
        <v>3560</v>
      </c>
      <c r="G51" s="62" t="s">
        <v>40</v>
      </c>
      <c r="H51" s="31" t="s">
        <v>314</v>
      </c>
      <c r="I51" s="59" t="s">
        <v>442</v>
      </c>
      <c r="J51" s="31" t="s">
        <v>1919</v>
      </c>
      <c r="K51" s="31" t="s">
        <v>1894</v>
      </c>
      <c r="L51" s="31" t="s">
        <v>3561</v>
      </c>
    </row>
    <row r="52" spans="1:12">
      <c r="A52" s="58" t="s">
        <v>71</v>
      </c>
      <c r="B52" s="31" t="s">
        <v>2549</v>
      </c>
      <c r="C52" s="59" t="s">
        <v>107</v>
      </c>
      <c r="D52" s="59">
        <v>3</v>
      </c>
      <c r="E52" s="31" t="s">
        <v>2292</v>
      </c>
      <c r="F52" s="31" t="s">
        <v>3538</v>
      </c>
      <c r="G52" s="62" t="s">
        <v>2290</v>
      </c>
      <c r="H52" s="31" t="s">
        <v>314</v>
      </c>
      <c r="I52" s="59" t="s">
        <v>498</v>
      </c>
      <c r="J52" s="31" t="s">
        <v>1919</v>
      </c>
      <c r="K52" s="31" t="s">
        <v>1894</v>
      </c>
      <c r="L52" s="31" t="s">
        <v>3562</v>
      </c>
    </row>
    <row r="53" spans="1:12">
      <c r="A53" s="58" t="s">
        <v>2557</v>
      </c>
      <c r="B53" s="31" t="s">
        <v>2558</v>
      </c>
      <c r="C53" s="59" t="s">
        <v>107</v>
      </c>
      <c r="D53" s="59">
        <v>1</v>
      </c>
      <c r="E53" s="31" t="s">
        <v>3563</v>
      </c>
      <c r="F53" s="31" t="s">
        <v>3490</v>
      </c>
      <c r="G53" s="62" t="s">
        <v>2557</v>
      </c>
      <c r="H53" s="31" t="s">
        <v>314</v>
      </c>
      <c r="I53" s="59" t="s">
        <v>3564</v>
      </c>
      <c r="J53" s="31" t="s">
        <v>1919</v>
      </c>
      <c r="K53" s="31" t="s">
        <v>1894</v>
      </c>
      <c r="L53" s="31" t="s">
        <v>3565</v>
      </c>
    </row>
    <row r="54" spans="1:12">
      <c r="A54" s="58" t="s">
        <v>2557</v>
      </c>
      <c r="B54" s="31" t="s">
        <v>2558</v>
      </c>
      <c r="C54" s="59" t="s">
        <v>107</v>
      </c>
      <c r="D54" s="59">
        <v>2</v>
      </c>
      <c r="E54" s="31" t="s">
        <v>1925</v>
      </c>
      <c r="F54" s="31" t="s">
        <v>3560</v>
      </c>
      <c r="G54" s="62" t="s">
        <v>1923</v>
      </c>
      <c r="H54" s="31" t="s">
        <v>314</v>
      </c>
      <c r="I54" s="59" t="s">
        <v>442</v>
      </c>
      <c r="J54" s="31" t="s">
        <v>1919</v>
      </c>
      <c r="K54" s="31" t="s">
        <v>1894</v>
      </c>
      <c r="L54" s="31" t="s">
        <v>3561</v>
      </c>
    </row>
    <row r="55" spans="1:12">
      <c r="A55" s="58" t="s">
        <v>2557</v>
      </c>
      <c r="B55" s="31" t="s">
        <v>2558</v>
      </c>
      <c r="C55" s="59" t="s">
        <v>107</v>
      </c>
      <c r="D55" s="59">
        <v>3</v>
      </c>
      <c r="E55" s="31" t="s">
        <v>2297</v>
      </c>
      <c r="F55" s="31" t="s">
        <v>3538</v>
      </c>
      <c r="G55" s="62" t="s">
        <v>2295</v>
      </c>
      <c r="H55" s="31" t="s">
        <v>314</v>
      </c>
      <c r="I55" s="59" t="s">
        <v>498</v>
      </c>
      <c r="J55" s="31" t="s">
        <v>1919</v>
      </c>
      <c r="K55" s="31" t="s">
        <v>1894</v>
      </c>
      <c r="L55" s="31" t="s">
        <v>3566</v>
      </c>
    </row>
    <row r="56" spans="1:12">
      <c r="A56" s="58" t="s">
        <v>2562</v>
      </c>
      <c r="B56" s="31" t="s">
        <v>2563</v>
      </c>
      <c r="C56" s="59" t="s">
        <v>107</v>
      </c>
      <c r="D56" s="59">
        <v>1</v>
      </c>
      <c r="E56" s="31" t="s">
        <v>3567</v>
      </c>
      <c r="F56" s="31" t="s">
        <v>3490</v>
      </c>
      <c r="G56" s="62" t="s">
        <v>2562</v>
      </c>
      <c r="H56" s="31" t="s">
        <v>314</v>
      </c>
      <c r="I56" s="59" t="s">
        <v>3558</v>
      </c>
      <c r="J56" s="31" t="s">
        <v>1932</v>
      </c>
      <c r="K56" s="31" t="s">
        <v>1894</v>
      </c>
      <c r="L56" s="31" t="s">
        <v>3568</v>
      </c>
    </row>
    <row r="57" spans="1:12">
      <c r="A57" s="58" t="s">
        <v>2562</v>
      </c>
      <c r="B57" s="31" t="s">
        <v>2563</v>
      </c>
      <c r="C57" s="59" t="s">
        <v>107</v>
      </c>
      <c r="D57" s="59">
        <v>2</v>
      </c>
      <c r="E57" s="31" t="s">
        <v>1931</v>
      </c>
      <c r="F57" s="31" t="s">
        <v>3560</v>
      </c>
      <c r="G57" s="62" t="s">
        <v>1929</v>
      </c>
      <c r="H57" s="31" t="s">
        <v>314</v>
      </c>
      <c r="I57" s="59" t="s">
        <v>442</v>
      </c>
      <c r="J57" s="31" t="s">
        <v>1932</v>
      </c>
      <c r="K57" s="31" t="s">
        <v>1894</v>
      </c>
      <c r="L57" s="31" t="s">
        <v>3569</v>
      </c>
    </row>
    <row r="58" spans="1:12">
      <c r="A58" s="58" t="s">
        <v>2562</v>
      </c>
      <c r="B58" s="31" t="s">
        <v>2563</v>
      </c>
      <c r="C58" s="59" t="s">
        <v>107</v>
      </c>
      <c r="D58" s="59">
        <v>3</v>
      </c>
      <c r="E58" s="31" t="s">
        <v>2302</v>
      </c>
      <c r="F58" s="31" t="s">
        <v>3538</v>
      </c>
      <c r="G58" s="62" t="s">
        <v>2300</v>
      </c>
      <c r="H58" s="31" t="s">
        <v>314</v>
      </c>
      <c r="I58" s="59" t="s">
        <v>498</v>
      </c>
      <c r="J58" s="31" t="s">
        <v>1932</v>
      </c>
      <c r="K58" s="31" t="s">
        <v>1894</v>
      </c>
      <c r="L58" s="31" t="s">
        <v>3570</v>
      </c>
    </row>
    <row r="59" spans="1:12">
      <c r="A59" s="58" t="s">
        <v>2567</v>
      </c>
      <c r="B59" s="31" t="s">
        <v>2568</v>
      </c>
      <c r="C59" s="59" t="s">
        <v>107</v>
      </c>
      <c r="D59" s="59">
        <v>1</v>
      </c>
      <c r="E59" s="31" t="s">
        <v>3571</v>
      </c>
      <c r="F59" s="31" t="s">
        <v>3490</v>
      </c>
      <c r="G59" s="62" t="s">
        <v>2567</v>
      </c>
      <c r="H59" s="31" t="s">
        <v>314</v>
      </c>
      <c r="I59" s="59" t="s">
        <v>3564</v>
      </c>
      <c r="J59" s="31" t="s">
        <v>1932</v>
      </c>
      <c r="K59" s="31" t="s">
        <v>1894</v>
      </c>
      <c r="L59" s="31" t="s">
        <v>3572</v>
      </c>
    </row>
    <row r="60" spans="1:12">
      <c r="A60" s="58" t="s">
        <v>2567</v>
      </c>
      <c r="B60" s="31" t="s">
        <v>2568</v>
      </c>
      <c r="C60" s="59" t="s">
        <v>107</v>
      </c>
      <c r="D60" s="59">
        <v>2</v>
      </c>
      <c r="E60" s="31" t="s">
        <v>1938</v>
      </c>
      <c r="F60" s="31" t="s">
        <v>3560</v>
      </c>
      <c r="G60" s="62" t="s">
        <v>1936</v>
      </c>
      <c r="H60" s="31" t="s">
        <v>314</v>
      </c>
      <c r="I60" s="59" t="s">
        <v>442</v>
      </c>
      <c r="J60" s="31" t="s">
        <v>1932</v>
      </c>
      <c r="K60" s="31" t="s">
        <v>1894</v>
      </c>
      <c r="L60" s="31" t="s">
        <v>3569</v>
      </c>
    </row>
    <row r="61" spans="1:12">
      <c r="A61" s="58" t="s">
        <v>2567</v>
      </c>
      <c r="B61" s="31" t="s">
        <v>2568</v>
      </c>
      <c r="C61" s="59" t="s">
        <v>107</v>
      </c>
      <c r="D61" s="59">
        <v>3</v>
      </c>
      <c r="E61" s="31" t="s">
        <v>2307</v>
      </c>
      <c r="F61" s="31" t="s">
        <v>3538</v>
      </c>
      <c r="G61" s="62" t="s">
        <v>2305</v>
      </c>
      <c r="H61" s="31" t="s">
        <v>314</v>
      </c>
      <c r="I61" s="59" t="s">
        <v>498</v>
      </c>
      <c r="J61" s="31" t="s">
        <v>1932</v>
      </c>
      <c r="K61" s="31" t="s">
        <v>1894</v>
      </c>
      <c r="L61" s="31" t="s">
        <v>3573</v>
      </c>
    </row>
    <row r="62" spans="1:12">
      <c r="A62" s="58" t="s">
        <v>2572</v>
      </c>
      <c r="B62" s="31" t="s">
        <v>2573</v>
      </c>
      <c r="C62" s="59" t="s">
        <v>107</v>
      </c>
      <c r="D62" s="59">
        <v>1</v>
      </c>
      <c r="E62" s="31" t="s">
        <v>3574</v>
      </c>
      <c r="F62" s="31" t="s">
        <v>3490</v>
      </c>
      <c r="G62" s="62" t="s">
        <v>2572</v>
      </c>
      <c r="H62" s="31" t="s">
        <v>314</v>
      </c>
      <c r="I62" s="59" t="s">
        <v>3558</v>
      </c>
      <c r="J62" s="31" t="s">
        <v>1984</v>
      </c>
      <c r="K62" s="31" t="s">
        <v>1894</v>
      </c>
      <c r="L62" s="31" t="s">
        <v>3575</v>
      </c>
    </row>
    <row r="63" spans="1:12">
      <c r="A63" s="58" t="s">
        <v>2572</v>
      </c>
      <c r="B63" s="31" t="s">
        <v>2573</v>
      </c>
      <c r="C63" s="59" t="s">
        <v>107</v>
      </c>
      <c r="D63" s="59">
        <v>2</v>
      </c>
      <c r="E63" s="31" t="s">
        <v>1990</v>
      </c>
      <c r="F63" s="31" t="s">
        <v>3560</v>
      </c>
      <c r="G63" s="62" t="s">
        <v>1988</v>
      </c>
      <c r="H63" s="31" t="s">
        <v>314</v>
      </c>
      <c r="I63" s="59" t="s">
        <v>442</v>
      </c>
      <c r="J63" s="31" t="s">
        <v>1984</v>
      </c>
      <c r="K63" s="31" t="s">
        <v>1894</v>
      </c>
      <c r="L63" s="31" t="s">
        <v>3576</v>
      </c>
    </row>
    <row r="64" spans="1:12">
      <c r="A64" s="58" t="s">
        <v>2572</v>
      </c>
      <c r="B64" s="31" t="s">
        <v>2573</v>
      </c>
      <c r="C64" s="59" t="s">
        <v>107</v>
      </c>
      <c r="D64" s="59">
        <v>3</v>
      </c>
      <c r="E64" s="31" t="s">
        <v>2347</v>
      </c>
      <c r="F64" s="31" t="s">
        <v>3538</v>
      </c>
      <c r="G64" s="62" t="s">
        <v>2345</v>
      </c>
      <c r="H64" s="31" t="s">
        <v>314</v>
      </c>
      <c r="I64" s="59" t="s">
        <v>498</v>
      </c>
      <c r="J64" s="31" t="s">
        <v>1984</v>
      </c>
      <c r="K64" s="31" t="s">
        <v>1894</v>
      </c>
      <c r="L64" s="31" t="s">
        <v>3577</v>
      </c>
    </row>
    <row r="65" spans="1:12">
      <c r="A65" s="58" t="s">
        <v>2577</v>
      </c>
      <c r="B65" s="31" t="s">
        <v>2578</v>
      </c>
      <c r="C65" s="59" t="s">
        <v>107</v>
      </c>
      <c r="D65" s="59">
        <v>1</v>
      </c>
      <c r="E65" s="31" t="s">
        <v>3578</v>
      </c>
      <c r="F65" s="31" t="s">
        <v>3490</v>
      </c>
      <c r="G65" s="62" t="s">
        <v>2577</v>
      </c>
      <c r="H65" s="31" t="s">
        <v>314</v>
      </c>
      <c r="I65" s="59" t="s">
        <v>3564</v>
      </c>
      <c r="J65" s="31" t="s">
        <v>1984</v>
      </c>
      <c r="K65" s="31" t="s">
        <v>1894</v>
      </c>
      <c r="L65" s="31" t="s">
        <v>3579</v>
      </c>
    </row>
    <row r="66" spans="1:12">
      <c r="A66" s="58" t="s">
        <v>2577</v>
      </c>
      <c r="B66" s="31" t="s">
        <v>2578</v>
      </c>
      <c r="C66" s="59" t="s">
        <v>107</v>
      </c>
      <c r="D66" s="59">
        <v>2</v>
      </c>
      <c r="E66" s="31" t="s">
        <v>1996</v>
      </c>
      <c r="F66" s="31" t="s">
        <v>3560</v>
      </c>
      <c r="G66" s="62" t="s">
        <v>1994</v>
      </c>
      <c r="H66" s="31" t="s">
        <v>314</v>
      </c>
      <c r="I66" s="59" t="s">
        <v>442</v>
      </c>
      <c r="J66" s="31" t="s">
        <v>1984</v>
      </c>
      <c r="K66" s="31" t="s">
        <v>1894</v>
      </c>
      <c r="L66" s="31" t="s">
        <v>3576</v>
      </c>
    </row>
    <row r="67" spans="1:12">
      <c r="A67" s="58" t="s">
        <v>2577</v>
      </c>
      <c r="B67" s="31" t="s">
        <v>2578</v>
      </c>
      <c r="C67" s="59" t="s">
        <v>107</v>
      </c>
      <c r="D67" s="59">
        <v>3</v>
      </c>
      <c r="E67" s="31" t="s">
        <v>2352</v>
      </c>
      <c r="F67" s="31" t="s">
        <v>3538</v>
      </c>
      <c r="G67" s="62" t="s">
        <v>2350</v>
      </c>
      <c r="H67" s="31" t="s">
        <v>314</v>
      </c>
      <c r="I67" s="59" t="s">
        <v>498</v>
      </c>
      <c r="J67" s="31" t="s">
        <v>1984</v>
      </c>
      <c r="K67" s="31" t="s">
        <v>1894</v>
      </c>
      <c r="L67" s="31" t="s">
        <v>3580</v>
      </c>
    </row>
    <row r="68" spans="1:12">
      <c r="A68" s="58" t="s">
        <v>2582</v>
      </c>
      <c r="B68" s="31" t="s">
        <v>2583</v>
      </c>
      <c r="C68" s="59" t="s">
        <v>107</v>
      </c>
      <c r="D68" s="59">
        <v>1</v>
      </c>
      <c r="E68" s="31" t="s">
        <v>3581</v>
      </c>
      <c r="F68" s="31" t="s">
        <v>3490</v>
      </c>
      <c r="G68" s="62" t="s">
        <v>2582</v>
      </c>
      <c r="H68" s="31" t="s">
        <v>314</v>
      </c>
      <c r="I68" s="59" t="s">
        <v>3542</v>
      </c>
      <c r="J68" s="31" t="s">
        <v>1984</v>
      </c>
      <c r="K68" s="31" t="s">
        <v>1887</v>
      </c>
      <c r="L68" s="31" t="s">
        <v>3582</v>
      </c>
    </row>
    <row r="69" spans="1:12">
      <c r="A69" s="58" t="s">
        <v>2582</v>
      </c>
      <c r="B69" s="31" t="s">
        <v>2583</v>
      </c>
      <c r="C69" s="59" t="s">
        <v>107</v>
      </c>
      <c r="D69" s="59">
        <v>2</v>
      </c>
      <c r="E69" s="31" t="s">
        <v>1983</v>
      </c>
      <c r="F69" s="31" t="s">
        <v>3560</v>
      </c>
      <c r="G69" s="62" t="s">
        <v>1981</v>
      </c>
      <c r="H69" s="31" t="s">
        <v>314</v>
      </c>
      <c r="I69" s="59" t="s">
        <v>442</v>
      </c>
      <c r="J69" s="31" t="s">
        <v>1984</v>
      </c>
      <c r="K69" s="31" t="s">
        <v>1887</v>
      </c>
      <c r="L69" s="31" t="s">
        <v>3583</v>
      </c>
    </row>
    <row r="70" spans="1:12">
      <c r="A70" s="58" t="s">
        <v>2582</v>
      </c>
      <c r="B70" s="31" t="s">
        <v>2583</v>
      </c>
      <c r="C70" s="59" t="s">
        <v>107</v>
      </c>
      <c r="D70" s="59">
        <v>3</v>
      </c>
      <c r="E70" s="31" t="s">
        <v>2342</v>
      </c>
      <c r="F70" s="31" t="s">
        <v>3538</v>
      </c>
      <c r="G70" s="62" t="s">
        <v>2340</v>
      </c>
      <c r="H70" s="31" t="s">
        <v>314</v>
      </c>
      <c r="I70" s="59" t="s">
        <v>2268</v>
      </c>
      <c r="J70" s="31" t="s">
        <v>1984</v>
      </c>
      <c r="K70" s="31" t="s">
        <v>1887</v>
      </c>
      <c r="L70" s="31" t="s">
        <v>3584</v>
      </c>
    </row>
    <row r="71" spans="1:12">
      <c r="A71" s="58" t="s">
        <v>2588</v>
      </c>
      <c r="B71" s="31" t="s">
        <v>2589</v>
      </c>
      <c r="C71" s="59" t="s">
        <v>107</v>
      </c>
      <c r="D71" s="59">
        <v>1</v>
      </c>
      <c r="E71" s="31" t="s">
        <v>3585</v>
      </c>
      <c r="F71" s="31" t="s">
        <v>3490</v>
      </c>
      <c r="G71" s="62" t="s">
        <v>2588</v>
      </c>
      <c r="H71" s="31" t="s">
        <v>314</v>
      </c>
      <c r="I71" s="59" t="s">
        <v>3558</v>
      </c>
      <c r="J71" s="31" t="s">
        <v>1886</v>
      </c>
      <c r="K71" s="31" t="s">
        <v>1894</v>
      </c>
      <c r="L71" s="31" t="s">
        <v>3586</v>
      </c>
    </row>
    <row r="72" spans="1:12">
      <c r="A72" s="58" t="s">
        <v>2588</v>
      </c>
      <c r="B72" s="31" t="s">
        <v>2589</v>
      </c>
      <c r="C72" s="59" t="s">
        <v>107</v>
      </c>
      <c r="D72" s="59">
        <v>2</v>
      </c>
      <c r="E72" s="31" t="s">
        <v>1893</v>
      </c>
      <c r="F72" s="31" t="s">
        <v>3560</v>
      </c>
      <c r="G72" s="62" t="s">
        <v>1891</v>
      </c>
      <c r="H72" s="31" t="s">
        <v>314</v>
      </c>
      <c r="I72" s="59" t="s">
        <v>442</v>
      </c>
      <c r="J72" s="31" t="s">
        <v>1886</v>
      </c>
      <c r="K72" s="31" t="s">
        <v>1894</v>
      </c>
      <c r="L72" s="31" t="s">
        <v>3587</v>
      </c>
    </row>
    <row r="73" spans="1:12">
      <c r="A73" s="58" t="s">
        <v>2588</v>
      </c>
      <c r="B73" s="31" t="s">
        <v>2589</v>
      </c>
      <c r="C73" s="59" t="s">
        <v>107</v>
      </c>
      <c r="D73" s="59">
        <v>3</v>
      </c>
      <c r="E73" s="31" t="s">
        <v>2272</v>
      </c>
      <c r="F73" s="31" t="s">
        <v>3538</v>
      </c>
      <c r="G73" s="62" t="s">
        <v>2270</v>
      </c>
      <c r="H73" s="31" t="s">
        <v>314</v>
      </c>
      <c r="I73" s="59" t="s">
        <v>498</v>
      </c>
      <c r="J73" s="31" t="s">
        <v>1886</v>
      </c>
      <c r="K73" s="31" t="s">
        <v>1894</v>
      </c>
      <c r="L73" s="31" t="s">
        <v>3588</v>
      </c>
    </row>
    <row r="74" spans="1:12">
      <c r="A74" s="58" t="s">
        <v>2593</v>
      </c>
      <c r="B74" s="31" t="s">
        <v>2594</v>
      </c>
      <c r="C74" s="59" t="s">
        <v>107</v>
      </c>
      <c r="D74" s="59">
        <v>1</v>
      </c>
      <c r="E74" s="31" t="s">
        <v>3589</v>
      </c>
      <c r="F74" s="31" t="s">
        <v>3490</v>
      </c>
      <c r="G74" s="62" t="s">
        <v>2593</v>
      </c>
      <c r="H74" s="31" t="s">
        <v>314</v>
      </c>
      <c r="I74" s="59" t="s">
        <v>3564</v>
      </c>
      <c r="J74" s="31" t="s">
        <v>1886</v>
      </c>
      <c r="K74" s="31" t="s">
        <v>1894</v>
      </c>
      <c r="L74" s="31" t="s">
        <v>3590</v>
      </c>
    </row>
    <row r="75" spans="1:12">
      <c r="A75" s="58" t="s">
        <v>2593</v>
      </c>
      <c r="B75" s="31" t="s">
        <v>2594</v>
      </c>
      <c r="C75" s="59" t="s">
        <v>107</v>
      </c>
      <c r="D75" s="59">
        <v>2</v>
      </c>
      <c r="E75" s="31" t="s">
        <v>1900</v>
      </c>
      <c r="F75" s="31" t="s">
        <v>3560</v>
      </c>
      <c r="G75" s="62" t="s">
        <v>1898</v>
      </c>
      <c r="H75" s="31" t="s">
        <v>314</v>
      </c>
      <c r="I75" s="59" t="s">
        <v>442</v>
      </c>
      <c r="J75" s="31" t="s">
        <v>1886</v>
      </c>
      <c r="K75" s="31" t="s">
        <v>1894</v>
      </c>
      <c r="L75" s="31" t="s">
        <v>3587</v>
      </c>
    </row>
    <row r="76" spans="1:12">
      <c r="A76" s="58" t="s">
        <v>2593</v>
      </c>
      <c r="B76" s="31" t="s">
        <v>2594</v>
      </c>
      <c r="C76" s="59" t="s">
        <v>107</v>
      </c>
      <c r="D76" s="59">
        <v>3</v>
      </c>
      <c r="E76" s="31" t="s">
        <v>2277</v>
      </c>
      <c r="F76" s="31" t="s">
        <v>3538</v>
      </c>
      <c r="G76" s="62" t="s">
        <v>2275</v>
      </c>
      <c r="H76" s="31" t="s">
        <v>314</v>
      </c>
      <c r="I76" s="59" t="s">
        <v>498</v>
      </c>
      <c r="J76" s="31" t="s">
        <v>1886</v>
      </c>
      <c r="K76" s="31" t="s">
        <v>1894</v>
      </c>
      <c r="L76" s="31" t="s">
        <v>3591</v>
      </c>
    </row>
    <row r="77" spans="1:12">
      <c r="A77" s="58" t="s">
        <v>2598</v>
      </c>
      <c r="B77" s="31" t="s">
        <v>2599</v>
      </c>
      <c r="C77" s="59" t="s">
        <v>107</v>
      </c>
      <c r="D77" s="59">
        <v>1</v>
      </c>
      <c r="E77" s="31" t="s">
        <v>3592</v>
      </c>
      <c r="F77" s="31" t="s">
        <v>3490</v>
      </c>
      <c r="G77" s="62" t="s">
        <v>2598</v>
      </c>
      <c r="H77" s="31" t="s">
        <v>314</v>
      </c>
      <c r="I77" s="59" t="s">
        <v>3542</v>
      </c>
      <c r="J77" s="31" t="s">
        <v>1886</v>
      </c>
      <c r="K77" s="31" t="s">
        <v>1887</v>
      </c>
      <c r="L77" s="31" t="s">
        <v>3593</v>
      </c>
    </row>
    <row r="78" spans="1:12">
      <c r="A78" s="58" t="s">
        <v>2598</v>
      </c>
      <c r="B78" s="31" t="s">
        <v>2599</v>
      </c>
      <c r="C78" s="59" t="s">
        <v>107</v>
      </c>
      <c r="D78" s="59">
        <v>2</v>
      </c>
      <c r="E78" s="31" t="s">
        <v>1885</v>
      </c>
      <c r="F78" s="31" t="s">
        <v>3560</v>
      </c>
      <c r="G78" s="62" t="s">
        <v>1883</v>
      </c>
      <c r="H78" s="31" t="s">
        <v>314</v>
      </c>
      <c r="I78" s="59" t="s">
        <v>442</v>
      </c>
      <c r="J78" s="31" t="s">
        <v>1886</v>
      </c>
      <c r="K78" s="31" t="s">
        <v>1887</v>
      </c>
      <c r="L78" s="31" t="s">
        <v>3594</v>
      </c>
    </row>
    <row r="79" spans="1:12">
      <c r="A79" s="58" t="s">
        <v>2598</v>
      </c>
      <c r="B79" s="31" t="s">
        <v>2599</v>
      </c>
      <c r="C79" s="59" t="s">
        <v>107</v>
      </c>
      <c r="D79" s="59">
        <v>3</v>
      </c>
      <c r="E79" s="31" t="s">
        <v>2266</v>
      </c>
      <c r="F79" s="31" t="s">
        <v>3538</v>
      </c>
      <c r="G79" s="62" t="s">
        <v>2264</v>
      </c>
      <c r="H79" s="31" t="s">
        <v>314</v>
      </c>
      <c r="I79" s="59" t="s">
        <v>2268</v>
      </c>
      <c r="J79" s="31" t="s">
        <v>1886</v>
      </c>
      <c r="K79" s="31" t="s">
        <v>1887</v>
      </c>
      <c r="L79" s="31" t="s">
        <v>3595</v>
      </c>
    </row>
    <row r="80" spans="1:12">
      <c r="A80" s="58" t="s">
        <v>2603</v>
      </c>
      <c r="B80" s="31" t="s">
        <v>2604</v>
      </c>
      <c r="C80" s="59" t="s">
        <v>107</v>
      </c>
      <c r="D80" s="59">
        <v>1</v>
      </c>
      <c r="E80" s="31" t="s">
        <v>3596</v>
      </c>
      <c r="F80" s="31" t="s">
        <v>3490</v>
      </c>
      <c r="G80" s="62" t="s">
        <v>2603</v>
      </c>
      <c r="H80" s="31" t="s">
        <v>314</v>
      </c>
      <c r="I80" s="59" t="s">
        <v>3558</v>
      </c>
      <c r="J80" s="31" t="s">
        <v>1907</v>
      </c>
      <c r="K80" s="31" t="s">
        <v>1894</v>
      </c>
      <c r="L80" s="31" t="s">
        <v>3597</v>
      </c>
    </row>
    <row r="81" spans="1:12">
      <c r="A81" s="58" t="s">
        <v>2603</v>
      </c>
      <c r="B81" s="31" t="s">
        <v>2604</v>
      </c>
      <c r="C81" s="59" t="s">
        <v>107</v>
      </c>
      <c r="D81" s="59">
        <v>2</v>
      </c>
      <c r="E81" s="31" t="s">
        <v>1906</v>
      </c>
      <c r="F81" s="31" t="s">
        <v>3560</v>
      </c>
      <c r="G81" s="62" t="s">
        <v>1904</v>
      </c>
      <c r="H81" s="31" t="s">
        <v>314</v>
      </c>
      <c r="I81" s="59" t="s">
        <v>442</v>
      </c>
      <c r="J81" s="31" t="s">
        <v>1907</v>
      </c>
      <c r="K81" s="31" t="s">
        <v>1894</v>
      </c>
      <c r="L81" s="31" t="s">
        <v>3598</v>
      </c>
    </row>
    <row r="82" spans="1:12">
      <c r="A82" s="58" t="s">
        <v>2603</v>
      </c>
      <c r="B82" s="31" t="s">
        <v>2604</v>
      </c>
      <c r="C82" s="59" t="s">
        <v>107</v>
      </c>
      <c r="D82" s="59">
        <v>3</v>
      </c>
      <c r="E82" s="31" t="s">
        <v>2282</v>
      </c>
      <c r="F82" s="31" t="s">
        <v>3538</v>
      </c>
      <c r="G82" s="62" t="s">
        <v>2280</v>
      </c>
      <c r="H82" s="31" t="s">
        <v>314</v>
      </c>
      <c r="I82" s="59" t="s">
        <v>498</v>
      </c>
      <c r="J82" s="31" t="s">
        <v>1907</v>
      </c>
      <c r="K82" s="31" t="s">
        <v>1894</v>
      </c>
      <c r="L82" s="31" t="s">
        <v>3599</v>
      </c>
    </row>
    <row r="83" spans="1:12">
      <c r="A83" s="58" t="s">
        <v>2608</v>
      </c>
      <c r="B83" s="31" t="s">
        <v>2609</v>
      </c>
      <c r="C83" s="59" t="s">
        <v>107</v>
      </c>
      <c r="D83" s="59">
        <v>1</v>
      </c>
      <c r="E83" s="31" t="s">
        <v>3600</v>
      </c>
      <c r="F83" s="31" t="s">
        <v>3490</v>
      </c>
      <c r="G83" s="62" t="s">
        <v>2608</v>
      </c>
      <c r="H83" s="31" t="s">
        <v>314</v>
      </c>
      <c r="I83" s="59" t="s">
        <v>3564</v>
      </c>
      <c r="J83" s="31" t="s">
        <v>1907</v>
      </c>
      <c r="K83" s="31" t="s">
        <v>1894</v>
      </c>
      <c r="L83" s="31" t="s">
        <v>3601</v>
      </c>
    </row>
    <row r="84" spans="1:12">
      <c r="A84" s="58" t="s">
        <v>2608</v>
      </c>
      <c r="B84" s="31" t="s">
        <v>2609</v>
      </c>
      <c r="C84" s="59" t="s">
        <v>107</v>
      </c>
      <c r="D84" s="59">
        <v>2</v>
      </c>
      <c r="E84" s="31" t="s">
        <v>1913</v>
      </c>
      <c r="F84" s="31" t="s">
        <v>3560</v>
      </c>
      <c r="G84" s="62" t="s">
        <v>1911</v>
      </c>
      <c r="H84" s="31" t="s">
        <v>314</v>
      </c>
      <c r="I84" s="59" t="s">
        <v>442</v>
      </c>
      <c r="J84" s="31" t="s">
        <v>1907</v>
      </c>
      <c r="K84" s="31" t="s">
        <v>1894</v>
      </c>
      <c r="L84" s="31" t="s">
        <v>3598</v>
      </c>
    </row>
    <row r="85" spans="1:12">
      <c r="A85" s="58" t="s">
        <v>2608</v>
      </c>
      <c r="B85" s="31" t="s">
        <v>2609</v>
      </c>
      <c r="C85" s="59" t="s">
        <v>107</v>
      </c>
      <c r="D85" s="59">
        <v>3</v>
      </c>
      <c r="E85" s="31" t="s">
        <v>2287</v>
      </c>
      <c r="F85" s="31" t="s">
        <v>3538</v>
      </c>
      <c r="G85" s="62" t="s">
        <v>2285</v>
      </c>
      <c r="H85" s="31" t="s">
        <v>314</v>
      </c>
      <c r="I85" s="59" t="s">
        <v>498</v>
      </c>
      <c r="J85" s="31" t="s">
        <v>1907</v>
      </c>
      <c r="K85" s="31" t="s">
        <v>1894</v>
      </c>
      <c r="L85" s="31" t="s">
        <v>3602</v>
      </c>
    </row>
    <row r="86" spans="1:12">
      <c r="A86" s="58" t="s">
        <v>2613</v>
      </c>
      <c r="B86" s="31" t="s">
        <v>2614</v>
      </c>
      <c r="C86" s="59" t="s">
        <v>107</v>
      </c>
      <c r="D86" s="59">
        <v>1</v>
      </c>
      <c r="E86" s="31" t="s">
        <v>3603</v>
      </c>
      <c r="F86" s="31" t="s">
        <v>3490</v>
      </c>
      <c r="G86" s="62" t="s">
        <v>2613</v>
      </c>
      <c r="H86" s="31" t="s">
        <v>314</v>
      </c>
      <c r="I86" s="59" t="s">
        <v>3558</v>
      </c>
      <c r="J86" s="31" t="s">
        <v>1958</v>
      </c>
      <c r="K86" s="31" t="s">
        <v>1894</v>
      </c>
      <c r="L86" s="31" t="s">
        <v>3604</v>
      </c>
    </row>
    <row r="87" spans="1:12">
      <c r="A87" s="58" t="s">
        <v>2613</v>
      </c>
      <c r="B87" s="31" t="s">
        <v>2614</v>
      </c>
      <c r="C87" s="59" t="s">
        <v>107</v>
      </c>
      <c r="D87" s="59">
        <v>2</v>
      </c>
      <c r="E87" s="31" t="s">
        <v>1957</v>
      </c>
      <c r="F87" s="31" t="s">
        <v>3560</v>
      </c>
      <c r="G87" s="62" t="s">
        <v>1955</v>
      </c>
      <c r="H87" s="31" t="s">
        <v>314</v>
      </c>
      <c r="I87" s="59" t="s">
        <v>442</v>
      </c>
      <c r="J87" s="31" t="s">
        <v>1958</v>
      </c>
      <c r="K87" s="31" t="s">
        <v>1894</v>
      </c>
      <c r="L87" s="31" t="s">
        <v>3605</v>
      </c>
    </row>
    <row r="88" spans="1:12">
      <c r="A88" s="58" t="s">
        <v>2613</v>
      </c>
      <c r="B88" s="31" t="s">
        <v>2614</v>
      </c>
      <c r="C88" s="59" t="s">
        <v>107</v>
      </c>
      <c r="D88" s="59">
        <v>3</v>
      </c>
      <c r="E88" s="31" t="s">
        <v>2322</v>
      </c>
      <c r="F88" s="31" t="s">
        <v>3538</v>
      </c>
      <c r="G88" s="62" t="s">
        <v>2320</v>
      </c>
      <c r="H88" s="31" t="s">
        <v>314</v>
      </c>
      <c r="I88" s="59" t="s">
        <v>498</v>
      </c>
      <c r="J88" s="31" t="s">
        <v>1958</v>
      </c>
      <c r="K88" s="31" t="s">
        <v>1894</v>
      </c>
      <c r="L88" s="31" t="s">
        <v>3606</v>
      </c>
    </row>
    <row r="89" spans="1:12">
      <c r="A89" s="58" t="s">
        <v>2618</v>
      </c>
      <c r="B89" s="31" t="s">
        <v>2619</v>
      </c>
      <c r="C89" s="59" t="s">
        <v>107</v>
      </c>
      <c r="D89" s="59">
        <v>1</v>
      </c>
      <c r="E89" s="31" t="s">
        <v>3607</v>
      </c>
      <c r="F89" s="31" t="s">
        <v>3490</v>
      </c>
      <c r="G89" s="62" t="s">
        <v>2618</v>
      </c>
      <c r="H89" s="31" t="s">
        <v>314</v>
      </c>
      <c r="I89" s="59" t="s">
        <v>3564</v>
      </c>
      <c r="J89" s="31" t="s">
        <v>1958</v>
      </c>
      <c r="K89" s="31" t="s">
        <v>1894</v>
      </c>
      <c r="L89" s="31" t="s">
        <v>3608</v>
      </c>
    </row>
    <row r="90" spans="1:12">
      <c r="A90" s="58" t="s">
        <v>2618</v>
      </c>
      <c r="B90" s="31" t="s">
        <v>2619</v>
      </c>
      <c r="C90" s="59" t="s">
        <v>107</v>
      </c>
      <c r="D90" s="59">
        <v>2</v>
      </c>
      <c r="E90" s="31" t="s">
        <v>1964</v>
      </c>
      <c r="F90" s="31" t="s">
        <v>3560</v>
      </c>
      <c r="G90" s="62" t="s">
        <v>1962</v>
      </c>
      <c r="H90" s="31" t="s">
        <v>314</v>
      </c>
      <c r="I90" s="59" t="s">
        <v>442</v>
      </c>
      <c r="J90" s="31" t="s">
        <v>1958</v>
      </c>
      <c r="K90" s="31" t="s">
        <v>1894</v>
      </c>
      <c r="L90" s="31" t="s">
        <v>3605</v>
      </c>
    </row>
    <row r="91" spans="1:12">
      <c r="A91" s="58" t="s">
        <v>2618</v>
      </c>
      <c r="B91" s="31" t="s">
        <v>2619</v>
      </c>
      <c r="C91" s="59" t="s">
        <v>107</v>
      </c>
      <c r="D91" s="59">
        <v>3</v>
      </c>
      <c r="E91" s="31" t="s">
        <v>2327</v>
      </c>
      <c r="F91" s="31" t="s">
        <v>3538</v>
      </c>
      <c r="G91" s="62" t="s">
        <v>2325</v>
      </c>
      <c r="H91" s="31" t="s">
        <v>314</v>
      </c>
      <c r="I91" s="59" t="s">
        <v>498</v>
      </c>
      <c r="J91" s="31" t="s">
        <v>1958</v>
      </c>
      <c r="K91" s="31" t="s">
        <v>1894</v>
      </c>
      <c r="L91" s="31" t="s">
        <v>3609</v>
      </c>
    </row>
    <row r="92" spans="1:12">
      <c r="A92" s="58" t="s">
        <v>2623</v>
      </c>
      <c r="B92" s="31" t="s">
        <v>2624</v>
      </c>
      <c r="C92" s="59" t="s">
        <v>107</v>
      </c>
      <c r="D92" s="59">
        <v>1</v>
      </c>
      <c r="E92" s="31" t="s">
        <v>3610</v>
      </c>
      <c r="F92" s="31" t="s">
        <v>3490</v>
      </c>
      <c r="G92" s="62" t="s">
        <v>2623</v>
      </c>
      <c r="H92" s="31" t="s">
        <v>314</v>
      </c>
      <c r="I92" s="59" t="s">
        <v>3558</v>
      </c>
      <c r="J92" s="31" t="s">
        <v>1971</v>
      </c>
      <c r="K92" s="31" t="s">
        <v>1894</v>
      </c>
      <c r="L92" s="31" t="s">
        <v>3611</v>
      </c>
    </row>
    <row r="93" spans="1:12">
      <c r="A93" s="58" t="s">
        <v>2623</v>
      </c>
      <c r="B93" s="31" t="s">
        <v>2624</v>
      </c>
      <c r="C93" s="59" t="s">
        <v>107</v>
      </c>
      <c r="D93" s="59">
        <v>2</v>
      </c>
      <c r="E93" s="31" t="s">
        <v>1970</v>
      </c>
      <c r="F93" s="31" t="s">
        <v>3560</v>
      </c>
      <c r="G93" s="62" t="s">
        <v>1968</v>
      </c>
      <c r="H93" s="31" t="s">
        <v>314</v>
      </c>
      <c r="I93" s="59" t="s">
        <v>442</v>
      </c>
      <c r="J93" s="31" t="s">
        <v>1971</v>
      </c>
      <c r="K93" s="31" t="s">
        <v>1894</v>
      </c>
      <c r="L93" s="31" t="s">
        <v>3612</v>
      </c>
    </row>
    <row r="94" spans="1:12">
      <c r="A94" s="58" t="s">
        <v>2623</v>
      </c>
      <c r="B94" s="31" t="s">
        <v>2624</v>
      </c>
      <c r="C94" s="59" t="s">
        <v>107</v>
      </c>
      <c r="D94" s="59">
        <v>3</v>
      </c>
      <c r="E94" s="31" t="s">
        <v>2332</v>
      </c>
      <c r="F94" s="31" t="s">
        <v>3538</v>
      </c>
      <c r="G94" s="62" t="s">
        <v>2330</v>
      </c>
      <c r="H94" s="31" t="s">
        <v>314</v>
      </c>
      <c r="I94" s="59" t="s">
        <v>498</v>
      </c>
      <c r="J94" s="31" t="s">
        <v>1971</v>
      </c>
      <c r="K94" s="31" t="s">
        <v>1894</v>
      </c>
      <c r="L94" s="31" t="s">
        <v>3613</v>
      </c>
    </row>
    <row r="95" spans="1:12">
      <c r="A95" s="58" t="s">
        <v>2628</v>
      </c>
      <c r="B95" s="31" t="s">
        <v>2629</v>
      </c>
      <c r="C95" s="59" t="s">
        <v>107</v>
      </c>
      <c r="D95" s="59">
        <v>1</v>
      </c>
      <c r="E95" s="31" t="s">
        <v>3614</v>
      </c>
      <c r="F95" s="31" t="s">
        <v>3490</v>
      </c>
      <c r="G95" s="62" t="s">
        <v>2628</v>
      </c>
      <c r="H95" s="31" t="s">
        <v>314</v>
      </c>
      <c r="I95" s="59" t="s">
        <v>3564</v>
      </c>
      <c r="J95" s="31" t="s">
        <v>1971</v>
      </c>
      <c r="K95" s="31" t="s">
        <v>1894</v>
      </c>
      <c r="L95" s="31" t="s">
        <v>3615</v>
      </c>
    </row>
    <row r="96" spans="1:12">
      <c r="A96" s="58" t="s">
        <v>2628</v>
      </c>
      <c r="B96" s="31" t="s">
        <v>2629</v>
      </c>
      <c r="C96" s="59" t="s">
        <v>107</v>
      </c>
      <c r="D96" s="59">
        <v>2</v>
      </c>
      <c r="E96" s="31" t="s">
        <v>1977</v>
      </c>
      <c r="F96" s="31" t="s">
        <v>3560</v>
      </c>
      <c r="G96" s="62" t="s">
        <v>1975</v>
      </c>
      <c r="H96" s="31" t="s">
        <v>314</v>
      </c>
      <c r="I96" s="59" t="s">
        <v>442</v>
      </c>
      <c r="J96" s="31" t="s">
        <v>1971</v>
      </c>
      <c r="K96" s="31" t="s">
        <v>1894</v>
      </c>
      <c r="L96" s="31" t="s">
        <v>3612</v>
      </c>
    </row>
    <row r="97" spans="1:12">
      <c r="A97" s="58" t="s">
        <v>2628</v>
      </c>
      <c r="B97" s="31" t="s">
        <v>2629</v>
      </c>
      <c r="C97" s="59" t="s">
        <v>107</v>
      </c>
      <c r="D97" s="59">
        <v>3</v>
      </c>
      <c r="E97" s="31" t="s">
        <v>2337</v>
      </c>
      <c r="F97" s="31" t="s">
        <v>3538</v>
      </c>
      <c r="G97" s="62" t="s">
        <v>2335</v>
      </c>
      <c r="H97" s="31" t="s">
        <v>314</v>
      </c>
      <c r="I97" s="59" t="s">
        <v>498</v>
      </c>
      <c r="J97" s="31" t="s">
        <v>1971</v>
      </c>
      <c r="K97" s="31" t="s">
        <v>1894</v>
      </c>
      <c r="L97" s="31" t="s">
        <v>3616</v>
      </c>
    </row>
    <row r="98" spans="1:12">
      <c r="A98" s="58" t="s">
        <v>2633</v>
      </c>
      <c r="B98" s="31" t="s">
        <v>2634</v>
      </c>
      <c r="C98" s="59" t="s">
        <v>107</v>
      </c>
      <c r="D98" s="59">
        <v>1</v>
      </c>
      <c r="E98" s="31" t="s">
        <v>3617</v>
      </c>
      <c r="F98" s="31" t="s">
        <v>3490</v>
      </c>
      <c r="G98" s="62" t="s">
        <v>2633</v>
      </c>
      <c r="H98" s="31" t="s">
        <v>314</v>
      </c>
      <c r="I98" s="59" t="s">
        <v>3558</v>
      </c>
      <c r="J98" s="31" t="s">
        <v>1945</v>
      </c>
      <c r="K98" s="31" t="s">
        <v>1894</v>
      </c>
      <c r="L98" s="31" t="s">
        <v>3618</v>
      </c>
    </row>
    <row r="99" spans="1:12">
      <c r="A99" s="58" t="s">
        <v>2633</v>
      </c>
      <c r="B99" s="31" t="s">
        <v>2634</v>
      </c>
      <c r="C99" s="59" t="s">
        <v>107</v>
      </c>
      <c r="D99" s="59">
        <v>2</v>
      </c>
      <c r="E99" s="31" t="s">
        <v>1944</v>
      </c>
      <c r="F99" s="31" t="s">
        <v>3560</v>
      </c>
      <c r="G99" s="62" t="s">
        <v>1942</v>
      </c>
      <c r="H99" s="31" t="s">
        <v>314</v>
      </c>
      <c r="I99" s="59" t="s">
        <v>442</v>
      </c>
      <c r="J99" s="31" t="s">
        <v>1945</v>
      </c>
      <c r="K99" s="31" t="s">
        <v>1894</v>
      </c>
      <c r="L99" s="31" t="s">
        <v>3619</v>
      </c>
    </row>
    <row r="100" spans="1:12">
      <c r="A100" s="58" t="s">
        <v>2633</v>
      </c>
      <c r="B100" s="31" t="s">
        <v>2634</v>
      </c>
      <c r="C100" s="59" t="s">
        <v>107</v>
      </c>
      <c r="D100" s="59">
        <v>3</v>
      </c>
      <c r="E100" s="31" t="s">
        <v>2312</v>
      </c>
      <c r="F100" s="31" t="s">
        <v>3538</v>
      </c>
      <c r="G100" s="62" t="s">
        <v>2310</v>
      </c>
      <c r="H100" s="31" t="s">
        <v>314</v>
      </c>
      <c r="I100" s="59" t="s">
        <v>498</v>
      </c>
      <c r="J100" s="31" t="s">
        <v>1945</v>
      </c>
      <c r="K100" s="31" t="s">
        <v>1894</v>
      </c>
      <c r="L100" s="31" t="s">
        <v>3620</v>
      </c>
    </row>
    <row r="101" spans="1:12">
      <c r="A101" s="58" t="s">
        <v>2638</v>
      </c>
      <c r="B101" s="31" t="s">
        <v>2639</v>
      </c>
      <c r="C101" s="59" t="s">
        <v>107</v>
      </c>
      <c r="D101" s="59">
        <v>1</v>
      </c>
      <c r="E101" s="31" t="s">
        <v>3621</v>
      </c>
      <c r="F101" s="31" t="s">
        <v>3490</v>
      </c>
      <c r="G101" s="62" t="s">
        <v>2638</v>
      </c>
      <c r="H101" s="31" t="s">
        <v>314</v>
      </c>
      <c r="I101" s="59" t="s">
        <v>3564</v>
      </c>
      <c r="J101" s="31" t="s">
        <v>1945</v>
      </c>
      <c r="K101" s="31" t="s">
        <v>1894</v>
      </c>
      <c r="L101" s="31" t="s">
        <v>3622</v>
      </c>
    </row>
    <row r="102" spans="1:12">
      <c r="A102" s="58" t="s">
        <v>2638</v>
      </c>
      <c r="B102" s="31" t="s">
        <v>2639</v>
      </c>
      <c r="C102" s="59" t="s">
        <v>107</v>
      </c>
      <c r="D102" s="59">
        <v>2</v>
      </c>
      <c r="E102" s="31" t="s">
        <v>1951</v>
      </c>
      <c r="F102" s="31" t="s">
        <v>3560</v>
      </c>
      <c r="G102" s="62" t="s">
        <v>1949</v>
      </c>
      <c r="H102" s="31" t="s">
        <v>314</v>
      </c>
      <c r="I102" s="59" t="s">
        <v>442</v>
      </c>
      <c r="J102" s="31" t="s">
        <v>1945</v>
      </c>
      <c r="K102" s="31" t="s">
        <v>1894</v>
      </c>
      <c r="L102" s="31" t="s">
        <v>3619</v>
      </c>
    </row>
    <row r="103" spans="1:12">
      <c r="A103" s="58" t="s">
        <v>2638</v>
      </c>
      <c r="B103" s="31" t="s">
        <v>2639</v>
      </c>
      <c r="C103" s="59" t="s">
        <v>107</v>
      </c>
      <c r="D103" s="59">
        <v>3</v>
      </c>
      <c r="E103" s="31" t="s">
        <v>2317</v>
      </c>
      <c r="F103" s="31" t="s">
        <v>3538</v>
      </c>
      <c r="G103" s="62" t="s">
        <v>2315</v>
      </c>
      <c r="H103" s="31" t="s">
        <v>314</v>
      </c>
      <c r="I103" s="59" t="s">
        <v>498</v>
      </c>
      <c r="J103" s="31" t="s">
        <v>1945</v>
      </c>
      <c r="K103" s="31" t="s">
        <v>1894</v>
      </c>
      <c r="L103" s="31" t="s">
        <v>3623</v>
      </c>
    </row>
    <row r="104" spans="1:12">
      <c r="A104" s="58" t="s">
        <v>2643</v>
      </c>
      <c r="B104" s="31" t="s">
        <v>2644</v>
      </c>
      <c r="C104" s="59" t="s">
        <v>107</v>
      </c>
      <c r="D104" s="59">
        <v>1</v>
      </c>
      <c r="E104" s="31" t="s">
        <v>3624</v>
      </c>
      <c r="F104" s="31" t="s">
        <v>3490</v>
      </c>
      <c r="G104" s="62" t="s">
        <v>2643</v>
      </c>
      <c r="H104" s="31" t="s">
        <v>314</v>
      </c>
      <c r="I104" s="59" t="s">
        <v>3535</v>
      </c>
      <c r="J104" s="31" t="s">
        <v>1709</v>
      </c>
      <c r="K104" s="31" t="s">
        <v>1710</v>
      </c>
      <c r="L104" s="31" t="s">
        <v>3625</v>
      </c>
    </row>
    <row r="105" spans="1:12">
      <c r="A105" s="58" t="s">
        <v>2643</v>
      </c>
      <c r="B105" s="31" t="s">
        <v>2644</v>
      </c>
      <c r="C105" s="59" t="s">
        <v>107</v>
      </c>
      <c r="D105" s="59">
        <v>2</v>
      </c>
      <c r="E105" s="31" t="s">
        <v>2047</v>
      </c>
      <c r="F105" s="31" t="s">
        <v>3626</v>
      </c>
      <c r="G105" s="62" t="s">
        <v>2045</v>
      </c>
      <c r="H105" s="31" t="s">
        <v>314</v>
      </c>
      <c r="I105" s="59" t="s">
        <v>536</v>
      </c>
      <c r="J105" s="31" t="s">
        <v>1709</v>
      </c>
      <c r="K105" s="31" t="s">
        <v>1710</v>
      </c>
      <c r="L105" s="31" t="s">
        <v>3627</v>
      </c>
    </row>
    <row r="106" spans="1:12">
      <c r="A106" s="58" t="s">
        <v>2643</v>
      </c>
      <c r="B106" s="31" t="s">
        <v>2644</v>
      </c>
      <c r="C106" s="59" t="s">
        <v>107</v>
      </c>
      <c r="D106" s="59">
        <v>3</v>
      </c>
      <c r="E106" s="31" t="s">
        <v>2145</v>
      </c>
      <c r="F106" s="31" t="s">
        <v>3538</v>
      </c>
      <c r="G106" s="62" t="s">
        <v>2143</v>
      </c>
      <c r="H106" s="31" t="s">
        <v>314</v>
      </c>
      <c r="I106" s="59" t="s">
        <v>671</v>
      </c>
      <c r="J106" s="31" t="s">
        <v>1709</v>
      </c>
      <c r="K106" s="31" t="s">
        <v>1710</v>
      </c>
      <c r="L106" s="31" t="s">
        <v>3628</v>
      </c>
    </row>
    <row r="107" spans="1:12">
      <c r="A107" s="58" t="s">
        <v>2649</v>
      </c>
      <c r="B107" s="31" t="s">
        <v>2650</v>
      </c>
      <c r="C107" s="59" t="s">
        <v>107</v>
      </c>
      <c r="D107" s="59">
        <v>1</v>
      </c>
      <c r="E107" s="31" t="s">
        <v>3629</v>
      </c>
      <c r="F107" s="31" t="s">
        <v>3490</v>
      </c>
      <c r="G107" s="62" t="s">
        <v>2649</v>
      </c>
      <c r="H107" s="31" t="s">
        <v>314</v>
      </c>
      <c r="I107" s="59" t="s">
        <v>3542</v>
      </c>
      <c r="J107" s="31" t="s">
        <v>1709</v>
      </c>
      <c r="K107" s="31" t="s">
        <v>1710</v>
      </c>
      <c r="L107" s="31" t="s">
        <v>3630</v>
      </c>
    </row>
    <row r="108" spans="1:12">
      <c r="A108" s="58" t="s">
        <v>2649</v>
      </c>
      <c r="B108" s="31" t="s">
        <v>2650</v>
      </c>
      <c r="C108" s="59" t="s">
        <v>107</v>
      </c>
      <c r="D108" s="59">
        <v>2</v>
      </c>
      <c r="E108" s="31" t="s">
        <v>1708</v>
      </c>
      <c r="F108" s="31" t="s">
        <v>3560</v>
      </c>
      <c r="G108" s="62" t="s">
        <v>1706</v>
      </c>
      <c r="H108" s="31" t="s">
        <v>314</v>
      </c>
      <c r="I108" s="59" t="s">
        <v>442</v>
      </c>
      <c r="J108" s="31" t="s">
        <v>1709</v>
      </c>
      <c r="K108" s="31" t="s">
        <v>1710</v>
      </c>
      <c r="L108" s="31" t="s">
        <v>3631</v>
      </c>
    </row>
    <row r="109" spans="1:12">
      <c r="A109" s="58" t="s">
        <v>2649</v>
      </c>
      <c r="B109" s="31" t="s">
        <v>2650</v>
      </c>
      <c r="C109" s="59" t="s">
        <v>107</v>
      </c>
      <c r="D109" s="59">
        <v>3</v>
      </c>
      <c r="E109" s="31" t="s">
        <v>2145</v>
      </c>
      <c r="F109" s="31" t="s">
        <v>3538</v>
      </c>
      <c r="G109" s="62" t="s">
        <v>2143</v>
      </c>
      <c r="H109" s="31" t="s">
        <v>314</v>
      </c>
      <c r="I109" s="59" t="s">
        <v>671</v>
      </c>
      <c r="J109" s="31" t="s">
        <v>1709</v>
      </c>
      <c r="K109" s="31" t="s">
        <v>1710</v>
      </c>
      <c r="L109" s="31" t="s">
        <v>3628</v>
      </c>
    </row>
    <row r="110" spans="1:12">
      <c r="A110" s="58" t="s">
        <v>2655</v>
      </c>
      <c r="B110" s="31" t="s">
        <v>2656</v>
      </c>
      <c r="C110" s="59" t="s">
        <v>107</v>
      </c>
      <c r="D110" s="59">
        <v>1</v>
      </c>
      <c r="E110" s="31" t="s">
        <v>3632</v>
      </c>
      <c r="F110" s="31" t="s">
        <v>3490</v>
      </c>
      <c r="G110" s="62" t="s">
        <v>2655</v>
      </c>
      <c r="H110" s="31" t="s">
        <v>314</v>
      </c>
      <c r="I110" s="59" t="s">
        <v>3633</v>
      </c>
      <c r="J110" s="31" t="s">
        <v>1709</v>
      </c>
      <c r="K110" s="31" t="s">
        <v>1710</v>
      </c>
      <c r="L110" s="31" t="s">
        <v>3634</v>
      </c>
    </row>
    <row r="111" spans="1:12">
      <c r="A111" s="58" t="s">
        <v>2655</v>
      </c>
      <c r="B111" s="31" t="s">
        <v>2656</v>
      </c>
      <c r="C111" s="59" t="s">
        <v>107</v>
      </c>
      <c r="D111" s="59">
        <v>2</v>
      </c>
      <c r="E111" s="31" t="s">
        <v>2019</v>
      </c>
      <c r="F111" s="31" t="s">
        <v>3635</v>
      </c>
      <c r="G111" s="62" t="s">
        <v>2017</v>
      </c>
      <c r="H111" s="31" t="s">
        <v>314</v>
      </c>
      <c r="I111" s="59" t="s">
        <v>498</v>
      </c>
      <c r="J111" s="31" t="s">
        <v>1709</v>
      </c>
      <c r="K111" s="31" t="s">
        <v>1710</v>
      </c>
      <c r="L111" s="31" t="s">
        <v>3636</v>
      </c>
    </row>
    <row r="112" spans="1:12">
      <c r="A112" s="58" t="s">
        <v>2655</v>
      </c>
      <c r="B112" s="31" t="s">
        <v>2656</v>
      </c>
      <c r="C112" s="59" t="s">
        <v>107</v>
      </c>
      <c r="D112" s="59">
        <v>3</v>
      </c>
      <c r="E112" s="31" t="s">
        <v>2145</v>
      </c>
      <c r="F112" s="31" t="s">
        <v>3538</v>
      </c>
      <c r="G112" s="62" t="s">
        <v>2143</v>
      </c>
      <c r="H112" s="31" t="s">
        <v>314</v>
      </c>
      <c r="I112" s="59" t="s">
        <v>671</v>
      </c>
      <c r="J112" s="31" t="s">
        <v>1709</v>
      </c>
      <c r="K112" s="31" t="s">
        <v>1710</v>
      </c>
      <c r="L112" s="31" t="s">
        <v>3628</v>
      </c>
    </row>
    <row r="113" spans="1:12">
      <c r="A113" s="58" t="s">
        <v>2661</v>
      </c>
      <c r="B113" s="31" t="s">
        <v>2662</v>
      </c>
      <c r="C113" s="59" t="s">
        <v>107</v>
      </c>
      <c r="D113" s="59">
        <v>1</v>
      </c>
      <c r="E113" s="31" t="s">
        <v>3637</v>
      </c>
      <c r="F113" s="31" t="s">
        <v>3490</v>
      </c>
      <c r="G113" s="62" t="s">
        <v>2661</v>
      </c>
      <c r="H113" s="31" t="s">
        <v>314</v>
      </c>
      <c r="I113" s="59" t="s">
        <v>3535</v>
      </c>
      <c r="J113" s="31" t="s">
        <v>1709</v>
      </c>
      <c r="K113" s="31" t="s">
        <v>1702</v>
      </c>
      <c r="L113" s="31" t="s">
        <v>3638</v>
      </c>
    </row>
    <row r="114" spans="1:12">
      <c r="A114" s="58" t="s">
        <v>2661</v>
      </c>
      <c r="B114" s="31" t="s">
        <v>2662</v>
      </c>
      <c r="C114" s="59" t="s">
        <v>107</v>
      </c>
      <c r="D114" s="59">
        <v>2</v>
      </c>
      <c r="E114" s="31" t="s">
        <v>2054</v>
      </c>
      <c r="F114" s="31" t="s">
        <v>3626</v>
      </c>
      <c r="G114" s="62" t="s">
        <v>2052</v>
      </c>
      <c r="H114" s="31" t="s">
        <v>314</v>
      </c>
      <c r="I114" s="59" t="s">
        <v>536</v>
      </c>
      <c r="J114" s="31" t="s">
        <v>1709</v>
      </c>
      <c r="K114" s="31" t="s">
        <v>1702</v>
      </c>
      <c r="L114" s="31" t="s">
        <v>3639</v>
      </c>
    </row>
    <row r="115" spans="1:12">
      <c r="A115" s="58" t="s">
        <v>2661</v>
      </c>
      <c r="B115" s="31" t="s">
        <v>2662</v>
      </c>
      <c r="C115" s="59" t="s">
        <v>107</v>
      </c>
      <c r="D115" s="59">
        <v>3</v>
      </c>
      <c r="E115" s="31" t="s">
        <v>2153</v>
      </c>
      <c r="F115" s="31" t="s">
        <v>3538</v>
      </c>
      <c r="G115" s="62" t="s">
        <v>2151</v>
      </c>
      <c r="H115" s="31" t="s">
        <v>314</v>
      </c>
      <c r="I115" s="59" t="s">
        <v>671</v>
      </c>
      <c r="J115" s="31" t="s">
        <v>1709</v>
      </c>
      <c r="K115" s="31" t="s">
        <v>1702</v>
      </c>
      <c r="L115" s="31" t="s">
        <v>3640</v>
      </c>
    </row>
    <row r="116" spans="1:12">
      <c r="A116" s="58" t="s">
        <v>2666</v>
      </c>
      <c r="B116" s="31" t="s">
        <v>2667</v>
      </c>
      <c r="C116" s="59" t="s">
        <v>107</v>
      </c>
      <c r="D116" s="59">
        <v>1</v>
      </c>
      <c r="E116" s="31" t="s">
        <v>3641</v>
      </c>
      <c r="F116" s="31" t="s">
        <v>3490</v>
      </c>
      <c r="G116" s="62" t="s">
        <v>2666</v>
      </c>
      <c r="H116" s="31" t="s">
        <v>314</v>
      </c>
      <c r="I116" s="59" t="s">
        <v>3542</v>
      </c>
      <c r="J116" s="31" t="s">
        <v>1709</v>
      </c>
      <c r="K116" s="31" t="s">
        <v>1702</v>
      </c>
      <c r="L116" s="31" t="s">
        <v>3642</v>
      </c>
    </row>
    <row r="117" spans="1:12">
      <c r="A117" s="58" t="s">
        <v>2666</v>
      </c>
      <c r="B117" s="31" t="s">
        <v>2667</v>
      </c>
      <c r="C117" s="59" t="s">
        <v>107</v>
      </c>
      <c r="D117" s="59">
        <v>2</v>
      </c>
      <c r="E117" s="31" t="s">
        <v>1716</v>
      </c>
      <c r="F117" s="31" t="s">
        <v>3560</v>
      </c>
      <c r="G117" s="62" t="s">
        <v>1714</v>
      </c>
      <c r="H117" s="31" t="s">
        <v>314</v>
      </c>
      <c r="I117" s="59" t="s">
        <v>442</v>
      </c>
      <c r="J117" s="31" t="s">
        <v>1709</v>
      </c>
      <c r="K117" s="31" t="s">
        <v>1702</v>
      </c>
      <c r="L117" s="31" t="s">
        <v>3643</v>
      </c>
    </row>
    <row r="118" spans="1:12">
      <c r="A118" s="58" t="s">
        <v>2666</v>
      </c>
      <c r="B118" s="31" t="s">
        <v>2667</v>
      </c>
      <c r="C118" s="59" t="s">
        <v>107</v>
      </c>
      <c r="D118" s="59">
        <v>3</v>
      </c>
      <c r="E118" s="31" t="s">
        <v>2153</v>
      </c>
      <c r="F118" s="31" t="s">
        <v>3538</v>
      </c>
      <c r="G118" s="62" t="s">
        <v>2151</v>
      </c>
      <c r="H118" s="31" t="s">
        <v>314</v>
      </c>
      <c r="I118" s="59" t="s">
        <v>671</v>
      </c>
      <c r="J118" s="31" t="s">
        <v>1709</v>
      </c>
      <c r="K118" s="31" t="s">
        <v>1702</v>
      </c>
      <c r="L118" s="31" t="s">
        <v>3640</v>
      </c>
    </row>
    <row r="119" spans="1:12">
      <c r="A119" s="58" t="s">
        <v>2671</v>
      </c>
      <c r="B119" s="31" t="s">
        <v>2672</v>
      </c>
      <c r="C119" s="59" t="s">
        <v>107</v>
      </c>
      <c r="D119" s="59">
        <v>1</v>
      </c>
      <c r="E119" s="31" t="s">
        <v>3644</v>
      </c>
      <c r="F119" s="31" t="s">
        <v>3490</v>
      </c>
      <c r="G119" s="62" t="s">
        <v>2671</v>
      </c>
      <c r="H119" s="31" t="s">
        <v>314</v>
      </c>
      <c r="I119" s="59" t="s">
        <v>3535</v>
      </c>
      <c r="J119" s="31" t="s">
        <v>1723</v>
      </c>
      <c r="K119" s="31" t="s">
        <v>1710</v>
      </c>
      <c r="L119" s="31" t="s">
        <v>3645</v>
      </c>
    </row>
    <row r="120" spans="1:12">
      <c r="A120" s="58" t="s">
        <v>2671</v>
      </c>
      <c r="B120" s="31" t="s">
        <v>2672</v>
      </c>
      <c r="C120" s="59" t="s">
        <v>107</v>
      </c>
      <c r="D120" s="59">
        <v>2</v>
      </c>
      <c r="E120" s="31" t="s">
        <v>2061</v>
      </c>
      <c r="F120" s="31" t="s">
        <v>3626</v>
      </c>
      <c r="G120" s="62" t="s">
        <v>2059</v>
      </c>
      <c r="H120" s="31" t="s">
        <v>314</v>
      </c>
      <c r="I120" s="59" t="s">
        <v>536</v>
      </c>
      <c r="J120" s="31" t="s">
        <v>1723</v>
      </c>
      <c r="K120" s="31" t="s">
        <v>1710</v>
      </c>
      <c r="L120" s="31" t="s">
        <v>3646</v>
      </c>
    </row>
    <row r="121" spans="1:12">
      <c r="A121" s="58" t="s">
        <v>2671</v>
      </c>
      <c r="B121" s="31" t="s">
        <v>2672</v>
      </c>
      <c r="C121" s="59" t="s">
        <v>107</v>
      </c>
      <c r="D121" s="59">
        <v>3</v>
      </c>
      <c r="E121" s="31" t="s">
        <v>2159</v>
      </c>
      <c r="F121" s="31" t="s">
        <v>3538</v>
      </c>
      <c r="G121" s="62" t="s">
        <v>2157</v>
      </c>
      <c r="H121" s="31" t="s">
        <v>314</v>
      </c>
      <c r="I121" s="59" t="s">
        <v>671</v>
      </c>
      <c r="J121" s="31" t="s">
        <v>1723</v>
      </c>
      <c r="K121" s="31" t="s">
        <v>1710</v>
      </c>
      <c r="L121" s="31" t="s">
        <v>3647</v>
      </c>
    </row>
    <row r="122" spans="1:12">
      <c r="A122" s="58" t="s">
        <v>2676</v>
      </c>
      <c r="B122" s="31" t="s">
        <v>2677</v>
      </c>
      <c r="C122" s="59" t="s">
        <v>107</v>
      </c>
      <c r="D122" s="59">
        <v>1</v>
      </c>
      <c r="E122" s="31" t="s">
        <v>3648</v>
      </c>
      <c r="F122" s="31" t="s">
        <v>3490</v>
      </c>
      <c r="G122" s="62" t="s">
        <v>2676</v>
      </c>
      <c r="H122" s="31" t="s">
        <v>314</v>
      </c>
      <c r="I122" s="59" t="s">
        <v>3542</v>
      </c>
      <c r="J122" s="31" t="s">
        <v>1723</v>
      </c>
      <c r="K122" s="31" t="s">
        <v>1710</v>
      </c>
      <c r="L122" s="31" t="s">
        <v>3649</v>
      </c>
    </row>
    <row r="123" spans="1:12">
      <c r="A123" s="58" t="s">
        <v>2676</v>
      </c>
      <c r="B123" s="31" t="s">
        <v>2677</v>
      </c>
      <c r="C123" s="59" t="s">
        <v>107</v>
      </c>
      <c r="D123" s="59">
        <v>2</v>
      </c>
      <c r="E123" s="31" t="s">
        <v>1722</v>
      </c>
      <c r="F123" s="31" t="s">
        <v>3560</v>
      </c>
      <c r="G123" s="62" t="s">
        <v>1720</v>
      </c>
      <c r="H123" s="31" t="s">
        <v>314</v>
      </c>
      <c r="I123" s="59" t="s">
        <v>442</v>
      </c>
      <c r="J123" s="31" t="s">
        <v>1723</v>
      </c>
      <c r="K123" s="31" t="s">
        <v>1710</v>
      </c>
      <c r="L123" s="31" t="s">
        <v>3650</v>
      </c>
    </row>
    <row r="124" spans="1:12">
      <c r="A124" s="58" t="s">
        <v>2676</v>
      </c>
      <c r="B124" s="31" t="s">
        <v>2677</v>
      </c>
      <c r="C124" s="59" t="s">
        <v>107</v>
      </c>
      <c r="D124" s="59">
        <v>3</v>
      </c>
      <c r="E124" s="31" t="s">
        <v>2159</v>
      </c>
      <c r="F124" s="31" t="s">
        <v>3538</v>
      </c>
      <c r="G124" s="62" t="s">
        <v>2157</v>
      </c>
      <c r="H124" s="31" t="s">
        <v>314</v>
      </c>
      <c r="I124" s="59" t="s">
        <v>671</v>
      </c>
      <c r="J124" s="31" t="s">
        <v>1723</v>
      </c>
      <c r="K124" s="31" t="s">
        <v>1710</v>
      </c>
      <c r="L124" s="31" t="s">
        <v>3647</v>
      </c>
    </row>
    <row r="125" spans="1:12">
      <c r="A125" s="58" t="s">
        <v>2681</v>
      </c>
      <c r="B125" s="31" t="s">
        <v>2682</v>
      </c>
      <c r="C125" s="59" t="s">
        <v>107</v>
      </c>
      <c r="D125" s="59">
        <v>1</v>
      </c>
      <c r="E125" s="31" t="s">
        <v>3651</v>
      </c>
      <c r="F125" s="31" t="s">
        <v>3490</v>
      </c>
      <c r="G125" s="62" t="s">
        <v>2681</v>
      </c>
      <c r="H125" s="31" t="s">
        <v>314</v>
      </c>
      <c r="I125" s="59" t="s">
        <v>3633</v>
      </c>
      <c r="J125" s="31" t="s">
        <v>1723</v>
      </c>
      <c r="K125" s="31" t="s">
        <v>1710</v>
      </c>
      <c r="L125" s="31" t="s">
        <v>3652</v>
      </c>
    </row>
    <row r="126" spans="1:12">
      <c r="A126" s="58" t="s">
        <v>2681</v>
      </c>
      <c r="B126" s="31" t="s">
        <v>2682</v>
      </c>
      <c r="C126" s="59" t="s">
        <v>107</v>
      </c>
      <c r="D126" s="59">
        <v>2</v>
      </c>
      <c r="E126" s="31" t="s">
        <v>2025</v>
      </c>
      <c r="F126" s="31" t="s">
        <v>3635</v>
      </c>
      <c r="G126" s="62" t="s">
        <v>2023</v>
      </c>
      <c r="H126" s="31" t="s">
        <v>314</v>
      </c>
      <c r="I126" s="59" t="s">
        <v>498</v>
      </c>
      <c r="J126" s="31" t="s">
        <v>1723</v>
      </c>
      <c r="K126" s="31" t="s">
        <v>1710</v>
      </c>
      <c r="L126" s="31" t="s">
        <v>3653</v>
      </c>
    </row>
    <row r="127" spans="1:12">
      <c r="A127" s="58" t="s">
        <v>2681</v>
      </c>
      <c r="B127" s="31" t="s">
        <v>2682</v>
      </c>
      <c r="C127" s="59" t="s">
        <v>107</v>
      </c>
      <c r="D127" s="59">
        <v>3</v>
      </c>
      <c r="E127" s="31" t="s">
        <v>2159</v>
      </c>
      <c r="F127" s="31" t="s">
        <v>3538</v>
      </c>
      <c r="G127" s="62" t="s">
        <v>2157</v>
      </c>
      <c r="H127" s="31" t="s">
        <v>314</v>
      </c>
      <c r="I127" s="59" t="s">
        <v>671</v>
      </c>
      <c r="J127" s="31" t="s">
        <v>1723</v>
      </c>
      <c r="K127" s="31" t="s">
        <v>1710</v>
      </c>
      <c r="L127" s="31" t="s">
        <v>3647</v>
      </c>
    </row>
    <row r="128" spans="1:12">
      <c r="A128" s="58" t="s">
        <v>2686</v>
      </c>
      <c r="B128" s="31" t="s">
        <v>2687</v>
      </c>
      <c r="C128" s="59" t="s">
        <v>107</v>
      </c>
      <c r="D128" s="59">
        <v>1</v>
      </c>
      <c r="E128" s="31" t="s">
        <v>3654</v>
      </c>
      <c r="F128" s="31" t="s">
        <v>3490</v>
      </c>
      <c r="G128" s="62" t="s">
        <v>2686</v>
      </c>
      <c r="H128" s="31" t="s">
        <v>314</v>
      </c>
      <c r="I128" s="59" t="s">
        <v>3535</v>
      </c>
      <c r="J128" s="31" t="s">
        <v>1723</v>
      </c>
      <c r="K128" s="31" t="s">
        <v>1702</v>
      </c>
      <c r="L128" s="31" t="s">
        <v>3655</v>
      </c>
    </row>
    <row r="129" spans="1:12">
      <c r="A129" s="58" t="s">
        <v>2686</v>
      </c>
      <c r="B129" s="31" t="s">
        <v>2687</v>
      </c>
      <c r="C129" s="59" t="s">
        <v>107</v>
      </c>
      <c r="D129" s="59">
        <v>2</v>
      </c>
      <c r="E129" s="31" t="s">
        <v>2068</v>
      </c>
      <c r="F129" s="31" t="s">
        <v>3626</v>
      </c>
      <c r="G129" s="62" t="s">
        <v>2066</v>
      </c>
      <c r="H129" s="31" t="s">
        <v>314</v>
      </c>
      <c r="I129" s="59" t="s">
        <v>536</v>
      </c>
      <c r="J129" s="31" t="s">
        <v>1723</v>
      </c>
      <c r="K129" s="31" t="s">
        <v>1702</v>
      </c>
      <c r="L129" s="31" t="s">
        <v>3656</v>
      </c>
    </row>
    <row r="130" spans="1:12">
      <c r="A130" s="58" t="s">
        <v>2686</v>
      </c>
      <c r="B130" s="31" t="s">
        <v>2687</v>
      </c>
      <c r="C130" s="59" t="s">
        <v>107</v>
      </c>
      <c r="D130" s="59">
        <v>3</v>
      </c>
      <c r="E130" s="31" t="s">
        <v>2165</v>
      </c>
      <c r="F130" s="31" t="s">
        <v>3538</v>
      </c>
      <c r="G130" s="62" t="s">
        <v>2163</v>
      </c>
      <c r="H130" s="31" t="s">
        <v>314</v>
      </c>
      <c r="I130" s="59" t="s">
        <v>671</v>
      </c>
      <c r="J130" s="31" t="s">
        <v>1723</v>
      </c>
      <c r="K130" s="31" t="s">
        <v>1702</v>
      </c>
      <c r="L130" s="31" t="s">
        <v>3657</v>
      </c>
    </row>
    <row r="131" spans="1:12">
      <c r="A131" s="58" t="s">
        <v>2691</v>
      </c>
      <c r="B131" s="31" t="s">
        <v>2692</v>
      </c>
      <c r="C131" s="59" t="s">
        <v>107</v>
      </c>
      <c r="D131" s="59">
        <v>1</v>
      </c>
      <c r="E131" s="31" t="s">
        <v>3658</v>
      </c>
      <c r="F131" s="31" t="s">
        <v>3490</v>
      </c>
      <c r="G131" s="62" t="s">
        <v>2691</v>
      </c>
      <c r="H131" s="31" t="s">
        <v>314</v>
      </c>
      <c r="I131" s="59" t="s">
        <v>3542</v>
      </c>
      <c r="J131" s="31" t="s">
        <v>1723</v>
      </c>
      <c r="K131" s="31" t="s">
        <v>1702</v>
      </c>
      <c r="L131" s="31" t="s">
        <v>3659</v>
      </c>
    </row>
    <row r="132" spans="1:12">
      <c r="A132" s="58" t="s">
        <v>2691</v>
      </c>
      <c r="B132" s="31" t="s">
        <v>2692</v>
      </c>
      <c r="C132" s="59" t="s">
        <v>107</v>
      </c>
      <c r="D132" s="59">
        <v>2</v>
      </c>
      <c r="E132" s="31" t="s">
        <v>1729</v>
      </c>
      <c r="F132" s="31" t="s">
        <v>3560</v>
      </c>
      <c r="G132" s="62" t="s">
        <v>1727</v>
      </c>
      <c r="H132" s="31" t="s">
        <v>314</v>
      </c>
      <c r="I132" s="59" t="s">
        <v>442</v>
      </c>
      <c r="J132" s="31" t="s">
        <v>1723</v>
      </c>
      <c r="K132" s="31" t="s">
        <v>1702</v>
      </c>
      <c r="L132" s="31" t="s">
        <v>3660</v>
      </c>
    </row>
    <row r="133" spans="1:12">
      <c r="A133" s="58" t="s">
        <v>2691</v>
      </c>
      <c r="B133" s="31" t="s">
        <v>2692</v>
      </c>
      <c r="C133" s="59" t="s">
        <v>107</v>
      </c>
      <c r="D133" s="59">
        <v>3</v>
      </c>
      <c r="E133" s="31" t="s">
        <v>2165</v>
      </c>
      <c r="F133" s="31" t="s">
        <v>3538</v>
      </c>
      <c r="G133" s="62" t="s">
        <v>2163</v>
      </c>
      <c r="H133" s="31" t="s">
        <v>314</v>
      </c>
      <c r="I133" s="59" t="s">
        <v>671</v>
      </c>
      <c r="J133" s="31" t="s">
        <v>1723</v>
      </c>
      <c r="K133" s="31" t="s">
        <v>1702</v>
      </c>
      <c r="L133" s="31" t="s">
        <v>3657</v>
      </c>
    </row>
    <row r="134" spans="1:12">
      <c r="A134" s="58" t="s">
        <v>2696</v>
      </c>
      <c r="B134" s="31" t="s">
        <v>2697</v>
      </c>
      <c r="C134" s="59" t="s">
        <v>107</v>
      </c>
      <c r="D134" s="59">
        <v>1</v>
      </c>
      <c r="E134" s="31" t="s">
        <v>3661</v>
      </c>
      <c r="F134" s="31" t="s">
        <v>3490</v>
      </c>
      <c r="G134" s="62" t="s">
        <v>2696</v>
      </c>
      <c r="H134" s="31" t="s">
        <v>314</v>
      </c>
      <c r="I134" s="59" t="s">
        <v>3535</v>
      </c>
      <c r="J134" s="31" t="s">
        <v>1789</v>
      </c>
      <c r="K134" s="31" t="s">
        <v>1710</v>
      </c>
      <c r="L134" s="31" t="s">
        <v>3662</v>
      </c>
    </row>
    <row r="135" spans="1:12">
      <c r="A135" s="58" t="s">
        <v>2696</v>
      </c>
      <c r="B135" s="31" t="s">
        <v>2697</v>
      </c>
      <c r="C135" s="59" t="s">
        <v>107</v>
      </c>
      <c r="D135" s="59">
        <v>2</v>
      </c>
      <c r="E135" s="31" t="s">
        <v>2131</v>
      </c>
      <c r="F135" s="31" t="s">
        <v>3626</v>
      </c>
      <c r="G135" s="62" t="s">
        <v>2129</v>
      </c>
      <c r="H135" s="31" t="s">
        <v>314</v>
      </c>
      <c r="I135" s="59" t="s">
        <v>536</v>
      </c>
      <c r="J135" s="31" t="s">
        <v>1789</v>
      </c>
      <c r="K135" s="31" t="s">
        <v>1710</v>
      </c>
      <c r="L135" s="31" t="s">
        <v>3663</v>
      </c>
    </row>
    <row r="136" spans="1:12">
      <c r="A136" s="58" t="s">
        <v>2696</v>
      </c>
      <c r="B136" s="31" t="s">
        <v>2697</v>
      </c>
      <c r="C136" s="59" t="s">
        <v>107</v>
      </c>
      <c r="D136" s="59">
        <v>3</v>
      </c>
      <c r="E136" s="31" t="s">
        <v>2219</v>
      </c>
      <c r="F136" s="31" t="s">
        <v>3538</v>
      </c>
      <c r="G136" s="62" t="s">
        <v>2217</v>
      </c>
      <c r="H136" s="31" t="s">
        <v>314</v>
      </c>
      <c r="I136" s="59" t="s">
        <v>671</v>
      </c>
      <c r="J136" s="31" t="s">
        <v>1789</v>
      </c>
      <c r="K136" s="31" t="s">
        <v>1710</v>
      </c>
      <c r="L136" s="31" t="s">
        <v>3664</v>
      </c>
    </row>
    <row r="137" spans="1:12">
      <c r="A137" s="58" t="s">
        <v>2701</v>
      </c>
      <c r="B137" s="31" t="s">
        <v>2702</v>
      </c>
      <c r="C137" s="59" t="s">
        <v>107</v>
      </c>
      <c r="D137" s="59">
        <v>1</v>
      </c>
      <c r="E137" s="31" t="s">
        <v>3665</v>
      </c>
      <c r="F137" s="31" t="s">
        <v>3490</v>
      </c>
      <c r="G137" s="62" t="s">
        <v>2701</v>
      </c>
      <c r="H137" s="31" t="s">
        <v>314</v>
      </c>
      <c r="I137" s="59" t="s">
        <v>3542</v>
      </c>
      <c r="J137" s="31" t="s">
        <v>1789</v>
      </c>
      <c r="K137" s="31" t="s">
        <v>1710</v>
      </c>
      <c r="L137" s="31" t="s">
        <v>3666</v>
      </c>
    </row>
    <row r="138" spans="1:12">
      <c r="A138" s="58" t="s">
        <v>2701</v>
      </c>
      <c r="B138" s="31" t="s">
        <v>2702</v>
      </c>
      <c r="C138" s="59" t="s">
        <v>107</v>
      </c>
      <c r="D138" s="59">
        <v>2</v>
      </c>
      <c r="E138" s="31" t="s">
        <v>1788</v>
      </c>
      <c r="F138" s="31" t="s">
        <v>3560</v>
      </c>
      <c r="G138" s="62" t="s">
        <v>1786</v>
      </c>
      <c r="H138" s="31" t="s">
        <v>314</v>
      </c>
      <c r="I138" s="59" t="s">
        <v>442</v>
      </c>
      <c r="J138" s="31" t="s">
        <v>1789</v>
      </c>
      <c r="K138" s="31" t="s">
        <v>1710</v>
      </c>
      <c r="L138" s="31" t="s">
        <v>3667</v>
      </c>
    </row>
    <row r="139" spans="1:12">
      <c r="A139" s="58" t="s">
        <v>2701</v>
      </c>
      <c r="B139" s="31" t="s">
        <v>2702</v>
      </c>
      <c r="C139" s="59" t="s">
        <v>107</v>
      </c>
      <c r="D139" s="59">
        <v>3</v>
      </c>
      <c r="E139" s="31" t="s">
        <v>2219</v>
      </c>
      <c r="F139" s="31" t="s">
        <v>3538</v>
      </c>
      <c r="G139" s="62" t="s">
        <v>2217</v>
      </c>
      <c r="H139" s="31" t="s">
        <v>314</v>
      </c>
      <c r="I139" s="59" t="s">
        <v>671</v>
      </c>
      <c r="J139" s="31" t="s">
        <v>1789</v>
      </c>
      <c r="K139" s="31" t="s">
        <v>1710</v>
      </c>
      <c r="L139" s="31" t="s">
        <v>3664</v>
      </c>
    </row>
    <row r="140" spans="1:12">
      <c r="A140" s="58" t="s">
        <v>2706</v>
      </c>
      <c r="B140" s="31" t="s">
        <v>2707</v>
      </c>
      <c r="C140" s="59" t="s">
        <v>107</v>
      </c>
      <c r="D140" s="59">
        <v>1</v>
      </c>
      <c r="E140" s="31" t="s">
        <v>3668</v>
      </c>
      <c r="F140" s="31" t="s">
        <v>3490</v>
      </c>
      <c r="G140" s="62" t="s">
        <v>2706</v>
      </c>
      <c r="H140" s="31" t="s">
        <v>314</v>
      </c>
      <c r="I140" s="59" t="s">
        <v>3633</v>
      </c>
      <c r="J140" s="31" t="s">
        <v>1789</v>
      </c>
      <c r="K140" s="31" t="s">
        <v>1710</v>
      </c>
      <c r="L140" s="31" t="s">
        <v>3669</v>
      </c>
    </row>
    <row r="141" spans="1:12">
      <c r="A141" s="58" t="s">
        <v>2706</v>
      </c>
      <c r="B141" s="31" t="s">
        <v>2707</v>
      </c>
      <c r="C141" s="59" t="s">
        <v>107</v>
      </c>
      <c r="D141" s="59">
        <v>2</v>
      </c>
      <c r="E141" s="31" t="s">
        <v>2031</v>
      </c>
      <c r="F141" s="31" t="s">
        <v>3635</v>
      </c>
      <c r="G141" s="62" t="s">
        <v>2029</v>
      </c>
      <c r="H141" s="31" t="s">
        <v>314</v>
      </c>
      <c r="I141" s="59" t="s">
        <v>498</v>
      </c>
      <c r="J141" s="31" t="s">
        <v>1789</v>
      </c>
      <c r="K141" s="31" t="s">
        <v>1710</v>
      </c>
      <c r="L141" s="31" t="s">
        <v>3670</v>
      </c>
    </row>
    <row r="142" spans="1:12">
      <c r="A142" s="58" t="s">
        <v>2706</v>
      </c>
      <c r="B142" s="31" t="s">
        <v>2707</v>
      </c>
      <c r="C142" s="59" t="s">
        <v>107</v>
      </c>
      <c r="D142" s="59">
        <v>3</v>
      </c>
      <c r="E142" s="31" t="s">
        <v>2219</v>
      </c>
      <c r="F142" s="31" t="s">
        <v>3538</v>
      </c>
      <c r="G142" s="62" t="s">
        <v>2217</v>
      </c>
      <c r="H142" s="31" t="s">
        <v>314</v>
      </c>
      <c r="I142" s="59" t="s">
        <v>671</v>
      </c>
      <c r="J142" s="31" t="s">
        <v>1789</v>
      </c>
      <c r="K142" s="31" t="s">
        <v>1710</v>
      </c>
      <c r="L142" s="31" t="s">
        <v>3664</v>
      </c>
    </row>
    <row r="143" spans="1:12">
      <c r="A143" s="58" t="s">
        <v>2711</v>
      </c>
      <c r="B143" s="31" t="s">
        <v>2712</v>
      </c>
      <c r="C143" s="59" t="s">
        <v>107</v>
      </c>
      <c r="D143" s="59">
        <v>1</v>
      </c>
      <c r="E143" s="31" t="s">
        <v>3671</v>
      </c>
      <c r="F143" s="31" t="s">
        <v>3490</v>
      </c>
      <c r="G143" s="62" t="s">
        <v>2711</v>
      </c>
      <c r="H143" s="31" t="s">
        <v>314</v>
      </c>
      <c r="I143" s="59" t="s">
        <v>3535</v>
      </c>
      <c r="J143" s="31" t="s">
        <v>1789</v>
      </c>
      <c r="K143" s="31" t="s">
        <v>1702</v>
      </c>
      <c r="L143" s="31" t="s">
        <v>3672</v>
      </c>
    </row>
    <row r="144" spans="1:12">
      <c r="A144" s="58" t="s">
        <v>2711</v>
      </c>
      <c r="B144" s="31" t="s">
        <v>2712</v>
      </c>
      <c r="C144" s="59" t="s">
        <v>107</v>
      </c>
      <c r="D144" s="59">
        <v>2</v>
      </c>
      <c r="E144" s="31" t="s">
        <v>2138</v>
      </c>
      <c r="F144" s="31" t="s">
        <v>3626</v>
      </c>
      <c r="G144" s="62" t="s">
        <v>2136</v>
      </c>
      <c r="H144" s="31" t="s">
        <v>314</v>
      </c>
      <c r="I144" s="59" t="s">
        <v>536</v>
      </c>
      <c r="J144" s="31" t="s">
        <v>1789</v>
      </c>
      <c r="K144" s="31" t="s">
        <v>1702</v>
      </c>
      <c r="L144" s="31" t="s">
        <v>3673</v>
      </c>
    </row>
    <row r="145" spans="1:12">
      <c r="A145" s="58" t="s">
        <v>2711</v>
      </c>
      <c r="B145" s="31" t="s">
        <v>2712</v>
      </c>
      <c r="C145" s="59" t="s">
        <v>107</v>
      </c>
      <c r="D145" s="59">
        <v>3</v>
      </c>
      <c r="E145" s="31" t="s">
        <v>2225</v>
      </c>
      <c r="F145" s="31" t="s">
        <v>3538</v>
      </c>
      <c r="G145" s="62" t="s">
        <v>2223</v>
      </c>
      <c r="H145" s="31" t="s">
        <v>314</v>
      </c>
      <c r="I145" s="59" t="s">
        <v>671</v>
      </c>
      <c r="J145" s="31" t="s">
        <v>1789</v>
      </c>
      <c r="K145" s="31" t="s">
        <v>1702</v>
      </c>
      <c r="L145" s="31" t="s">
        <v>3674</v>
      </c>
    </row>
    <row r="146" spans="1:12">
      <c r="A146" s="58" t="s">
        <v>2716</v>
      </c>
      <c r="B146" s="31" t="s">
        <v>2717</v>
      </c>
      <c r="C146" s="59" t="s">
        <v>107</v>
      </c>
      <c r="D146" s="59">
        <v>1</v>
      </c>
      <c r="E146" s="31" t="s">
        <v>3675</v>
      </c>
      <c r="F146" s="31" t="s">
        <v>3490</v>
      </c>
      <c r="G146" s="62" t="s">
        <v>2716</v>
      </c>
      <c r="H146" s="31" t="s">
        <v>314</v>
      </c>
      <c r="I146" s="59" t="s">
        <v>3542</v>
      </c>
      <c r="J146" s="31" t="s">
        <v>1789</v>
      </c>
      <c r="K146" s="31" t="s">
        <v>1702</v>
      </c>
      <c r="L146" s="31" t="s">
        <v>3676</v>
      </c>
    </row>
    <row r="147" spans="1:12">
      <c r="A147" s="58" t="s">
        <v>2716</v>
      </c>
      <c r="B147" s="31" t="s">
        <v>2717</v>
      </c>
      <c r="C147" s="59" t="s">
        <v>107</v>
      </c>
      <c r="D147" s="59">
        <v>2</v>
      </c>
      <c r="E147" s="31" t="s">
        <v>1795</v>
      </c>
      <c r="F147" s="31" t="s">
        <v>3560</v>
      </c>
      <c r="G147" s="62" t="s">
        <v>1793</v>
      </c>
      <c r="H147" s="31" t="s">
        <v>314</v>
      </c>
      <c r="I147" s="59" t="s">
        <v>442</v>
      </c>
      <c r="J147" s="31" t="s">
        <v>1789</v>
      </c>
      <c r="K147" s="31" t="s">
        <v>1702</v>
      </c>
      <c r="L147" s="31" t="s">
        <v>3677</v>
      </c>
    </row>
    <row r="148" spans="1:12">
      <c r="A148" s="58" t="s">
        <v>2716</v>
      </c>
      <c r="B148" s="31" t="s">
        <v>2717</v>
      </c>
      <c r="C148" s="59" t="s">
        <v>107</v>
      </c>
      <c r="D148" s="59">
        <v>3</v>
      </c>
      <c r="E148" s="31" t="s">
        <v>2225</v>
      </c>
      <c r="F148" s="31" t="s">
        <v>3538</v>
      </c>
      <c r="G148" s="62" t="s">
        <v>2223</v>
      </c>
      <c r="H148" s="31" t="s">
        <v>314</v>
      </c>
      <c r="I148" s="59" t="s">
        <v>671</v>
      </c>
      <c r="J148" s="31" t="s">
        <v>1789</v>
      </c>
      <c r="K148" s="31" t="s">
        <v>1702</v>
      </c>
      <c r="L148" s="31" t="s">
        <v>3674</v>
      </c>
    </row>
    <row r="149" spans="1:12">
      <c r="A149" s="58" t="s">
        <v>2721</v>
      </c>
      <c r="B149" s="31" t="s">
        <v>2722</v>
      </c>
      <c r="C149" s="59" t="s">
        <v>107</v>
      </c>
      <c r="D149" s="59">
        <v>1</v>
      </c>
      <c r="E149" s="31" t="s">
        <v>3678</v>
      </c>
      <c r="F149" s="31" t="s">
        <v>3490</v>
      </c>
      <c r="G149" s="62" t="s">
        <v>2721</v>
      </c>
      <c r="H149" s="31" t="s">
        <v>314</v>
      </c>
      <c r="I149" s="59" t="s">
        <v>3535</v>
      </c>
      <c r="J149" s="31" t="s">
        <v>1776</v>
      </c>
      <c r="K149" s="31" t="s">
        <v>1710</v>
      </c>
      <c r="L149" s="31" t="s">
        <v>3679</v>
      </c>
    </row>
    <row r="150" spans="1:12">
      <c r="A150" s="58" t="s">
        <v>2721</v>
      </c>
      <c r="B150" s="31" t="s">
        <v>2722</v>
      </c>
      <c r="C150" s="59" t="s">
        <v>107</v>
      </c>
      <c r="D150" s="59">
        <v>2</v>
      </c>
      <c r="E150" s="31" t="s">
        <v>2117</v>
      </c>
      <c r="F150" s="31" t="s">
        <v>3626</v>
      </c>
      <c r="G150" s="62" t="s">
        <v>2115</v>
      </c>
      <c r="H150" s="31" t="s">
        <v>314</v>
      </c>
      <c r="I150" s="59" t="s">
        <v>536</v>
      </c>
      <c r="J150" s="31" t="s">
        <v>1776</v>
      </c>
      <c r="K150" s="31" t="s">
        <v>1710</v>
      </c>
      <c r="L150" s="31" t="s">
        <v>3680</v>
      </c>
    </row>
    <row r="151" spans="1:12">
      <c r="A151" s="58" t="s">
        <v>2721</v>
      </c>
      <c r="B151" s="31" t="s">
        <v>2722</v>
      </c>
      <c r="C151" s="59" t="s">
        <v>107</v>
      </c>
      <c r="D151" s="59">
        <v>3</v>
      </c>
      <c r="E151" s="31" t="s">
        <v>2207</v>
      </c>
      <c r="F151" s="31" t="s">
        <v>3538</v>
      </c>
      <c r="G151" s="62" t="s">
        <v>2205</v>
      </c>
      <c r="H151" s="31" t="s">
        <v>314</v>
      </c>
      <c r="I151" s="59" t="s">
        <v>671</v>
      </c>
      <c r="J151" s="31" t="s">
        <v>1776</v>
      </c>
      <c r="K151" s="31" t="s">
        <v>1710</v>
      </c>
      <c r="L151" s="31" t="s">
        <v>3681</v>
      </c>
    </row>
    <row r="152" spans="1:12">
      <c r="A152" s="58" t="s">
        <v>2726</v>
      </c>
      <c r="B152" s="31" t="s">
        <v>2727</v>
      </c>
      <c r="C152" s="59" t="s">
        <v>107</v>
      </c>
      <c r="D152" s="59">
        <v>1</v>
      </c>
      <c r="E152" s="31" t="s">
        <v>3682</v>
      </c>
      <c r="F152" s="31" t="s">
        <v>3490</v>
      </c>
      <c r="G152" s="62" t="s">
        <v>2726</v>
      </c>
      <c r="H152" s="31" t="s">
        <v>314</v>
      </c>
      <c r="I152" s="59" t="s">
        <v>3542</v>
      </c>
      <c r="J152" s="31" t="s">
        <v>1776</v>
      </c>
      <c r="K152" s="31" t="s">
        <v>1710</v>
      </c>
      <c r="L152" s="31" t="s">
        <v>3683</v>
      </c>
    </row>
    <row r="153" spans="1:12">
      <c r="A153" s="58" t="s">
        <v>2726</v>
      </c>
      <c r="B153" s="31" t="s">
        <v>2727</v>
      </c>
      <c r="C153" s="59" t="s">
        <v>107</v>
      </c>
      <c r="D153" s="59">
        <v>2</v>
      </c>
      <c r="E153" s="31" t="s">
        <v>1775</v>
      </c>
      <c r="F153" s="31" t="s">
        <v>3560</v>
      </c>
      <c r="G153" s="62" t="s">
        <v>1773</v>
      </c>
      <c r="H153" s="31" t="s">
        <v>314</v>
      </c>
      <c r="I153" s="59" t="s">
        <v>442</v>
      </c>
      <c r="J153" s="31" t="s">
        <v>1776</v>
      </c>
      <c r="K153" s="31" t="s">
        <v>1710</v>
      </c>
      <c r="L153" s="31" t="s">
        <v>3684</v>
      </c>
    </row>
    <row r="154" spans="1:12">
      <c r="A154" s="58" t="s">
        <v>2726</v>
      </c>
      <c r="B154" s="31" t="s">
        <v>2727</v>
      </c>
      <c r="C154" s="59" t="s">
        <v>107</v>
      </c>
      <c r="D154" s="59">
        <v>3</v>
      </c>
      <c r="E154" s="31" t="s">
        <v>2207</v>
      </c>
      <c r="F154" s="31" t="s">
        <v>3538</v>
      </c>
      <c r="G154" s="62" t="s">
        <v>2205</v>
      </c>
      <c r="H154" s="31" t="s">
        <v>314</v>
      </c>
      <c r="I154" s="59" t="s">
        <v>671</v>
      </c>
      <c r="J154" s="31" t="s">
        <v>1776</v>
      </c>
      <c r="K154" s="31" t="s">
        <v>1710</v>
      </c>
      <c r="L154" s="31" t="s">
        <v>3681</v>
      </c>
    </row>
    <row r="155" spans="1:12">
      <c r="A155" s="58" t="s">
        <v>2731</v>
      </c>
      <c r="B155" s="31" t="s">
        <v>2732</v>
      </c>
      <c r="C155" s="59" t="s">
        <v>107</v>
      </c>
      <c r="D155" s="59">
        <v>1</v>
      </c>
      <c r="E155" s="31" t="s">
        <v>3685</v>
      </c>
      <c r="F155" s="31" t="s">
        <v>3490</v>
      </c>
      <c r="G155" s="62" t="s">
        <v>2731</v>
      </c>
      <c r="H155" s="31" t="s">
        <v>314</v>
      </c>
      <c r="I155" s="59" t="s">
        <v>3535</v>
      </c>
      <c r="J155" s="31" t="s">
        <v>1776</v>
      </c>
      <c r="K155" s="31" t="s">
        <v>1702</v>
      </c>
      <c r="L155" s="31" t="s">
        <v>3686</v>
      </c>
    </row>
    <row r="156" spans="1:12">
      <c r="A156" s="58" t="s">
        <v>2731</v>
      </c>
      <c r="B156" s="31" t="s">
        <v>2732</v>
      </c>
      <c r="C156" s="59" t="s">
        <v>107</v>
      </c>
      <c r="D156" s="59">
        <v>2</v>
      </c>
      <c r="E156" s="31" t="s">
        <v>2124</v>
      </c>
      <c r="F156" s="31" t="s">
        <v>3626</v>
      </c>
      <c r="G156" s="62" t="s">
        <v>2122</v>
      </c>
      <c r="H156" s="31" t="s">
        <v>314</v>
      </c>
      <c r="I156" s="59" t="s">
        <v>536</v>
      </c>
      <c r="J156" s="31" t="s">
        <v>1776</v>
      </c>
      <c r="K156" s="31" t="s">
        <v>1702</v>
      </c>
      <c r="L156" s="31" t="s">
        <v>3687</v>
      </c>
    </row>
    <row r="157" spans="1:12">
      <c r="A157" s="58" t="s">
        <v>2731</v>
      </c>
      <c r="B157" s="31" t="s">
        <v>2732</v>
      </c>
      <c r="C157" s="59" t="s">
        <v>107</v>
      </c>
      <c r="D157" s="59">
        <v>3</v>
      </c>
      <c r="E157" s="31" t="s">
        <v>2213</v>
      </c>
      <c r="F157" s="31" t="s">
        <v>3538</v>
      </c>
      <c r="G157" s="62" t="s">
        <v>2211</v>
      </c>
      <c r="H157" s="31" t="s">
        <v>314</v>
      </c>
      <c r="I157" s="59" t="s">
        <v>671</v>
      </c>
      <c r="J157" s="31" t="s">
        <v>1776</v>
      </c>
      <c r="K157" s="31" t="s">
        <v>1702</v>
      </c>
      <c r="L157" s="31" t="s">
        <v>3688</v>
      </c>
    </row>
    <row r="158" spans="1:12">
      <c r="A158" s="58" t="s">
        <v>2736</v>
      </c>
      <c r="B158" s="31" t="s">
        <v>2737</v>
      </c>
      <c r="C158" s="59" t="s">
        <v>107</v>
      </c>
      <c r="D158" s="59">
        <v>1</v>
      </c>
      <c r="E158" s="31" t="s">
        <v>3689</v>
      </c>
      <c r="F158" s="31" t="s">
        <v>3490</v>
      </c>
      <c r="G158" s="62" t="s">
        <v>2736</v>
      </c>
      <c r="H158" s="31" t="s">
        <v>314</v>
      </c>
      <c r="I158" s="59" t="s">
        <v>3542</v>
      </c>
      <c r="J158" s="31" t="s">
        <v>1776</v>
      </c>
      <c r="K158" s="31" t="s">
        <v>1702</v>
      </c>
      <c r="L158" s="31" t="s">
        <v>3690</v>
      </c>
    </row>
    <row r="159" spans="1:12">
      <c r="A159" s="58" t="s">
        <v>2736</v>
      </c>
      <c r="B159" s="31" t="s">
        <v>2737</v>
      </c>
      <c r="C159" s="59" t="s">
        <v>107</v>
      </c>
      <c r="D159" s="59">
        <v>2</v>
      </c>
      <c r="E159" s="31" t="s">
        <v>1782</v>
      </c>
      <c r="F159" s="31" t="s">
        <v>3560</v>
      </c>
      <c r="G159" s="62" t="s">
        <v>1780</v>
      </c>
      <c r="H159" s="31" t="s">
        <v>314</v>
      </c>
      <c r="I159" s="59" t="s">
        <v>442</v>
      </c>
      <c r="J159" s="31" t="s">
        <v>1776</v>
      </c>
      <c r="K159" s="31" t="s">
        <v>1702</v>
      </c>
      <c r="L159" s="31" t="s">
        <v>3691</v>
      </c>
    </row>
    <row r="160" spans="1:12">
      <c r="A160" s="58" t="s">
        <v>2736</v>
      </c>
      <c r="B160" s="31" t="s">
        <v>2737</v>
      </c>
      <c r="C160" s="59" t="s">
        <v>107</v>
      </c>
      <c r="D160" s="59">
        <v>3</v>
      </c>
      <c r="E160" s="31" t="s">
        <v>2213</v>
      </c>
      <c r="F160" s="31" t="s">
        <v>3538</v>
      </c>
      <c r="G160" s="62" t="s">
        <v>2211</v>
      </c>
      <c r="H160" s="31" t="s">
        <v>314</v>
      </c>
      <c r="I160" s="59" t="s">
        <v>671</v>
      </c>
      <c r="J160" s="31" t="s">
        <v>1776</v>
      </c>
      <c r="K160" s="31" t="s">
        <v>1702</v>
      </c>
      <c r="L160" s="31" t="s">
        <v>3688</v>
      </c>
    </row>
    <row r="161" spans="1:12">
      <c r="A161" s="58" t="s">
        <v>2741</v>
      </c>
      <c r="B161" s="31" t="s">
        <v>2742</v>
      </c>
      <c r="C161" s="59" t="s">
        <v>107</v>
      </c>
      <c r="D161" s="59">
        <v>1</v>
      </c>
      <c r="E161" s="31" t="s">
        <v>3692</v>
      </c>
      <c r="F161" s="31" t="s">
        <v>3490</v>
      </c>
      <c r="G161" s="62" t="s">
        <v>2741</v>
      </c>
      <c r="H161" s="31" t="s">
        <v>314</v>
      </c>
      <c r="I161" s="59" t="s">
        <v>3535</v>
      </c>
      <c r="J161" s="31" t="s">
        <v>1736</v>
      </c>
      <c r="K161" s="31" t="s">
        <v>1710</v>
      </c>
      <c r="L161" s="31" t="s">
        <v>3693</v>
      </c>
    </row>
    <row r="162" spans="1:12">
      <c r="A162" s="58" t="s">
        <v>2741</v>
      </c>
      <c r="B162" s="31" t="s">
        <v>2742</v>
      </c>
      <c r="C162" s="59" t="s">
        <v>107</v>
      </c>
      <c r="D162" s="59">
        <v>2</v>
      </c>
      <c r="E162" s="31" t="s">
        <v>2075</v>
      </c>
      <c r="F162" s="31" t="s">
        <v>3626</v>
      </c>
      <c r="G162" s="62" t="s">
        <v>2073</v>
      </c>
      <c r="H162" s="31" t="s">
        <v>314</v>
      </c>
      <c r="I162" s="59" t="s">
        <v>536</v>
      </c>
      <c r="J162" s="31" t="s">
        <v>1736</v>
      </c>
      <c r="K162" s="31" t="s">
        <v>1710</v>
      </c>
      <c r="L162" s="31" t="s">
        <v>3694</v>
      </c>
    </row>
    <row r="163" spans="1:12">
      <c r="A163" s="58" t="s">
        <v>2741</v>
      </c>
      <c r="B163" s="31" t="s">
        <v>2742</v>
      </c>
      <c r="C163" s="59" t="s">
        <v>107</v>
      </c>
      <c r="D163" s="59">
        <v>3</v>
      </c>
      <c r="E163" s="31" t="s">
        <v>2171</v>
      </c>
      <c r="F163" s="31" t="s">
        <v>3538</v>
      </c>
      <c r="G163" s="62" t="s">
        <v>2169</v>
      </c>
      <c r="H163" s="31" t="s">
        <v>314</v>
      </c>
      <c r="I163" s="59" t="s">
        <v>671</v>
      </c>
      <c r="J163" s="31" t="s">
        <v>1736</v>
      </c>
      <c r="K163" s="31" t="s">
        <v>1710</v>
      </c>
      <c r="L163" s="31" t="s">
        <v>3695</v>
      </c>
    </row>
    <row r="164" spans="1:12">
      <c r="A164" s="58" t="s">
        <v>2746</v>
      </c>
      <c r="B164" s="31" t="s">
        <v>2747</v>
      </c>
      <c r="C164" s="59" t="s">
        <v>107</v>
      </c>
      <c r="D164" s="59">
        <v>1</v>
      </c>
      <c r="E164" s="31" t="s">
        <v>3696</v>
      </c>
      <c r="F164" s="31" t="s">
        <v>3490</v>
      </c>
      <c r="G164" s="62" t="s">
        <v>2746</v>
      </c>
      <c r="H164" s="31" t="s">
        <v>314</v>
      </c>
      <c r="I164" s="59" t="s">
        <v>3542</v>
      </c>
      <c r="J164" s="31" t="s">
        <v>1736</v>
      </c>
      <c r="K164" s="31" t="s">
        <v>1710</v>
      </c>
      <c r="L164" s="31" t="s">
        <v>3697</v>
      </c>
    </row>
    <row r="165" spans="1:12">
      <c r="A165" s="58" t="s">
        <v>2746</v>
      </c>
      <c r="B165" s="31" t="s">
        <v>2747</v>
      </c>
      <c r="C165" s="59" t="s">
        <v>107</v>
      </c>
      <c r="D165" s="59">
        <v>2</v>
      </c>
      <c r="E165" s="31" t="s">
        <v>1735</v>
      </c>
      <c r="F165" s="31" t="s">
        <v>3560</v>
      </c>
      <c r="G165" s="62" t="s">
        <v>1733</v>
      </c>
      <c r="H165" s="31" t="s">
        <v>314</v>
      </c>
      <c r="I165" s="59" t="s">
        <v>442</v>
      </c>
      <c r="J165" s="31" t="s">
        <v>1736</v>
      </c>
      <c r="K165" s="31" t="s">
        <v>1710</v>
      </c>
      <c r="L165" s="31" t="s">
        <v>3698</v>
      </c>
    </row>
    <row r="166" spans="1:12">
      <c r="A166" s="58" t="s">
        <v>2746</v>
      </c>
      <c r="B166" s="31" t="s">
        <v>2747</v>
      </c>
      <c r="C166" s="59" t="s">
        <v>107</v>
      </c>
      <c r="D166" s="59">
        <v>3</v>
      </c>
      <c r="E166" s="31" t="s">
        <v>2171</v>
      </c>
      <c r="F166" s="31" t="s">
        <v>3538</v>
      </c>
      <c r="G166" s="62" t="s">
        <v>2169</v>
      </c>
      <c r="H166" s="31" t="s">
        <v>314</v>
      </c>
      <c r="I166" s="59" t="s">
        <v>671</v>
      </c>
      <c r="J166" s="31" t="s">
        <v>1736</v>
      </c>
      <c r="K166" s="31" t="s">
        <v>1710</v>
      </c>
      <c r="L166" s="31" t="s">
        <v>3695</v>
      </c>
    </row>
    <row r="167" spans="1:12">
      <c r="A167" s="58" t="s">
        <v>2751</v>
      </c>
      <c r="B167" s="31" t="s">
        <v>2752</v>
      </c>
      <c r="C167" s="59" t="s">
        <v>107</v>
      </c>
      <c r="D167" s="59">
        <v>1</v>
      </c>
      <c r="E167" s="31" t="s">
        <v>3699</v>
      </c>
      <c r="F167" s="31" t="s">
        <v>3490</v>
      </c>
      <c r="G167" s="62" t="s">
        <v>2751</v>
      </c>
      <c r="H167" s="31" t="s">
        <v>314</v>
      </c>
      <c r="I167" s="59" t="s">
        <v>3535</v>
      </c>
      <c r="J167" s="31" t="s">
        <v>1736</v>
      </c>
      <c r="K167" s="31" t="s">
        <v>1702</v>
      </c>
      <c r="L167" s="31" t="s">
        <v>3700</v>
      </c>
    </row>
    <row r="168" spans="1:12">
      <c r="A168" s="58" t="s">
        <v>2751</v>
      </c>
      <c r="B168" s="31" t="s">
        <v>2752</v>
      </c>
      <c r="C168" s="59" t="s">
        <v>107</v>
      </c>
      <c r="D168" s="59">
        <v>2</v>
      </c>
      <c r="E168" s="31" t="s">
        <v>2082</v>
      </c>
      <c r="F168" s="31" t="s">
        <v>3626</v>
      </c>
      <c r="G168" s="62" t="s">
        <v>2080</v>
      </c>
      <c r="H168" s="31" t="s">
        <v>314</v>
      </c>
      <c r="I168" s="59" t="s">
        <v>536</v>
      </c>
      <c r="J168" s="31" t="s">
        <v>1736</v>
      </c>
      <c r="K168" s="31" t="s">
        <v>1702</v>
      </c>
      <c r="L168" s="31" t="s">
        <v>3701</v>
      </c>
    </row>
    <row r="169" spans="1:12">
      <c r="A169" s="58" t="s">
        <v>2751</v>
      </c>
      <c r="B169" s="31" t="s">
        <v>2752</v>
      </c>
      <c r="C169" s="59" t="s">
        <v>107</v>
      </c>
      <c r="D169" s="59">
        <v>3</v>
      </c>
      <c r="E169" s="31" t="s">
        <v>2177</v>
      </c>
      <c r="F169" s="31" t="s">
        <v>3538</v>
      </c>
      <c r="G169" s="62" t="s">
        <v>2175</v>
      </c>
      <c r="H169" s="31" t="s">
        <v>314</v>
      </c>
      <c r="I169" s="59" t="s">
        <v>671</v>
      </c>
      <c r="J169" s="31" t="s">
        <v>1736</v>
      </c>
      <c r="K169" s="31" t="s">
        <v>1702</v>
      </c>
      <c r="L169" s="31" t="s">
        <v>3702</v>
      </c>
    </row>
    <row r="170" spans="1:12">
      <c r="A170" s="58" t="s">
        <v>2756</v>
      </c>
      <c r="B170" s="31" t="s">
        <v>2757</v>
      </c>
      <c r="C170" s="59" t="s">
        <v>107</v>
      </c>
      <c r="D170" s="59">
        <v>1</v>
      </c>
      <c r="E170" s="31" t="s">
        <v>3703</v>
      </c>
      <c r="F170" s="31" t="s">
        <v>3490</v>
      </c>
      <c r="G170" s="62" t="s">
        <v>2756</v>
      </c>
      <c r="H170" s="31" t="s">
        <v>314</v>
      </c>
      <c r="I170" s="59" t="s">
        <v>3542</v>
      </c>
      <c r="J170" s="31" t="s">
        <v>1736</v>
      </c>
      <c r="K170" s="31" t="s">
        <v>1702</v>
      </c>
      <c r="L170" s="31" t="s">
        <v>3704</v>
      </c>
    </row>
    <row r="171" spans="1:12">
      <c r="A171" s="58" t="s">
        <v>2756</v>
      </c>
      <c r="B171" s="31" t="s">
        <v>2757</v>
      </c>
      <c r="C171" s="59" t="s">
        <v>107</v>
      </c>
      <c r="D171" s="59">
        <v>2</v>
      </c>
      <c r="E171" s="31" t="s">
        <v>1742</v>
      </c>
      <c r="F171" s="31" t="s">
        <v>3560</v>
      </c>
      <c r="G171" s="62" t="s">
        <v>1740</v>
      </c>
      <c r="H171" s="31" t="s">
        <v>314</v>
      </c>
      <c r="I171" s="59" t="s">
        <v>442</v>
      </c>
      <c r="J171" s="31" t="s">
        <v>1736</v>
      </c>
      <c r="K171" s="31" t="s">
        <v>1702</v>
      </c>
      <c r="L171" s="31" t="s">
        <v>3705</v>
      </c>
    </row>
    <row r="172" spans="1:12">
      <c r="A172" s="58" t="s">
        <v>2756</v>
      </c>
      <c r="B172" s="31" t="s">
        <v>2757</v>
      </c>
      <c r="C172" s="59" t="s">
        <v>107</v>
      </c>
      <c r="D172" s="59">
        <v>3</v>
      </c>
      <c r="E172" s="31" t="s">
        <v>2177</v>
      </c>
      <c r="F172" s="31" t="s">
        <v>3538</v>
      </c>
      <c r="G172" s="62" t="s">
        <v>2175</v>
      </c>
      <c r="H172" s="31" t="s">
        <v>314</v>
      </c>
      <c r="I172" s="59" t="s">
        <v>671</v>
      </c>
      <c r="J172" s="31" t="s">
        <v>1736</v>
      </c>
      <c r="K172" s="31" t="s">
        <v>1702</v>
      </c>
      <c r="L172" s="31" t="s">
        <v>3702</v>
      </c>
    </row>
    <row r="173" spans="1:12">
      <c r="A173" s="58" t="s">
        <v>2761</v>
      </c>
      <c r="B173" s="31" t="s">
        <v>2762</v>
      </c>
      <c r="C173" s="59" t="s">
        <v>107</v>
      </c>
      <c r="D173" s="59">
        <v>1</v>
      </c>
      <c r="E173" s="31" t="s">
        <v>3706</v>
      </c>
      <c r="F173" s="31" t="s">
        <v>3490</v>
      </c>
      <c r="G173" s="62" t="s">
        <v>2761</v>
      </c>
      <c r="H173" s="31" t="s">
        <v>314</v>
      </c>
      <c r="I173" s="59" t="s">
        <v>3535</v>
      </c>
      <c r="J173" s="31" t="s">
        <v>1763</v>
      </c>
      <c r="K173" s="31" t="s">
        <v>1710</v>
      </c>
      <c r="L173" s="31" t="s">
        <v>3707</v>
      </c>
    </row>
    <row r="174" spans="1:12">
      <c r="A174" s="58" t="s">
        <v>2761</v>
      </c>
      <c r="B174" s="31" t="s">
        <v>2762</v>
      </c>
      <c r="C174" s="59" t="s">
        <v>107</v>
      </c>
      <c r="D174" s="59">
        <v>2</v>
      </c>
      <c r="E174" s="31" t="s">
        <v>2103</v>
      </c>
      <c r="F174" s="31" t="s">
        <v>3626</v>
      </c>
      <c r="G174" s="62" t="s">
        <v>2101</v>
      </c>
      <c r="H174" s="31" t="s">
        <v>314</v>
      </c>
      <c r="I174" s="59" t="s">
        <v>536</v>
      </c>
      <c r="J174" s="31" t="s">
        <v>1763</v>
      </c>
      <c r="K174" s="31" t="s">
        <v>1710</v>
      </c>
      <c r="L174" s="31" t="s">
        <v>3708</v>
      </c>
    </row>
    <row r="175" spans="1:12">
      <c r="A175" s="58" t="s">
        <v>2761</v>
      </c>
      <c r="B175" s="31" t="s">
        <v>2762</v>
      </c>
      <c r="C175" s="59" t="s">
        <v>107</v>
      </c>
      <c r="D175" s="59">
        <v>3</v>
      </c>
      <c r="E175" s="31" t="s">
        <v>2195</v>
      </c>
      <c r="F175" s="31" t="s">
        <v>3538</v>
      </c>
      <c r="G175" s="62" t="s">
        <v>2193</v>
      </c>
      <c r="H175" s="31" t="s">
        <v>314</v>
      </c>
      <c r="I175" s="59" t="s">
        <v>671</v>
      </c>
      <c r="J175" s="31" t="s">
        <v>1763</v>
      </c>
      <c r="K175" s="31" t="s">
        <v>1710</v>
      </c>
      <c r="L175" s="31" t="s">
        <v>3709</v>
      </c>
    </row>
    <row r="176" spans="1:12">
      <c r="A176" s="58" t="s">
        <v>2766</v>
      </c>
      <c r="B176" s="31" t="s">
        <v>2767</v>
      </c>
      <c r="C176" s="59" t="s">
        <v>107</v>
      </c>
      <c r="D176" s="59">
        <v>1</v>
      </c>
      <c r="E176" s="31" t="s">
        <v>3710</v>
      </c>
      <c r="F176" s="31" t="s">
        <v>3490</v>
      </c>
      <c r="G176" s="62" t="s">
        <v>2766</v>
      </c>
      <c r="H176" s="31" t="s">
        <v>314</v>
      </c>
      <c r="I176" s="59" t="s">
        <v>3542</v>
      </c>
      <c r="J176" s="31" t="s">
        <v>1763</v>
      </c>
      <c r="K176" s="31" t="s">
        <v>1710</v>
      </c>
      <c r="L176" s="31" t="s">
        <v>3711</v>
      </c>
    </row>
    <row r="177" spans="1:12">
      <c r="A177" s="58" t="s">
        <v>2766</v>
      </c>
      <c r="B177" s="31" t="s">
        <v>2767</v>
      </c>
      <c r="C177" s="59" t="s">
        <v>107</v>
      </c>
      <c r="D177" s="59">
        <v>2</v>
      </c>
      <c r="E177" s="31" t="s">
        <v>1762</v>
      </c>
      <c r="F177" s="31" t="s">
        <v>3560</v>
      </c>
      <c r="G177" s="62" t="s">
        <v>1760</v>
      </c>
      <c r="H177" s="31" t="s">
        <v>314</v>
      </c>
      <c r="I177" s="59" t="s">
        <v>442</v>
      </c>
      <c r="J177" s="31" t="s">
        <v>1763</v>
      </c>
      <c r="K177" s="31" t="s">
        <v>1710</v>
      </c>
      <c r="L177" s="31" t="s">
        <v>3712</v>
      </c>
    </row>
    <row r="178" spans="1:12">
      <c r="A178" s="58" t="s">
        <v>2766</v>
      </c>
      <c r="B178" s="31" t="s">
        <v>2767</v>
      </c>
      <c r="C178" s="59" t="s">
        <v>107</v>
      </c>
      <c r="D178" s="59">
        <v>3</v>
      </c>
      <c r="E178" s="31" t="s">
        <v>2195</v>
      </c>
      <c r="F178" s="31" t="s">
        <v>3538</v>
      </c>
      <c r="G178" s="62" t="s">
        <v>2193</v>
      </c>
      <c r="H178" s="31" t="s">
        <v>314</v>
      </c>
      <c r="I178" s="59" t="s">
        <v>671</v>
      </c>
      <c r="J178" s="31" t="s">
        <v>1763</v>
      </c>
      <c r="K178" s="31" t="s">
        <v>1710</v>
      </c>
      <c r="L178" s="31" t="s">
        <v>3709</v>
      </c>
    </row>
    <row r="179" spans="1:12">
      <c r="A179" s="58" t="s">
        <v>2771</v>
      </c>
      <c r="B179" s="31" t="s">
        <v>2772</v>
      </c>
      <c r="C179" s="59" t="s">
        <v>107</v>
      </c>
      <c r="D179" s="59">
        <v>1</v>
      </c>
      <c r="E179" s="31" t="s">
        <v>3713</v>
      </c>
      <c r="F179" s="31" t="s">
        <v>3490</v>
      </c>
      <c r="G179" s="62" t="s">
        <v>2771</v>
      </c>
      <c r="H179" s="31" t="s">
        <v>314</v>
      </c>
      <c r="I179" s="59" t="s">
        <v>3535</v>
      </c>
      <c r="J179" s="31" t="s">
        <v>1763</v>
      </c>
      <c r="K179" s="31" t="s">
        <v>1702</v>
      </c>
      <c r="L179" s="31" t="s">
        <v>3714</v>
      </c>
    </row>
    <row r="180" spans="1:12">
      <c r="A180" s="58" t="s">
        <v>2771</v>
      </c>
      <c r="B180" s="31" t="s">
        <v>2772</v>
      </c>
      <c r="C180" s="59" t="s">
        <v>107</v>
      </c>
      <c r="D180" s="59">
        <v>2</v>
      </c>
      <c r="E180" s="31" t="s">
        <v>2110</v>
      </c>
      <c r="F180" s="31" t="s">
        <v>3626</v>
      </c>
      <c r="G180" s="62" t="s">
        <v>2108</v>
      </c>
      <c r="H180" s="31" t="s">
        <v>314</v>
      </c>
      <c r="I180" s="59" t="s">
        <v>536</v>
      </c>
      <c r="J180" s="31" t="s">
        <v>1763</v>
      </c>
      <c r="K180" s="31" t="s">
        <v>1702</v>
      </c>
      <c r="L180" s="31" t="s">
        <v>3715</v>
      </c>
    </row>
    <row r="181" spans="1:12">
      <c r="A181" s="58" t="s">
        <v>2771</v>
      </c>
      <c r="B181" s="31" t="s">
        <v>2772</v>
      </c>
      <c r="C181" s="59" t="s">
        <v>107</v>
      </c>
      <c r="D181" s="59">
        <v>3</v>
      </c>
      <c r="E181" s="31" t="s">
        <v>2201</v>
      </c>
      <c r="F181" s="31" t="s">
        <v>3538</v>
      </c>
      <c r="G181" s="62" t="s">
        <v>2199</v>
      </c>
      <c r="H181" s="31" t="s">
        <v>314</v>
      </c>
      <c r="I181" s="59" t="s">
        <v>671</v>
      </c>
      <c r="J181" s="31" t="s">
        <v>1763</v>
      </c>
      <c r="K181" s="31" t="s">
        <v>1702</v>
      </c>
      <c r="L181" s="31" t="s">
        <v>3716</v>
      </c>
    </row>
    <row r="182" spans="1:12">
      <c r="A182" s="58" t="s">
        <v>2776</v>
      </c>
      <c r="B182" s="31" t="s">
        <v>2777</v>
      </c>
      <c r="C182" s="59" t="s">
        <v>107</v>
      </c>
      <c r="D182" s="59">
        <v>1</v>
      </c>
      <c r="E182" s="31" t="s">
        <v>3717</v>
      </c>
      <c r="F182" s="31" t="s">
        <v>3490</v>
      </c>
      <c r="G182" s="62" t="s">
        <v>2776</v>
      </c>
      <c r="H182" s="31" t="s">
        <v>314</v>
      </c>
      <c r="I182" s="59" t="s">
        <v>3542</v>
      </c>
      <c r="J182" s="31" t="s">
        <v>1763</v>
      </c>
      <c r="K182" s="31" t="s">
        <v>1702</v>
      </c>
      <c r="L182" s="31" t="s">
        <v>3718</v>
      </c>
    </row>
    <row r="183" spans="1:12">
      <c r="A183" s="58" t="s">
        <v>2776</v>
      </c>
      <c r="B183" s="31" t="s">
        <v>2777</v>
      </c>
      <c r="C183" s="59" t="s">
        <v>107</v>
      </c>
      <c r="D183" s="59">
        <v>2</v>
      </c>
      <c r="E183" s="31" t="s">
        <v>1769</v>
      </c>
      <c r="F183" s="31" t="s">
        <v>3560</v>
      </c>
      <c r="G183" s="62" t="s">
        <v>1767</v>
      </c>
      <c r="H183" s="31" t="s">
        <v>314</v>
      </c>
      <c r="I183" s="59" t="s">
        <v>442</v>
      </c>
      <c r="J183" s="31" t="s">
        <v>1763</v>
      </c>
      <c r="K183" s="31" t="s">
        <v>1702</v>
      </c>
      <c r="L183" s="31" t="s">
        <v>3719</v>
      </c>
    </row>
    <row r="184" spans="1:12">
      <c r="A184" s="58" t="s">
        <v>2776</v>
      </c>
      <c r="B184" s="31" t="s">
        <v>2777</v>
      </c>
      <c r="C184" s="59" t="s">
        <v>107</v>
      </c>
      <c r="D184" s="59">
        <v>3</v>
      </c>
      <c r="E184" s="31" t="s">
        <v>2201</v>
      </c>
      <c r="F184" s="31" t="s">
        <v>3538</v>
      </c>
      <c r="G184" s="62" t="s">
        <v>2199</v>
      </c>
      <c r="H184" s="31" t="s">
        <v>314</v>
      </c>
      <c r="I184" s="59" t="s">
        <v>671</v>
      </c>
      <c r="J184" s="31" t="s">
        <v>1763</v>
      </c>
      <c r="K184" s="31" t="s">
        <v>1702</v>
      </c>
      <c r="L184" s="31" t="s">
        <v>3716</v>
      </c>
    </row>
    <row r="185" spans="1:12">
      <c r="A185" s="58" t="s">
        <v>2781</v>
      </c>
      <c r="B185" s="31" t="s">
        <v>2782</v>
      </c>
      <c r="C185" s="59" t="s">
        <v>107</v>
      </c>
      <c r="D185" s="59">
        <v>1</v>
      </c>
      <c r="E185" s="31" t="s">
        <v>3720</v>
      </c>
      <c r="F185" s="31" t="s">
        <v>3490</v>
      </c>
      <c r="G185" s="62" t="s">
        <v>2781</v>
      </c>
      <c r="H185" s="31" t="s">
        <v>314</v>
      </c>
      <c r="I185" s="59" t="s">
        <v>3535</v>
      </c>
      <c r="J185" s="31" t="s">
        <v>1749</v>
      </c>
      <c r="K185" s="31" t="s">
        <v>1750</v>
      </c>
      <c r="L185" s="31" t="s">
        <v>3721</v>
      </c>
    </row>
    <row r="186" spans="1:12">
      <c r="A186" s="58" t="s">
        <v>2781</v>
      </c>
      <c r="B186" s="31" t="s">
        <v>2782</v>
      </c>
      <c r="C186" s="59" t="s">
        <v>107</v>
      </c>
      <c r="D186" s="59">
        <v>2</v>
      </c>
      <c r="E186" s="31" t="s">
        <v>2089</v>
      </c>
      <c r="F186" s="31" t="s">
        <v>3626</v>
      </c>
      <c r="G186" s="62" t="s">
        <v>2087</v>
      </c>
      <c r="H186" s="31" t="s">
        <v>314</v>
      </c>
      <c r="I186" s="59" t="s">
        <v>536</v>
      </c>
      <c r="J186" s="31" t="s">
        <v>1749</v>
      </c>
      <c r="K186" s="31" t="s">
        <v>1750</v>
      </c>
      <c r="L186" s="31" t="s">
        <v>3722</v>
      </c>
    </row>
    <row r="187" spans="1:12">
      <c r="A187" s="58" t="s">
        <v>2781</v>
      </c>
      <c r="B187" s="31" t="s">
        <v>2782</v>
      </c>
      <c r="C187" s="59" t="s">
        <v>107</v>
      </c>
      <c r="D187" s="59">
        <v>3</v>
      </c>
      <c r="E187" s="31" t="s">
        <v>2183</v>
      </c>
      <c r="F187" s="31" t="s">
        <v>3538</v>
      </c>
      <c r="G187" s="62" t="s">
        <v>2181</v>
      </c>
      <c r="H187" s="31" t="s">
        <v>314</v>
      </c>
      <c r="I187" s="59" t="s">
        <v>671</v>
      </c>
      <c r="J187" s="31" t="s">
        <v>1749</v>
      </c>
      <c r="K187" s="31" t="s">
        <v>1750</v>
      </c>
      <c r="L187" s="31" t="s">
        <v>3723</v>
      </c>
    </row>
    <row r="188" spans="1:12">
      <c r="A188" s="58" t="s">
        <v>2786</v>
      </c>
      <c r="B188" s="31" t="s">
        <v>2787</v>
      </c>
      <c r="C188" s="59" t="s">
        <v>107</v>
      </c>
      <c r="D188" s="59">
        <v>1</v>
      </c>
      <c r="E188" s="31" t="s">
        <v>3724</v>
      </c>
      <c r="F188" s="31" t="s">
        <v>3490</v>
      </c>
      <c r="G188" s="62" t="s">
        <v>2786</v>
      </c>
      <c r="H188" s="31" t="s">
        <v>314</v>
      </c>
      <c r="I188" s="59" t="s">
        <v>3542</v>
      </c>
      <c r="J188" s="31" t="s">
        <v>1749</v>
      </c>
      <c r="K188" s="31" t="s">
        <v>1750</v>
      </c>
      <c r="L188" s="31" t="s">
        <v>3725</v>
      </c>
    </row>
    <row r="189" spans="1:12">
      <c r="A189" s="58" t="s">
        <v>2786</v>
      </c>
      <c r="B189" s="31" t="s">
        <v>2787</v>
      </c>
      <c r="C189" s="59" t="s">
        <v>107</v>
      </c>
      <c r="D189" s="59">
        <v>2</v>
      </c>
      <c r="E189" s="31" t="s">
        <v>1748</v>
      </c>
      <c r="F189" s="31" t="s">
        <v>3560</v>
      </c>
      <c r="G189" s="62" t="s">
        <v>1746</v>
      </c>
      <c r="H189" s="31" t="s">
        <v>314</v>
      </c>
      <c r="I189" s="59" t="s">
        <v>442</v>
      </c>
      <c r="J189" s="31" t="s">
        <v>1749</v>
      </c>
      <c r="K189" s="31" t="s">
        <v>1750</v>
      </c>
      <c r="L189" s="31" t="s">
        <v>3726</v>
      </c>
    </row>
    <row r="190" spans="1:12">
      <c r="A190" s="58" t="s">
        <v>2786</v>
      </c>
      <c r="B190" s="31" t="s">
        <v>2787</v>
      </c>
      <c r="C190" s="59" t="s">
        <v>107</v>
      </c>
      <c r="D190" s="59">
        <v>3</v>
      </c>
      <c r="E190" s="31" t="s">
        <v>2183</v>
      </c>
      <c r="F190" s="31" t="s">
        <v>3538</v>
      </c>
      <c r="G190" s="62" t="s">
        <v>2181</v>
      </c>
      <c r="H190" s="31" t="s">
        <v>314</v>
      </c>
      <c r="I190" s="59" t="s">
        <v>671</v>
      </c>
      <c r="J190" s="31" t="s">
        <v>1749</v>
      </c>
      <c r="K190" s="31" t="s">
        <v>1750</v>
      </c>
      <c r="L190" s="31" t="s">
        <v>3723</v>
      </c>
    </row>
    <row r="191" spans="1:12">
      <c r="A191" s="58" t="s">
        <v>2791</v>
      </c>
      <c r="B191" s="31" t="s">
        <v>2792</v>
      </c>
      <c r="C191" s="59" t="s">
        <v>107</v>
      </c>
      <c r="D191" s="59">
        <v>1</v>
      </c>
      <c r="E191" s="31" t="s">
        <v>3727</v>
      </c>
      <c r="F191" s="31" t="s">
        <v>3490</v>
      </c>
      <c r="G191" s="62" t="s">
        <v>2791</v>
      </c>
      <c r="H191" s="31" t="s">
        <v>314</v>
      </c>
      <c r="I191" s="59" t="s">
        <v>3535</v>
      </c>
      <c r="J191" s="31" t="s">
        <v>1749</v>
      </c>
      <c r="K191" s="31" t="s">
        <v>1702</v>
      </c>
      <c r="L191" s="31" t="s">
        <v>3728</v>
      </c>
    </row>
    <row r="192" spans="1:12">
      <c r="A192" s="58" t="s">
        <v>2791</v>
      </c>
      <c r="B192" s="31" t="s">
        <v>2792</v>
      </c>
      <c r="C192" s="59" t="s">
        <v>107</v>
      </c>
      <c r="D192" s="59">
        <v>2</v>
      </c>
      <c r="E192" s="31" t="s">
        <v>2096</v>
      </c>
      <c r="F192" s="31" t="s">
        <v>3626</v>
      </c>
      <c r="G192" s="62" t="s">
        <v>2094</v>
      </c>
      <c r="H192" s="31" t="s">
        <v>314</v>
      </c>
      <c r="I192" s="59" t="s">
        <v>536</v>
      </c>
      <c r="J192" s="31" t="s">
        <v>1749</v>
      </c>
      <c r="K192" s="31" t="s">
        <v>1702</v>
      </c>
      <c r="L192" s="31" t="s">
        <v>3729</v>
      </c>
    </row>
    <row r="193" spans="1:12">
      <c r="A193" s="58" t="s">
        <v>2791</v>
      </c>
      <c r="B193" s="31" t="s">
        <v>2792</v>
      </c>
      <c r="C193" s="59" t="s">
        <v>107</v>
      </c>
      <c r="D193" s="59">
        <v>3</v>
      </c>
      <c r="E193" s="31" t="s">
        <v>2189</v>
      </c>
      <c r="F193" s="31" t="s">
        <v>3538</v>
      </c>
      <c r="G193" s="62" t="s">
        <v>2187</v>
      </c>
      <c r="H193" s="31" t="s">
        <v>314</v>
      </c>
      <c r="I193" s="59" t="s">
        <v>671</v>
      </c>
      <c r="J193" s="31" t="s">
        <v>1749</v>
      </c>
      <c r="K193" s="31" t="s">
        <v>1702</v>
      </c>
      <c r="L193" s="31" t="s">
        <v>3730</v>
      </c>
    </row>
    <row r="194" spans="1:12">
      <c r="A194" s="58" t="s">
        <v>2796</v>
      </c>
      <c r="B194" s="31" t="s">
        <v>2797</v>
      </c>
      <c r="C194" s="59" t="s">
        <v>107</v>
      </c>
      <c r="D194" s="59">
        <v>1</v>
      </c>
      <c r="E194" s="31" t="s">
        <v>3731</v>
      </c>
      <c r="F194" s="31" t="s">
        <v>3490</v>
      </c>
      <c r="G194" s="62" t="s">
        <v>2796</v>
      </c>
      <c r="H194" s="31" t="s">
        <v>314</v>
      </c>
      <c r="I194" s="59" t="s">
        <v>3542</v>
      </c>
      <c r="J194" s="31" t="s">
        <v>1749</v>
      </c>
      <c r="K194" s="31" t="s">
        <v>1702</v>
      </c>
      <c r="L194" s="31" t="s">
        <v>3732</v>
      </c>
    </row>
    <row r="195" spans="1:12">
      <c r="A195" s="58" t="s">
        <v>2796</v>
      </c>
      <c r="B195" s="31" t="s">
        <v>2797</v>
      </c>
      <c r="C195" s="59" t="s">
        <v>107</v>
      </c>
      <c r="D195" s="59">
        <v>2</v>
      </c>
      <c r="E195" s="31" t="s">
        <v>1756</v>
      </c>
      <c r="F195" s="31" t="s">
        <v>3560</v>
      </c>
      <c r="G195" s="62" t="s">
        <v>1754</v>
      </c>
      <c r="H195" s="31" t="s">
        <v>314</v>
      </c>
      <c r="I195" s="59" t="s">
        <v>442</v>
      </c>
      <c r="J195" s="31" t="s">
        <v>1749</v>
      </c>
      <c r="K195" s="31" t="s">
        <v>1702</v>
      </c>
      <c r="L195" s="31" t="s">
        <v>3733</v>
      </c>
    </row>
    <row r="196" spans="1:12">
      <c r="A196" s="58" t="s">
        <v>2796</v>
      </c>
      <c r="B196" s="31" t="s">
        <v>2797</v>
      </c>
      <c r="C196" s="59" t="s">
        <v>107</v>
      </c>
      <c r="D196" s="59">
        <v>3</v>
      </c>
      <c r="E196" s="31" t="s">
        <v>2189</v>
      </c>
      <c r="F196" s="31" t="s">
        <v>3538</v>
      </c>
      <c r="G196" s="62" t="s">
        <v>2187</v>
      </c>
      <c r="H196" s="31" t="s">
        <v>314</v>
      </c>
      <c r="I196" s="59" t="s">
        <v>671</v>
      </c>
      <c r="J196" s="31" t="s">
        <v>1749</v>
      </c>
      <c r="K196" s="31" t="s">
        <v>1702</v>
      </c>
      <c r="L196" s="31" t="s">
        <v>3730</v>
      </c>
    </row>
    <row r="197" spans="1:12">
      <c r="A197" s="58" t="s">
        <v>2801</v>
      </c>
      <c r="B197" s="31" t="s">
        <v>2802</v>
      </c>
      <c r="C197" s="59" t="s">
        <v>107</v>
      </c>
      <c r="D197" s="59">
        <v>1</v>
      </c>
      <c r="E197" s="31" t="s">
        <v>3734</v>
      </c>
      <c r="F197" s="31" t="s">
        <v>3490</v>
      </c>
      <c r="G197" s="62" t="s">
        <v>2801</v>
      </c>
      <c r="H197" s="31" t="s">
        <v>314</v>
      </c>
      <c r="I197" s="59" t="s">
        <v>3735</v>
      </c>
      <c r="J197" s="31" t="s">
        <v>1657</v>
      </c>
      <c r="K197" s="31" t="s">
        <v>1658</v>
      </c>
      <c r="L197" s="31" t="s">
        <v>3736</v>
      </c>
    </row>
    <row r="198" spans="1:12">
      <c r="A198" s="58" t="s">
        <v>2801</v>
      </c>
      <c r="B198" s="31" t="s">
        <v>2802</v>
      </c>
      <c r="C198" s="59" t="s">
        <v>107</v>
      </c>
      <c r="D198" s="59">
        <v>2</v>
      </c>
      <c r="E198" s="31" t="s">
        <v>1656</v>
      </c>
      <c r="F198" s="31" t="s">
        <v>3560</v>
      </c>
      <c r="G198" s="62" t="s">
        <v>1654</v>
      </c>
      <c r="H198" s="31" t="s">
        <v>314</v>
      </c>
      <c r="I198" s="59" t="s">
        <v>442</v>
      </c>
      <c r="J198" s="31" t="s">
        <v>1657</v>
      </c>
      <c r="K198" s="31" t="s">
        <v>1658</v>
      </c>
      <c r="L198" s="31" t="s">
        <v>3737</v>
      </c>
    </row>
    <row r="199" spans="1:12">
      <c r="A199" s="58" t="s">
        <v>2801</v>
      </c>
      <c r="B199" s="31" t="s">
        <v>2802</v>
      </c>
      <c r="C199" s="59" t="s">
        <v>107</v>
      </c>
      <c r="D199" s="59">
        <v>3</v>
      </c>
      <c r="E199" s="31" t="s">
        <v>2400</v>
      </c>
      <c r="F199" s="31" t="s">
        <v>3525</v>
      </c>
      <c r="G199" s="62" t="s">
        <v>2398</v>
      </c>
      <c r="H199" s="31" t="s">
        <v>314</v>
      </c>
      <c r="I199" s="59" t="s">
        <v>738</v>
      </c>
      <c r="J199" s="31" t="s">
        <v>1657</v>
      </c>
      <c r="K199" s="31" t="s">
        <v>1658</v>
      </c>
      <c r="L199" s="31" t="s">
        <v>3738</v>
      </c>
    </row>
    <row r="200" spans="1:12">
      <c r="A200" s="58" t="s">
        <v>2807</v>
      </c>
      <c r="B200" s="31" t="s">
        <v>2808</v>
      </c>
      <c r="C200" s="59" t="s">
        <v>107</v>
      </c>
      <c r="D200" s="59">
        <v>1</v>
      </c>
      <c r="E200" s="31" t="s">
        <v>3739</v>
      </c>
      <c r="F200" s="31" t="s">
        <v>3490</v>
      </c>
      <c r="G200" s="62" t="s">
        <v>2807</v>
      </c>
      <c r="H200" s="31" t="s">
        <v>314</v>
      </c>
      <c r="I200" s="59" t="s">
        <v>3740</v>
      </c>
      <c r="J200" s="31" t="s">
        <v>1657</v>
      </c>
      <c r="K200" s="31" t="s">
        <v>1665</v>
      </c>
      <c r="L200" s="31" t="s">
        <v>3741</v>
      </c>
    </row>
    <row r="201" spans="1:12">
      <c r="A201" s="58" t="s">
        <v>2807</v>
      </c>
      <c r="B201" s="31" t="s">
        <v>2808</v>
      </c>
      <c r="C201" s="59" t="s">
        <v>107</v>
      </c>
      <c r="D201" s="59">
        <v>2</v>
      </c>
      <c r="E201" s="31" t="s">
        <v>1664</v>
      </c>
      <c r="F201" s="31" t="s">
        <v>3560</v>
      </c>
      <c r="G201" s="62" t="s">
        <v>1662</v>
      </c>
      <c r="H201" s="31" t="s">
        <v>314</v>
      </c>
      <c r="I201" s="59" t="s">
        <v>442</v>
      </c>
      <c r="J201" s="31" t="s">
        <v>1657</v>
      </c>
      <c r="K201" s="31" t="s">
        <v>1665</v>
      </c>
      <c r="L201" s="31" t="s">
        <v>3742</v>
      </c>
    </row>
    <row r="202" spans="1:12">
      <c r="A202" s="58" t="s">
        <v>2807</v>
      </c>
      <c r="B202" s="31" t="s">
        <v>2808</v>
      </c>
      <c r="C202" s="59" t="s">
        <v>107</v>
      </c>
      <c r="D202" s="59">
        <v>3</v>
      </c>
      <c r="E202" s="31" t="s">
        <v>2405</v>
      </c>
      <c r="F202" s="31" t="s">
        <v>3525</v>
      </c>
      <c r="G202" s="62" t="s">
        <v>2403</v>
      </c>
      <c r="H202" s="31" t="s">
        <v>314</v>
      </c>
      <c r="I202" s="59" t="s">
        <v>738</v>
      </c>
      <c r="J202" s="31" t="s">
        <v>1657</v>
      </c>
      <c r="K202" s="31" t="s">
        <v>1665</v>
      </c>
      <c r="L202" s="31" t="s">
        <v>3743</v>
      </c>
    </row>
    <row r="203" spans="1:12">
      <c r="A203" s="58" t="s">
        <v>2812</v>
      </c>
      <c r="B203" s="31" t="s">
        <v>2813</v>
      </c>
      <c r="C203" s="59" t="s">
        <v>107</v>
      </c>
      <c r="D203" s="59">
        <v>1</v>
      </c>
      <c r="E203" s="31" t="s">
        <v>3744</v>
      </c>
      <c r="F203" s="31" t="s">
        <v>3490</v>
      </c>
      <c r="G203" s="62" t="s">
        <v>2812</v>
      </c>
      <c r="H203" s="31" t="s">
        <v>314</v>
      </c>
      <c r="I203" s="59" t="s">
        <v>3735</v>
      </c>
      <c r="J203" s="31" t="s">
        <v>1802</v>
      </c>
      <c r="K203" s="31" t="s">
        <v>1695</v>
      </c>
      <c r="L203" s="31" t="s">
        <v>3745</v>
      </c>
    </row>
    <row r="204" spans="1:12">
      <c r="A204" s="58" t="s">
        <v>2812</v>
      </c>
      <c r="B204" s="31" t="s">
        <v>2813</v>
      </c>
      <c r="C204" s="59" t="s">
        <v>107</v>
      </c>
      <c r="D204" s="59">
        <v>2</v>
      </c>
      <c r="E204" s="31" t="s">
        <v>1809</v>
      </c>
      <c r="F204" s="31" t="s">
        <v>3560</v>
      </c>
      <c r="G204" s="62" t="s">
        <v>1807</v>
      </c>
      <c r="H204" s="31" t="s">
        <v>314</v>
      </c>
      <c r="I204" s="59" t="s">
        <v>442</v>
      </c>
      <c r="J204" s="31" t="s">
        <v>1802</v>
      </c>
      <c r="K204" s="31" t="s">
        <v>1695</v>
      </c>
      <c r="L204" s="31" t="s">
        <v>3746</v>
      </c>
    </row>
    <row r="205" spans="1:12">
      <c r="A205" s="58" t="s">
        <v>2812</v>
      </c>
      <c r="B205" s="31" t="s">
        <v>2813</v>
      </c>
      <c r="C205" s="59" t="s">
        <v>107</v>
      </c>
      <c r="D205" s="59">
        <v>3</v>
      </c>
      <c r="E205" s="31" t="s">
        <v>2441</v>
      </c>
      <c r="F205" s="31" t="s">
        <v>3525</v>
      </c>
      <c r="G205" s="62" t="s">
        <v>2439</v>
      </c>
      <c r="H205" s="31" t="s">
        <v>314</v>
      </c>
      <c r="I205" s="59" t="s">
        <v>738</v>
      </c>
      <c r="J205" s="31" t="s">
        <v>1802</v>
      </c>
      <c r="K205" s="31" t="s">
        <v>1695</v>
      </c>
      <c r="L205" s="31" t="s">
        <v>3747</v>
      </c>
    </row>
    <row r="206" spans="1:12">
      <c r="A206" s="58" t="s">
        <v>2817</v>
      </c>
      <c r="B206" s="31" t="s">
        <v>2818</v>
      </c>
      <c r="C206" s="59" t="s">
        <v>107</v>
      </c>
      <c r="D206" s="59">
        <v>1</v>
      </c>
      <c r="E206" s="31" t="s">
        <v>3748</v>
      </c>
      <c r="F206" s="31" t="s">
        <v>3490</v>
      </c>
      <c r="G206" s="62" t="s">
        <v>2817</v>
      </c>
      <c r="H206" s="31" t="s">
        <v>314</v>
      </c>
      <c r="I206" s="59" t="s">
        <v>3735</v>
      </c>
      <c r="J206" s="31" t="s">
        <v>1802</v>
      </c>
      <c r="K206" s="31" t="s">
        <v>1803</v>
      </c>
      <c r="L206" s="31" t="s">
        <v>3749</v>
      </c>
    </row>
    <row r="207" spans="1:12">
      <c r="A207" s="58" t="s">
        <v>2817</v>
      </c>
      <c r="B207" s="31" t="s">
        <v>2818</v>
      </c>
      <c r="C207" s="59" t="s">
        <v>107</v>
      </c>
      <c r="D207" s="59">
        <v>2</v>
      </c>
      <c r="E207" s="31" t="s">
        <v>1801</v>
      </c>
      <c r="F207" s="31" t="s">
        <v>3560</v>
      </c>
      <c r="G207" s="62" t="s">
        <v>1799</v>
      </c>
      <c r="H207" s="31" t="s">
        <v>314</v>
      </c>
      <c r="I207" s="59" t="s">
        <v>442</v>
      </c>
      <c r="J207" s="31" t="s">
        <v>1802</v>
      </c>
      <c r="K207" s="31" t="s">
        <v>1803</v>
      </c>
      <c r="L207" s="31" t="s">
        <v>3750</v>
      </c>
    </row>
    <row r="208" spans="1:12">
      <c r="A208" s="58" t="s">
        <v>2817</v>
      </c>
      <c r="B208" s="31" t="s">
        <v>2818</v>
      </c>
      <c r="C208" s="59" t="s">
        <v>107</v>
      </c>
      <c r="D208" s="59">
        <v>3</v>
      </c>
      <c r="E208" s="31" t="s">
        <v>2436</v>
      </c>
      <c r="F208" s="31" t="s">
        <v>3525</v>
      </c>
      <c r="G208" s="62" t="s">
        <v>2434</v>
      </c>
      <c r="H208" s="31" t="s">
        <v>314</v>
      </c>
      <c r="I208" s="59" t="s">
        <v>738</v>
      </c>
      <c r="J208" s="31" t="s">
        <v>1802</v>
      </c>
      <c r="K208" s="31" t="s">
        <v>1803</v>
      </c>
      <c r="L208" s="31" t="s">
        <v>3751</v>
      </c>
    </row>
    <row r="209" spans="1:12">
      <c r="A209" s="58" t="s">
        <v>2822</v>
      </c>
      <c r="B209" s="31" t="s">
        <v>2823</v>
      </c>
      <c r="C209" s="59" t="s">
        <v>107</v>
      </c>
      <c r="D209" s="59">
        <v>1</v>
      </c>
      <c r="E209" s="31" t="s">
        <v>3752</v>
      </c>
      <c r="F209" s="31" t="s">
        <v>3490</v>
      </c>
      <c r="G209" s="62" t="s">
        <v>2822</v>
      </c>
      <c r="H209" s="31" t="s">
        <v>314</v>
      </c>
      <c r="I209" s="59" t="s">
        <v>3735</v>
      </c>
      <c r="J209" s="31" t="s">
        <v>1802</v>
      </c>
      <c r="K209" s="31" t="s">
        <v>1702</v>
      </c>
      <c r="L209" s="31" t="s">
        <v>3753</v>
      </c>
    </row>
    <row r="210" spans="1:12">
      <c r="A210" s="58" t="s">
        <v>2822</v>
      </c>
      <c r="B210" s="31" t="s">
        <v>2823</v>
      </c>
      <c r="C210" s="59" t="s">
        <v>107</v>
      </c>
      <c r="D210" s="59">
        <v>2</v>
      </c>
      <c r="E210" s="31" t="s">
        <v>1815</v>
      </c>
      <c r="F210" s="31" t="s">
        <v>3560</v>
      </c>
      <c r="G210" s="62" t="s">
        <v>1813</v>
      </c>
      <c r="H210" s="31" t="s">
        <v>314</v>
      </c>
      <c r="I210" s="59" t="s">
        <v>442</v>
      </c>
      <c r="J210" s="31" t="s">
        <v>1802</v>
      </c>
      <c r="K210" s="31" t="s">
        <v>1702</v>
      </c>
      <c r="L210" s="31" t="s">
        <v>3754</v>
      </c>
    </row>
    <row r="211" spans="1:12">
      <c r="A211" s="58" t="s">
        <v>2822</v>
      </c>
      <c r="B211" s="31" t="s">
        <v>2823</v>
      </c>
      <c r="C211" s="59" t="s">
        <v>107</v>
      </c>
      <c r="D211" s="59">
        <v>3</v>
      </c>
      <c r="E211" s="31" t="s">
        <v>2446</v>
      </c>
      <c r="F211" s="31" t="s">
        <v>3525</v>
      </c>
      <c r="G211" s="62" t="s">
        <v>2444</v>
      </c>
      <c r="H211" s="31" t="s">
        <v>314</v>
      </c>
      <c r="I211" s="59" t="s">
        <v>738</v>
      </c>
      <c r="J211" s="31" t="s">
        <v>1802</v>
      </c>
      <c r="K211" s="31" t="s">
        <v>1702</v>
      </c>
      <c r="L211" s="31" t="s">
        <v>3755</v>
      </c>
    </row>
    <row r="212" spans="1:12">
      <c r="A212" s="58" t="s">
        <v>2827</v>
      </c>
      <c r="B212" s="31" t="s">
        <v>2828</v>
      </c>
      <c r="C212" s="59" t="s">
        <v>107</v>
      </c>
      <c r="D212" s="59">
        <v>1</v>
      </c>
      <c r="E212" s="31" t="s">
        <v>3756</v>
      </c>
      <c r="F212" s="31" t="s">
        <v>3490</v>
      </c>
      <c r="G212" s="62" t="s">
        <v>2827</v>
      </c>
      <c r="H212" s="31" t="s">
        <v>314</v>
      </c>
      <c r="I212" s="59" t="s">
        <v>3531</v>
      </c>
      <c r="J212" s="31" t="s">
        <v>1694</v>
      </c>
      <c r="K212" s="31" t="s">
        <v>1695</v>
      </c>
      <c r="L212" s="31" t="s">
        <v>3757</v>
      </c>
    </row>
    <row r="213" spans="1:12">
      <c r="A213" s="58" t="s">
        <v>2827</v>
      </c>
      <c r="B213" s="31" t="s">
        <v>2828</v>
      </c>
      <c r="C213" s="59" t="s">
        <v>107</v>
      </c>
      <c r="D213" s="59">
        <v>2</v>
      </c>
      <c r="E213" s="31" t="s">
        <v>2037</v>
      </c>
      <c r="F213" s="31" t="s">
        <v>3626</v>
      </c>
      <c r="G213" s="62" t="s">
        <v>2035</v>
      </c>
      <c r="H213" s="31" t="s">
        <v>314</v>
      </c>
      <c r="I213" s="59" t="s">
        <v>536</v>
      </c>
      <c r="J213" s="31" t="s">
        <v>1694</v>
      </c>
      <c r="K213" s="31" t="s">
        <v>1695</v>
      </c>
      <c r="L213" s="31" t="s">
        <v>3758</v>
      </c>
    </row>
    <row r="214" spans="1:12">
      <c r="A214" s="58" t="s">
        <v>2827</v>
      </c>
      <c r="B214" s="31" t="s">
        <v>2828</v>
      </c>
      <c r="C214" s="59" t="s">
        <v>107</v>
      </c>
      <c r="D214" s="59">
        <v>3</v>
      </c>
      <c r="E214" s="31" t="s">
        <v>2425</v>
      </c>
      <c r="F214" s="31" t="s">
        <v>3525</v>
      </c>
      <c r="G214" s="62" t="s">
        <v>2423</v>
      </c>
      <c r="H214" s="31" t="s">
        <v>314</v>
      </c>
      <c r="I214" s="59" t="s">
        <v>738</v>
      </c>
      <c r="J214" s="31" t="s">
        <v>1694</v>
      </c>
      <c r="K214" s="31" t="s">
        <v>1695</v>
      </c>
      <c r="L214" s="31" t="s">
        <v>3759</v>
      </c>
    </row>
    <row r="215" spans="1:12">
      <c r="A215" s="58" t="s">
        <v>2832</v>
      </c>
      <c r="B215" s="31" t="s">
        <v>2833</v>
      </c>
      <c r="C215" s="59" t="s">
        <v>107</v>
      </c>
      <c r="D215" s="59">
        <v>1</v>
      </c>
      <c r="E215" s="31" t="s">
        <v>3760</v>
      </c>
      <c r="F215" s="31" t="s">
        <v>3490</v>
      </c>
      <c r="G215" s="62" t="s">
        <v>2832</v>
      </c>
      <c r="H215" s="31" t="s">
        <v>314</v>
      </c>
      <c r="I215" s="59" t="s">
        <v>3735</v>
      </c>
      <c r="J215" s="31" t="s">
        <v>1694</v>
      </c>
      <c r="K215" s="31" t="s">
        <v>1695</v>
      </c>
      <c r="L215" s="31" t="s">
        <v>3761</v>
      </c>
    </row>
    <row r="216" spans="1:12">
      <c r="A216" s="58" t="s">
        <v>2832</v>
      </c>
      <c r="B216" s="31" t="s">
        <v>2833</v>
      </c>
      <c r="C216" s="59" t="s">
        <v>107</v>
      </c>
      <c r="D216" s="59">
        <v>2</v>
      </c>
      <c r="E216" s="31" t="s">
        <v>1693</v>
      </c>
      <c r="F216" s="31" t="s">
        <v>3560</v>
      </c>
      <c r="G216" s="62" t="s">
        <v>1691</v>
      </c>
      <c r="H216" s="31" t="s">
        <v>314</v>
      </c>
      <c r="I216" s="59" t="s">
        <v>442</v>
      </c>
      <c r="J216" s="31" t="s">
        <v>1694</v>
      </c>
      <c r="K216" s="31" t="s">
        <v>1695</v>
      </c>
      <c r="L216" s="31" t="s">
        <v>3762</v>
      </c>
    </row>
    <row r="217" spans="1:12">
      <c r="A217" s="58" t="s">
        <v>2832</v>
      </c>
      <c r="B217" s="31" t="s">
        <v>2833</v>
      </c>
      <c r="C217" s="59" t="s">
        <v>107</v>
      </c>
      <c r="D217" s="59">
        <v>3</v>
      </c>
      <c r="E217" s="31" t="s">
        <v>2425</v>
      </c>
      <c r="F217" s="31" t="s">
        <v>3525</v>
      </c>
      <c r="G217" s="62" t="s">
        <v>2423</v>
      </c>
      <c r="H217" s="31" t="s">
        <v>314</v>
      </c>
      <c r="I217" s="59" t="s">
        <v>738</v>
      </c>
      <c r="J217" s="31" t="s">
        <v>1694</v>
      </c>
      <c r="K217" s="31" t="s">
        <v>1695</v>
      </c>
      <c r="L217" s="31" t="s">
        <v>3759</v>
      </c>
    </row>
    <row r="218" spans="1:12">
      <c r="A218" s="58" t="s">
        <v>2837</v>
      </c>
      <c r="B218" s="31" t="s">
        <v>2838</v>
      </c>
      <c r="C218" s="59" t="s">
        <v>107</v>
      </c>
      <c r="D218" s="59">
        <v>1</v>
      </c>
      <c r="E218" s="31" t="s">
        <v>3763</v>
      </c>
      <c r="F218" s="31" t="s">
        <v>3490</v>
      </c>
      <c r="G218" s="62" t="s">
        <v>2837</v>
      </c>
      <c r="H218" s="31" t="s">
        <v>314</v>
      </c>
      <c r="I218" s="59" t="s">
        <v>3764</v>
      </c>
      <c r="J218" s="31" t="s">
        <v>1694</v>
      </c>
      <c r="K218" s="31" t="s">
        <v>1695</v>
      </c>
      <c r="L218" s="31" t="s">
        <v>3765</v>
      </c>
    </row>
    <row r="219" spans="1:12">
      <c r="A219" s="58" t="s">
        <v>2837</v>
      </c>
      <c r="B219" s="31" t="s">
        <v>2838</v>
      </c>
      <c r="C219" s="59" t="s">
        <v>107</v>
      </c>
      <c r="D219" s="59">
        <v>2</v>
      </c>
      <c r="E219" s="31" t="s">
        <v>2010</v>
      </c>
      <c r="F219" s="31" t="s">
        <v>3635</v>
      </c>
      <c r="G219" s="62" t="s">
        <v>2008</v>
      </c>
      <c r="H219" s="31" t="s">
        <v>314</v>
      </c>
      <c r="I219" s="59" t="s">
        <v>498</v>
      </c>
      <c r="J219" s="31" t="s">
        <v>1694</v>
      </c>
      <c r="K219" s="31" t="s">
        <v>1695</v>
      </c>
      <c r="L219" s="31" t="s">
        <v>3766</v>
      </c>
    </row>
    <row r="220" spans="1:12">
      <c r="A220" s="58" t="s">
        <v>2837</v>
      </c>
      <c r="B220" s="31" t="s">
        <v>2838</v>
      </c>
      <c r="C220" s="59" t="s">
        <v>107</v>
      </c>
      <c r="D220" s="59">
        <v>3</v>
      </c>
      <c r="E220" s="31" t="s">
        <v>2425</v>
      </c>
      <c r="F220" s="31" t="s">
        <v>3525</v>
      </c>
      <c r="G220" s="62" t="s">
        <v>2423</v>
      </c>
      <c r="H220" s="31" t="s">
        <v>314</v>
      </c>
      <c r="I220" s="59" t="s">
        <v>738</v>
      </c>
      <c r="J220" s="31" t="s">
        <v>1694</v>
      </c>
      <c r="K220" s="31" t="s">
        <v>1695</v>
      </c>
      <c r="L220" s="31" t="s">
        <v>3759</v>
      </c>
    </row>
    <row r="221" spans="1:12">
      <c r="A221" s="58" t="s">
        <v>2843</v>
      </c>
      <c r="B221" s="31" t="s">
        <v>2844</v>
      </c>
      <c r="C221" s="59" t="s">
        <v>107</v>
      </c>
      <c r="D221" s="59">
        <v>1</v>
      </c>
      <c r="E221" s="31" t="s">
        <v>3767</v>
      </c>
      <c r="F221" s="31" t="s">
        <v>3490</v>
      </c>
      <c r="G221" s="62" t="s">
        <v>2843</v>
      </c>
      <c r="H221" s="31" t="s">
        <v>314</v>
      </c>
      <c r="I221" s="59" t="s">
        <v>3735</v>
      </c>
      <c r="J221" s="31" t="s">
        <v>1694</v>
      </c>
      <c r="K221" s="31" t="s">
        <v>1702</v>
      </c>
      <c r="L221" s="31" t="s">
        <v>3768</v>
      </c>
    </row>
    <row r="222" spans="1:12">
      <c r="A222" s="58" t="s">
        <v>2843</v>
      </c>
      <c r="B222" s="31" t="s">
        <v>2844</v>
      </c>
      <c r="C222" s="59" t="s">
        <v>107</v>
      </c>
      <c r="D222" s="59">
        <v>2</v>
      </c>
      <c r="E222" s="31" t="s">
        <v>1701</v>
      </c>
      <c r="F222" s="31" t="s">
        <v>3560</v>
      </c>
      <c r="G222" s="62" t="s">
        <v>1699</v>
      </c>
      <c r="H222" s="31" t="s">
        <v>314</v>
      </c>
      <c r="I222" s="59" t="s">
        <v>442</v>
      </c>
      <c r="J222" s="31" t="s">
        <v>1694</v>
      </c>
      <c r="K222" s="31" t="s">
        <v>1702</v>
      </c>
      <c r="L222" s="31" t="s">
        <v>3769</v>
      </c>
    </row>
    <row r="223" spans="1:12">
      <c r="A223" s="58" t="s">
        <v>2843</v>
      </c>
      <c r="B223" s="31" t="s">
        <v>2844</v>
      </c>
      <c r="C223" s="59" t="s">
        <v>107</v>
      </c>
      <c r="D223" s="59">
        <v>3</v>
      </c>
      <c r="E223" s="31" t="s">
        <v>2431</v>
      </c>
      <c r="F223" s="31" t="s">
        <v>3525</v>
      </c>
      <c r="G223" s="62" t="s">
        <v>2429</v>
      </c>
      <c r="H223" s="31" t="s">
        <v>314</v>
      </c>
      <c r="I223" s="59" t="s">
        <v>738</v>
      </c>
      <c r="J223" s="31" t="s">
        <v>1694</v>
      </c>
      <c r="K223" s="31" t="s">
        <v>1702</v>
      </c>
      <c r="L223" s="31" t="s">
        <v>3770</v>
      </c>
    </row>
    <row r="224" spans="1:12">
      <c r="A224" s="58" t="s">
        <v>2848</v>
      </c>
      <c r="B224" s="31" t="s">
        <v>2849</v>
      </c>
      <c r="C224" s="59" t="s">
        <v>107</v>
      </c>
      <c r="D224" s="59">
        <v>1</v>
      </c>
      <c r="E224" s="31" t="s">
        <v>3771</v>
      </c>
      <c r="F224" s="31" t="s">
        <v>3490</v>
      </c>
      <c r="G224" s="62" t="s">
        <v>2848</v>
      </c>
      <c r="H224" s="31" t="s">
        <v>314</v>
      </c>
      <c r="I224" s="59" t="s">
        <v>3735</v>
      </c>
      <c r="J224" s="31" t="s">
        <v>1672</v>
      </c>
      <c r="K224" s="31" t="s">
        <v>1673</v>
      </c>
      <c r="L224" s="31" t="s">
        <v>3772</v>
      </c>
    </row>
    <row r="225" spans="1:12">
      <c r="A225" s="58" t="s">
        <v>2848</v>
      </c>
      <c r="B225" s="31" t="s">
        <v>2849</v>
      </c>
      <c r="C225" s="59" t="s">
        <v>107</v>
      </c>
      <c r="D225" s="59">
        <v>2</v>
      </c>
      <c r="E225" s="31" t="s">
        <v>1671</v>
      </c>
      <c r="F225" s="31" t="s">
        <v>3560</v>
      </c>
      <c r="G225" s="62" t="s">
        <v>1669</v>
      </c>
      <c r="H225" s="31" t="s">
        <v>314</v>
      </c>
      <c r="I225" s="59" t="s">
        <v>442</v>
      </c>
      <c r="J225" s="31" t="s">
        <v>1672</v>
      </c>
      <c r="K225" s="31" t="s">
        <v>1673</v>
      </c>
      <c r="L225" s="31" t="s">
        <v>3773</v>
      </c>
    </row>
    <row r="226" spans="1:12">
      <c r="A226" s="58" t="s">
        <v>2848</v>
      </c>
      <c r="B226" s="31" t="s">
        <v>2849</v>
      </c>
      <c r="C226" s="59" t="s">
        <v>107</v>
      </c>
      <c r="D226" s="59">
        <v>3</v>
      </c>
      <c r="E226" s="31" t="s">
        <v>2410</v>
      </c>
      <c r="F226" s="31" t="s">
        <v>3525</v>
      </c>
      <c r="G226" s="62" t="s">
        <v>2408</v>
      </c>
      <c r="H226" s="31" t="s">
        <v>314</v>
      </c>
      <c r="I226" s="59" t="s">
        <v>738</v>
      </c>
      <c r="J226" s="31" t="s">
        <v>1672</v>
      </c>
      <c r="K226" s="31" t="s">
        <v>1673</v>
      </c>
      <c r="L226" s="31" t="s">
        <v>3774</v>
      </c>
    </row>
    <row r="227" spans="1:12">
      <c r="A227" s="58" t="s">
        <v>2853</v>
      </c>
      <c r="B227" s="31" t="s">
        <v>2854</v>
      </c>
      <c r="C227" s="59" t="s">
        <v>107</v>
      </c>
      <c r="D227" s="59">
        <v>1</v>
      </c>
      <c r="E227" s="31" t="s">
        <v>3775</v>
      </c>
      <c r="F227" s="31" t="s">
        <v>3490</v>
      </c>
      <c r="G227" s="62" t="s">
        <v>2853</v>
      </c>
      <c r="H227" s="31" t="s">
        <v>314</v>
      </c>
      <c r="I227" s="59" t="s">
        <v>3735</v>
      </c>
      <c r="J227" s="31" t="s">
        <v>1672</v>
      </c>
      <c r="K227" s="31" t="s">
        <v>1687</v>
      </c>
      <c r="L227" s="31" t="s">
        <v>3776</v>
      </c>
    </row>
    <row r="228" spans="1:12">
      <c r="A228" s="58" t="s">
        <v>2853</v>
      </c>
      <c r="B228" s="31" t="s">
        <v>2854</v>
      </c>
      <c r="C228" s="59" t="s">
        <v>107</v>
      </c>
      <c r="D228" s="59">
        <v>2</v>
      </c>
      <c r="E228" s="31" t="s">
        <v>1686</v>
      </c>
      <c r="F228" s="31" t="s">
        <v>3560</v>
      </c>
      <c r="G228" s="62" t="s">
        <v>1684</v>
      </c>
      <c r="H228" s="31" t="s">
        <v>314</v>
      </c>
      <c r="I228" s="59" t="s">
        <v>442</v>
      </c>
      <c r="J228" s="31" t="s">
        <v>1672</v>
      </c>
      <c r="K228" s="31" t="s">
        <v>1687</v>
      </c>
      <c r="L228" s="31" t="s">
        <v>3777</v>
      </c>
    </row>
    <row r="229" spans="1:12">
      <c r="A229" s="58" t="s">
        <v>2853</v>
      </c>
      <c r="B229" s="31" t="s">
        <v>2854</v>
      </c>
      <c r="C229" s="59" t="s">
        <v>107</v>
      </c>
      <c r="D229" s="59">
        <v>3</v>
      </c>
      <c r="E229" s="31" t="s">
        <v>2420</v>
      </c>
      <c r="F229" s="31" t="s">
        <v>3525</v>
      </c>
      <c r="G229" s="62" t="s">
        <v>2418</v>
      </c>
      <c r="H229" s="31" t="s">
        <v>314</v>
      </c>
      <c r="I229" s="59" t="s">
        <v>738</v>
      </c>
      <c r="J229" s="31" t="s">
        <v>1672</v>
      </c>
      <c r="K229" s="31" t="s">
        <v>1687</v>
      </c>
      <c r="L229" s="31" t="s">
        <v>3778</v>
      </c>
    </row>
    <row r="230" spans="1:12">
      <c r="A230" s="58" t="s">
        <v>2858</v>
      </c>
      <c r="B230" s="31" t="s">
        <v>2859</v>
      </c>
      <c r="C230" s="59" t="s">
        <v>107</v>
      </c>
      <c r="D230" s="59">
        <v>1</v>
      </c>
      <c r="E230" s="31" t="s">
        <v>3779</v>
      </c>
      <c r="F230" s="31" t="s">
        <v>3490</v>
      </c>
      <c r="G230" s="62" t="s">
        <v>2858</v>
      </c>
      <c r="H230" s="31" t="s">
        <v>314</v>
      </c>
      <c r="I230" s="59" t="s">
        <v>3735</v>
      </c>
      <c r="J230" s="31" t="s">
        <v>1672</v>
      </c>
      <c r="K230" s="31" t="s">
        <v>1680</v>
      </c>
      <c r="L230" s="31" t="s">
        <v>3780</v>
      </c>
    </row>
    <row r="231" spans="1:12">
      <c r="A231" s="58" t="s">
        <v>2858</v>
      </c>
      <c r="B231" s="31" t="s">
        <v>2859</v>
      </c>
      <c r="C231" s="59" t="s">
        <v>107</v>
      </c>
      <c r="D231" s="59">
        <v>2</v>
      </c>
      <c r="E231" s="31" t="s">
        <v>1679</v>
      </c>
      <c r="F231" s="31" t="s">
        <v>3560</v>
      </c>
      <c r="G231" s="62" t="s">
        <v>1677</v>
      </c>
      <c r="H231" s="31" t="s">
        <v>314</v>
      </c>
      <c r="I231" s="59" t="s">
        <v>442</v>
      </c>
      <c r="J231" s="31" t="s">
        <v>1672</v>
      </c>
      <c r="K231" s="31" t="s">
        <v>1680</v>
      </c>
      <c r="L231" s="31" t="s">
        <v>3781</v>
      </c>
    </row>
    <row r="232" spans="1:12">
      <c r="A232" s="58" t="s">
        <v>2858</v>
      </c>
      <c r="B232" s="31" t="s">
        <v>2859</v>
      </c>
      <c r="C232" s="59" t="s">
        <v>107</v>
      </c>
      <c r="D232" s="59">
        <v>3</v>
      </c>
      <c r="E232" s="31" t="s">
        <v>2415</v>
      </c>
      <c r="F232" s="31" t="s">
        <v>3525</v>
      </c>
      <c r="G232" s="62" t="s">
        <v>2413</v>
      </c>
      <c r="H232" s="31" t="s">
        <v>314</v>
      </c>
      <c r="I232" s="59" t="s">
        <v>738</v>
      </c>
      <c r="J232" s="31" t="s">
        <v>1672</v>
      </c>
      <c r="K232" s="31" t="s">
        <v>1680</v>
      </c>
      <c r="L232" s="31" t="s">
        <v>3782</v>
      </c>
    </row>
    <row r="233" spans="1:12">
      <c r="A233" s="58" t="s">
        <v>2863</v>
      </c>
      <c r="B233" s="31" t="s">
        <v>2864</v>
      </c>
      <c r="C233" s="59" t="s">
        <v>107</v>
      </c>
      <c r="D233" s="59">
        <v>1</v>
      </c>
      <c r="E233" s="31" t="s">
        <v>3783</v>
      </c>
      <c r="F233" s="31" t="s">
        <v>3490</v>
      </c>
      <c r="G233" s="62" t="s">
        <v>2863</v>
      </c>
      <c r="H233" s="31" t="s">
        <v>314</v>
      </c>
      <c r="I233" s="59" t="s">
        <v>3542</v>
      </c>
      <c r="J233" s="31" t="s">
        <v>1836</v>
      </c>
      <c r="K233" s="31" t="s">
        <v>1851</v>
      </c>
      <c r="L233" s="31" t="s">
        <v>3784</v>
      </c>
    </row>
    <row r="234" spans="1:12">
      <c r="A234" s="58" t="s">
        <v>2863</v>
      </c>
      <c r="B234" s="31" t="s">
        <v>2864</v>
      </c>
      <c r="C234" s="59" t="s">
        <v>107</v>
      </c>
      <c r="D234" s="59">
        <v>2</v>
      </c>
      <c r="E234" s="31" t="s">
        <v>1850</v>
      </c>
      <c r="F234" s="31" t="s">
        <v>3560</v>
      </c>
      <c r="G234" s="62" t="s">
        <v>1848</v>
      </c>
      <c r="H234" s="31" t="s">
        <v>314</v>
      </c>
      <c r="I234" s="59" t="s">
        <v>442</v>
      </c>
      <c r="J234" s="31" t="s">
        <v>1836</v>
      </c>
      <c r="K234" s="31" t="s">
        <v>1851</v>
      </c>
      <c r="L234" s="31" t="s">
        <v>3785</v>
      </c>
    </row>
    <row r="235" spans="1:12">
      <c r="A235" s="58" t="s">
        <v>2863</v>
      </c>
      <c r="B235" s="31" t="s">
        <v>2864</v>
      </c>
      <c r="C235" s="59" t="s">
        <v>107</v>
      </c>
      <c r="D235" s="59">
        <v>3</v>
      </c>
      <c r="E235" s="31" t="s">
        <v>2241</v>
      </c>
      <c r="F235" s="31" t="s">
        <v>3538</v>
      </c>
      <c r="G235" s="62" t="s">
        <v>2239</v>
      </c>
      <c r="H235" s="31" t="s">
        <v>314</v>
      </c>
      <c r="I235" s="59" t="s">
        <v>712</v>
      </c>
      <c r="J235" s="31" t="s">
        <v>1836</v>
      </c>
      <c r="K235" s="31" t="s">
        <v>1851</v>
      </c>
      <c r="L235" s="31" t="s">
        <v>3786</v>
      </c>
    </row>
    <row r="236" spans="1:12">
      <c r="A236" s="58" t="s">
        <v>2869</v>
      </c>
      <c r="B236" s="31" t="s">
        <v>2870</v>
      </c>
      <c r="C236" s="59" t="s">
        <v>107</v>
      </c>
      <c r="D236" s="59">
        <v>1</v>
      </c>
      <c r="E236" s="31" t="s">
        <v>3787</v>
      </c>
      <c r="F236" s="31" t="s">
        <v>3490</v>
      </c>
      <c r="G236" s="62" t="s">
        <v>2869</v>
      </c>
      <c r="H236" s="31" t="s">
        <v>314</v>
      </c>
      <c r="I236" s="59" t="s">
        <v>3542</v>
      </c>
      <c r="J236" s="31" t="s">
        <v>1836</v>
      </c>
      <c r="K236" s="31" t="s">
        <v>1844</v>
      </c>
      <c r="L236" s="31" t="s">
        <v>3788</v>
      </c>
    </row>
    <row r="237" spans="1:12">
      <c r="A237" s="58" t="s">
        <v>2869</v>
      </c>
      <c r="B237" s="31" t="s">
        <v>2870</v>
      </c>
      <c r="C237" s="59" t="s">
        <v>107</v>
      </c>
      <c r="D237" s="59">
        <v>2</v>
      </c>
      <c r="E237" s="31" t="s">
        <v>1843</v>
      </c>
      <c r="F237" s="31" t="s">
        <v>3560</v>
      </c>
      <c r="G237" s="62" t="s">
        <v>1841</v>
      </c>
      <c r="H237" s="31" t="s">
        <v>314</v>
      </c>
      <c r="I237" s="59" t="s">
        <v>442</v>
      </c>
      <c r="J237" s="31" t="s">
        <v>1836</v>
      </c>
      <c r="K237" s="31" t="s">
        <v>1844</v>
      </c>
      <c r="L237" s="31" t="s">
        <v>3789</v>
      </c>
    </row>
    <row r="238" spans="1:12">
      <c r="A238" s="58" t="s">
        <v>2869</v>
      </c>
      <c r="B238" s="31" t="s">
        <v>2870</v>
      </c>
      <c r="C238" s="59" t="s">
        <v>107</v>
      </c>
      <c r="D238" s="59">
        <v>3</v>
      </c>
      <c r="E238" s="31" t="s">
        <v>2236</v>
      </c>
      <c r="F238" s="31" t="s">
        <v>3538</v>
      </c>
      <c r="G238" s="62" t="s">
        <v>2234</v>
      </c>
      <c r="H238" s="31" t="s">
        <v>314</v>
      </c>
      <c r="I238" s="59" t="s">
        <v>712</v>
      </c>
      <c r="J238" s="31" t="s">
        <v>1836</v>
      </c>
      <c r="K238" s="31" t="s">
        <v>1844</v>
      </c>
      <c r="L238" s="31" t="s">
        <v>3790</v>
      </c>
    </row>
    <row r="239" spans="1:12">
      <c r="A239" s="58" t="s">
        <v>2874</v>
      </c>
      <c r="B239" s="31" t="s">
        <v>2875</v>
      </c>
      <c r="C239" s="59" t="s">
        <v>107</v>
      </c>
      <c r="D239" s="59">
        <v>1</v>
      </c>
      <c r="E239" s="31" t="s">
        <v>3791</v>
      </c>
      <c r="F239" s="31" t="s">
        <v>3490</v>
      </c>
      <c r="G239" s="62" t="s">
        <v>2874</v>
      </c>
      <c r="H239" s="31" t="s">
        <v>314</v>
      </c>
      <c r="I239" s="59" t="s">
        <v>3542</v>
      </c>
      <c r="J239" s="31" t="s">
        <v>1836</v>
      </c>
      <c r="K239" s="31" t="s">
        <v>1837</v>
      </c>
      <c r="L239" s="31" t="s">
        <v>3792</v>
      </c>
    </row>
    <row r="240" spans="1:12">
      <c r="A240" s="58" t="s">
        <v>2874</v>
      </c>
      <c r="B240" s="31" t="s">
        <v>2875</v>
      </c>
      <c r="C240" s="59" t="s">
        <v>107</v>
      </c>
      <c r="D240" s="59">
        <v>2</v>
      </c>
      <c r="E240" s="31" t="s">
        <v>1835</v>
      </c>
      <c r="F240" s="31" t="s">
        <v>3560</v>
      </c>
      <c r="G240" s="62" t="s">
        <v>1833</v>
      </c>
      <c r="H240" s="31" t="s">
        <v>314</v>
      </c>
      <c r="I240" s="59" t="s">
        <v>442</v>
      </c>
      <c r="J240" s="31" t="s">
        <v>1836</v>
      </c>
      <c r="K240" s="31" t="s">
        <v>1837</v>
      </c>
      <c r="L240" s="31" t="s">
        <v>3793</v>
      </c>
    </row>
    <row r="241" spans="1:12">
      <c r="A241" s="58" t="s">
        <v>2874</v>
      </c>
      <c r="B241" s="31" t="s">
        <v>2875</v>
      </c>
      <c r="C241" s="59" t="s">
        <v>107</v>
      </c>
      <c r="D241" s="59">
        <v>3</v>
      </c>
      <c r="E241" s="31" t="s">
        <v>2231</v>
      </c>
      <c r="F241" s="31" t="s">
        <v>3538</v>
      </c>
      <c r="G241" s="62" t="s">
        <v>2229</v>
      </c>
      <c r="H241" s="31" t="s">
        <v>314</v>
      </c>
      <c r="I241" s="59" t="s">
        <v>712</v>
      </c>
      <c r="J241" s="31" t="s">
        <v>1836</v>
      </c>
      <c r="K241" s="31" t="s">
        <v>1837</v>
      </c>
      <c r="L241" s="31" t="s">
        <v>3794</v>
      </c>
    </row>
    <row r="242" spans="1:12">
      <c r="A242" s="58" t="s">
        <v>2879</v>
      </c>
      <c r="B242" s="31" t="s">
        <v>2880</v>
      </c>
      <c r="C242" s="59" t="s">
        <v>107</v>
      </c>
      <c r="D242" s="59">
        <v>1</v>
      </c>
      <c r="E242" s="31" t="s">
        <v>3795</v>
      </c>
      <c r="F242" s="31" t="s">
        <v>3490</v>
      </c>
      <c r="G242" s="62" t="s">
        <v>2879</v>
      </c>
      <c r="H242" s="31" t="s">
        <v>314</v>
      </c>
      <c r="I242" s="59" t="s">
        <v>3542</v>
      </c>
      <c r="J242" s="31" t="s">
        <v>1836</v>
      </c>
      <c r="K242" s="31" t="s">
        <v>1702</v>
      </c>
      <c r="L242" s="31" t="s">
        <v>3796</v>
      </c>
    </row>
    <row r="243" spans="1:12">
      <c r="A243" s="58" t="s">
        <v>2879</v>
      </c>
      <c r="B243" s="31" t="s">
        <v>2880</v>
      </c>
      <c r="C243" s="59" t="s">
        <v>107</v>
      </c>
      <c r="D243" s="59">
        <v>2</v>
      </c>
      <c r="E243" s="31" t="s">
        <v>1857</v>
      </c>
      <c r="F243" s="31" t="s">
        <v>3560</v>
      </c>
      <c r="G243" s="62" t="s">
        <v>1855</v>
      </c>
      <c r="H243" s="31" t="s">
        <v>314</v>
      </c>
      <c r="I243" s="59" t="s">
        <v>442</v>
      </c>
      <c r="J243" s="31" t="s">
        <v>1836</v>
      </c>
      <c r="K243" s="31" t="s">
        <v>1702</v>
      </c>
      <c r="L243" s="31" t="s">
        <v>3797</v>
      </c>
    </row>
    <row r="244" spans="1:12">
      <c r="A244" s="58" t="s">
        <v>2879</v>
      </c>
      <c r="B244" s="31" t="s">
        <v>2880</v>
      </c>
      <c r="C244" s="59" t="s">
        <v>107</v>
      </c>
      <c r="D244" s="59">
        <v>3</v>
      </c>
      <c r="E244" s="31" t="s">
        <v>2246</v>
      </c>
      <c r="F244" s="31" t="s">
        <v>3538</v>
      </c>
      <c r="G244" s="62" t="s">
        <v>2244</v>
      </c>
      <c r="H244" s="31" t="s">
        <v>314</v>
      </c>
      <c r="I244" s="59" t="s">
        <v>712</v>
      </c>
      <c r="J244" s="31" t="s">
        <v>1836</v>
      </c>
      <c r="K244" s="31" t="s">
        <v>1702</v>
      </c>
      <c r="L244" s="31" t="s">
        <v>3798</v>
      </c>
    </row>
    <row r="245" spans="1:12">
      <c r="A245" s="58" t="s">
        <v>2884</v>
      </c>
      <c r="B245" s="31" t="s">
        <v>2885</v>
      </c>
      <c r="C245" s="59" t="s">
        <v>107</v>
      </c>
      <c r="D245" s="59">
        <v>1</v>
      </c>
      <c r="E245" s="31" t="s">
        <v>3799</v>
      </c>
      <c r="F245" s="31" t="s">
        <v>3490</v>
      </c>
      <c r="G245" s="62" t="s">
        <v>2884</v>
      </c>
      <c r="H245" s="31" t="s">
        <v>314</v>
      </c>
      <c r="I245" s="59" t="s">
        <v>3735</v>
      </c>
      <c r="J245" s="31" t="s">
        <v>1822</v>
      </c>
      <c r="K245" s="31" t="s">
        <v>1823</v>
      </c>
      <c r="L245" s="31" t="s">
        <v>3800</v>
      </c>
    </row>
    <row r="246" spans="1:12">
      <c r="A246" s="58" t="s">
        <v>2884</v>
      </c>
      <c r="B246" s="31" t="s">
        <v>2885</v>
      </c>
      <c r="C246" s="59" t="s">
        <v>107</v>
      </c>
      <c r="D246" s="59">
        <v>2</v>
      </c>
      <c r="E246" s="31" t="s">
        <v>1821</v>
      </c>
      <c r="F246" s="31" t="s">
        <v>3560</v>
      </c>
      <c r="G246" s="62" t="s">
        <v>1819</v>
      </c>
      <c r="H246" s="31" t="s">
        <v>314</v>
      </c>
      <c r="I246" s="59" t="s">
        <v>442</v>
      </c>
      <c r="J246" s="31" t="s">
        <v>1822</v>
      </c>
      <c r="K246" s="31" t="s">
        <v>1823</v>
      </c>
      <c r="L246" s="31" t="s">
        <v>3801</v>
      </c>
    </row>
    <row r="247" spans="1:12">
      <c r="A247" s="58" t="s">
        <v>2884</v>
      </c>
      <c r="B247" s="31" t="s">
        <v>2885</v>
      </c>
      <c r="C247" s="59" t="s">
        <v>107</v>
      </c>
      <c r="D247" s="59">
        <v>3</v>
      </c>
      <c r="E247" s="31" t="s">
        <v>2451</v>
      </c>
      <c r="F247" s="31" t="s">
        <v>3525</v>
      </c>
      <c r="G247" s="62" t="s">
        <v>2449</v>
      </c>
      <c r="H247" s="31" t="s">
        <v>314</v>
      </c>
      <c r="I247" s="59" t="s">
        <v>738</v>
      </c>
      <c r="J247" s="31" t="s">
        <v>1822</v>
      </c>
      <c r="K247" s="31" t="s">
        <v>1823</v>
      </c>
      <c r="L247" s="31" t="s">
        <v>3802</v>
      </c>
    </row>
    <row r="248" spans="1:12">
      <c r="A248" s="58" t="s">
        <v>2889</v>
      </c>
      <c r="B248" s="31" t="s">
        <v>2890</v>
      </c>
      <c r="C248" s="59" t="s">
        <v>107</v>
      </c>
      <c r="D248" s="59">
        <v>1</v>
      </c>
      <c r="E248" s="31" t="s">
        <v>3803</v>
      </c>
      <c r="F248" s="31" t="s">
        <v>3490</v>
      </c>
      <c r="G248" s="62" t="s">
        <v>2889</v>
      </c>
      <c r="H248" s="31" t="s">
        <v>314</v>
      </c>
      <c r="I248" s="59" t="s">
        <v>3735</v>
      </c>
      <c r="J248" s="31" t="s">
        <v>1822</v>
      </c>
      <c r="K248" s="31" t="s">
        <v>1702</v>
      </c>
      <c r="L248" s="31" t="s">
        <v>3804</v>
      </c>
    </row>
    <row r="249" spans="1:12">
      <c r="A249" s="58" t="s">
        <v>2889</v>
      </c>
      <c r="B249" s="31" t="s">
        <v>2890</v>
      </c>
      <c r="C249" s="59" t="s">
        <v>107</v>
      </c>
      <c r="D249" s="59">
        <v>2</v>
      </c>
      <c r="E249" s="31" t="s">
        <v>1829</v>
      </c>
      <c r="F249" s="31" t="s">
        <v>3560</v>
      </c>
      <c r="G249" s="62" t="s">
        <v>1827</v>
      </c>
      <c r="H249" s="31" t="s">
        <v>314</v>
      </c>
      <c r="I249" s="59" t="s">
        <v>442</v>
      </c>
      <c r="J249" s="31" t="s">
        <v>1822</v>
      </c>
      <c r="K249" s="31" t="s">
        <v>1702</v>
      </c>
      <c r="L249" s="31" t="s">
        <v>3805</v>
      </c>
    </row>
    <row r="250" spans="1:12">
      <c r="A250" s="58" t="s">
        <v>2889</v>
      </c>
      <c r="B250" s="31" t="s">
        <v>2890</v>
      </c>
      <c r="C250" s="59" t="s">
        <v>107</v>
      </c>
      <c r="D250" s="59">
        <v>3</v>
      </c>
      <c r="E250" s="31" t="s">
        <v>2456</v>
      </c>
      <c r="F250" s="31" t="s">
        <v>3525</v>
      </c>
      <c r="G250" s="62" t="s">
        <v>2454</v>
      </c>
      <c r="H250" s="31" t="s">
        <v>314</v>
      </c>
      <c r="I250" s="59" t="s">
        <v>738</v>
      </c>
      <c r="J250" s="31" t="s">
        <v>1822</v>
      </c>
      <c r="K250" s="31" t="s">
        <v>1702</v>
      </c>
      <c r="L250" s="31" t="s">
        <v>3806</v>
      </c>
    </row>
    <row r="251" spans="1:12">
      <c r="A251" s="58" t="s">
        <v>2894</v>
      </c>
      <c r="B251" s="31" t="s">
        <v>2895</v>
      </c>
      <c r="C251" s="59" t="s">
        <v>107</v>
      </c>
      <c r="D251" s="59">
        <v>1</v>
      </c>
      <c r="E251" s="31" t="s">
        <v>3807</v>
      </c>
      <c r="F251" s="31" t="s">
        <v>3490</v>
      </c>
      <c r="G251" s="62" t="s">
        <v>2894</v>
      </c>
      <c r="H251" s="31" t="s">
        <v>314</v>
      </c>
      <c r="I251" s="59" t="s">
        <v>3735</v>
      </c>
      <c r="J251" s="31" t="s">
        <v>1602</v>
      </c>
      <c r="K251" s="31" t="s">
        <v>1621</v>
      </c>
      <c r="L251" s="31" t="s">
        <v>3808</v>
      </c>
    </row>
    <row r="252" spans="1:12">
      <c r="A252" s="58" t="s">
        <v>2894</v>
      </c>
      <c r="B252" s="31" t="s">
        <v>2895</v>
      </c>
      <c r="C252" s="59" t="s">
        <v>107</v>
      </c>
      <c r="D252" s="59">
        <v>2</v>
      </c>
      <c r="E252" s="31" t="s">
        <v>1620</v>
      </c>
      <c r="F252" s="31" t="s">
        <v>3560</v>
      </c>
      <c r="G252" s="62" t="s">
        <v>1618</v>
      </c>
      <c r="H252" s="31" t="s">
        <v>314</v>
      </c>
      <c r="I252" s="59" t="s">
        <v>442</v>
      </c>
      <c r="J252" s="31" t="s">
        <v>1602</v>
      </c>
      <c r="K252" s="31" t="s">
        <v>1621</v>
      </c>
      <c r="L252" s="31" t="s">
        <v>3809</v>
      </c>
    </row>
    <row r="253" spans="1:12">
      <c r="A253" s="58" t="s">
        <v>2894</v>
      </c>
      <c r="B253" s="31" t="s">
        <v>2895</v>
      </c>
      <c r="C253" s="59" t="s">
        <v>107</v>
      </c>
      <c r="D253" s="59">
        <v>3</v>
      </c>
      <c r="E253" s="31" t="s">
        <v>2375</v>
      </c>
      <c r="F253" s="31" t="s">
        <v>3525</v>
      </c>
      <c r="G253" s="62" t="s">
        <v>2373</v>
      </c>
      <c r="H253" s="31" t="s">
        <v>314</v>
      </c>
      <c r="I253" s="59" t="s">
        <v>738</v>
      </c>
      <c r="J253" s="31" t="s">
        <v>1602</v>
      </c>
      <c r="K253" s="31" t="s">
        <v>1621</v>
      </c>
      <c r="L253" s="31" t="s">
        <v>3810</v>
      </c>
    </row>
    <row r="254" spans="1:12">
      <c r="A254" s="58" t="s">
        <v>2899</v>
      </c>
      <c r="B254" s="31" t="s">
        <v>2900</v>
      </c>
      <c r="C254" s="59" t="s">
        <v>107</v>
      </c>
      <c r="D254" s="59">
        <v>1</v>
      </c>
      <c r="E254" s="31" t="s">
        <v>3811</v>
      </c>
      <c r="F254" s="31" t="s">
        <v>3490</v>
      </c>
      <c r="G254" s="62" t="s">
        <v>2899</v>
      </c>
      <c r="H254" s="31" t="s">
        <v>314</v>
      </c>
      <c r="I254" s="59" t="s">
        <v>3735</v>
      </c>
      <c r="J254" s="31" t="s">
        <v>1602</v>
      </c>
      <c r="K254" s="31" t="s">
        <v>1603</v>
      </c>
      <c r="L254" s="31" t="s">
        <v>3812</v>
      </c>
    </row>
    <row r="255" spans="1:12">
      <c r="A255" s="58" t="s">
        <v>2899</v>
      </c>
      <c r="B255" s="31" t="s">
        <v>2900</v>
      </c>
      <c r="C255" s="59" t="s">
        <v>107</v>
      </c>
      <c r="D255" s="59">
        <v>2</v>
      </c>
      <c r="E255" s="31" t="s">
        <v>1601</v>
      </c>
      <c r="F255" s="31" t="s">
        <v>3560</v>
      </c>
      <c r="G255" s="62" t="s">
        <v>1599</v>
      </c>
      <c r="H255" s="31" t="s">
        <v>314</v>
      </c>
      <c r="I255" s="59" t="s">
        <v>442</v>
      </c>
      <c r="J255" s="31" t="s">
        <v>1602</v>
      </c>
      <c r="K255" s="31" t="s">
        <v>1603</v>
      </c>
      <c r="L255" s="31" t="s">
        <v>3813</v>
      </c>
    </row>
    <row r="256" spans="1:12">
      <c r="A256" s="58" t="s">
        <v>2899</v>
      </c>
      <c r="B256" s="31" t="s">
        <v>2900</v>
      </c>
      <c r="C256" s="59" t="s">
        <v>107</v>
      </c>
      <c r="D256" s="59">
        <v>3</v>
      </c>
      <c r="E256" s="31" t="s">
        <v>2362</v>
      </c>
      <c r="F256" s="31" t="s">
        <v>3525</v>
      </c>
      <c r="G256" s="62" t="s">
        <v>2360</v>
      </c>
      <c r="H256" s="31" t="s">
        <v>314</v>
      </c>
      <c r="I256" s="59" t="s">
        <v>738</v>
      </c>
      <c r="J256" s="31" t="s">
        <v>1602</v>
      </c>
      <c r="K256" s="31" t="s">
        <v>1603</v>
      </c>
      <c r="L256" s="31" t="s">
        <v>3814</v>
      </c>
    </row>
    <row r="257" spans="1:12">
      <c r="A257" s="58" t="s">
        <v>2904</v>
      </c>
      <c r="B257" s="31" t="s">
        <v>2905</v>
      </c>
      <c r="C257" s="59" t="s">
        <v>107</v>
      </c>
      <c r="D257" s="59">
        <v>1</v>
      </c>
      <c r="E257" s="31" t="s">
        <v>3815</v>
      </c>
      <c r="F257" s="31" t="s">
        <v>3490</v>
      </c>
      <c r="G257" s="62" t="s">
        <v>2904</v>
      </c>
      <c r="H257" s="31" t="s">
        <v>314</v>
      </c>
      <c r="I257" s="59" t="s">
        <v>3735</v>
      </c>
      <c r="J257" s="31" t="s">
        <v>1602</v>
      </c>
      <c r="K257" s="31" t="s">
        <v>1614</v>
      </c>
      <c r="L257" s="31" t="s">
        <v>3816</v>
      </c>
    </row>
    <row r="258" spans="1:12">
      <c r="A258" s="58" t="s">
        <v>2904</v>
      </c>
      <c r="B258" s="31" t="s">
        <v>2905</v>
      </c>
      <c r="C258" s="59" t="s">
        <v>107</v>
      </c>
      <c r="D258" s="59">
        <v>2</v>
      </c>
      <c r="E258" s="31" t="s">
        <v>1613</v>
      </c>
      <c r="F258" s="31" t="s">
        <v>3560</v>
      </c>
      <c r="G258" s="62" t="s">
        <v>1611</v>
      </c>
      <c r="H258" s="31" t="s">
        <v>314</v>
      </c>
      <c r="I258" s="59" t="s">
        <v>442</v>
      </c>
      <c r="J258" s="31" t="s">
        <v>1602</v>
      </c>
      <c r="K258" s="31" t="s">
        <v>1614</v>
      </c>
      <c r="L258" s="31" t="s">
        <v>3817</v>
      </c>
    </row>
    <row r="259" spans="1:12">
      <c r="A259" s="58" t="s">
        <v>2904</v>
      </c>
      <c r="B259" s="31" t="s">
        <v>2905</v>
      </c>
      <c r="C259" s="59" t="s">
        <v>107</v>
      </c>
      <c r="D259" s="59">
        <v>3</v>
      </c>
      <c r="E259" s="31" t="s">
        <v>2370</v>
      </c>
      <c r="F259" s="31" t="s">
        <v>3525</v>
      </c>
      <c r="G259" s="62" t="s">
        <v>2368</v>
      </c>
      <c r="H259" s="31" t="s">
        <v>314</v>
      </c>
      <c r="I259" s="59" t="s">
        <v>738</v>
      </c>
      <c r="J259" s="31" t="s">
        <v>1602</v>
      </c>
      <c r="K259" s="31" t="s">
        <v>1614</v>
      </c>
      <c r="L259" s="31" t="s">
        <v>3818</v>
      </c>
    </row>
    <row r="260" spans="1:12">
      <c r="A260" s="58" t="s">
        <v>2909</v>
      </c>
      <c r="B260" s="31" t="s">
        <v>2910</v>
      </c>
      <c r="C260" s="59" t="s">
        <v>107</v>
      </c>
      <c r="D260" s="59">
        <v>1</v>
      </c>
      <c r="E260" s="31" t="s">
        <v>3819</v>
      </c>
      <c r="F260" s="31" t="s">
        <v>3490</v>
      </c>
      <c r="G260" s="62" t="s">
        <v>2909</v>
      </c>
      <c r="H260" s="31" t="s">
        <v>314</v>
      </c>
      <c r="I260" s="59" t="s">
        <v>3735</v>
      </c>
      <c r="J260" s="31" t="s">
        <v>1628</v>
      </c>
      <c r="K260" s="31" t="s">
        <v>1636</v>
      </c>
      <c r="L260" s="31" t="s">
        <v>3820</v>
      </c>
    </row>
    <row r="261" spans="1:12">
      <c r="A261" s="58" t="s">
        <v>2909</v>
      </c>
      <c r="B261" s="31" t="s">
        <v>2910</v>
      </c>
      <c r="C261" s="59" t="s">
        <v>107</v>
      </c>
      <c r="D261" s="59">
        <v>2</v>
      </c>
      <c r="E261" s="31" t="s">
        <v>1635</v>
      </c>
      <c r="F261" s="31" t="s">
        <v>3560</v>
      </c>
      <c r="G261" s="62" t="s">
        <v>1633</v>
      </c>
      <c r="H261" s="31" t="s">
        <v>314</v>
      </c>
      <c r="I261" s="59" t="s">
        <v>442</v>
      </c>
      <c r="J261" s="31" t="s">
        <v>1628</v>
      </c>
      <c r="K261" s="31" t="s">
        <v>1636</v>
      </c>
      <c r="L261" s="31" t="s">
        <v>3821</v>
      </c>
    </row>
    <row r="262" spans="1:12">
      <c r="A262" s="58" t="s">
        <v>2909</v>
      </c>
      <c r="B262" s="31" t="s">
        <v>2910</v>
      </c>
      <c r="C262" s="59" t="s">
        <v>107</v>
      </c>
      <c r="D262" s="59">
        <v>3</v>
      </c>
      <c r="E262" s="31" t="s">
        <v>2385</v>
      </c>
      <c r="F262" s="31" t="s">
        <v>3525</v>
      </c>
      <c r="G262" s="62" t="s">
        <v>2383</v>
      </c>
      <c r="H262" s="31" t="s">
        <v>314</v>
      </c>
      <c r="I262" s="59" t="s">
        <v>738</v>
      </c>
      <c r="J262" s="31" t="s">
        <v>1628</v>
      </c>
      <c r="K262" s="31" t="s">
        <v>1636</v>
      </c>
      <c r="L262" s="31" t="s">
        <v>3822</v>
      </c>
    </row>
    <row r="263" spans="1:12">
      <c r="A263" s="58" t="s">
        <v>2914</v>
      </c>
      <c r="B263" s="31" t="s">
        <v>2915</v>
      </c>
      <c r="C263" s="59" t="s">
        <v>107</v>
      </c>
      <c r="D263" s="59">
        <v>1</v>
      </c>
      <c r="E263" s="31" t="s">
        <v>3823</v>
      </c>
      <c r="F263" s="31" t="s">
        <v>3490</v>
      </c>
      <c r="G263" s="62" t="s">
        <v>2914</v>
      </c>
      <c r="H263" s="31" t="s">
        <v>314</v>
      </c>
      <c r="I263" s="59" t="s">
        <v>3735</v>
      </c>
      <c r="J263" s="31" t="s">
        <v>1628</v>
      </c>
      <c r="K263" s="31" t="s">
        <v>1650</v>
      </c>
      <c r="L263" s="31" t="s">
        <v>3824</v>
      </c>
    </row>
    <row r="264" spans="1:12">
      <c r="A264" s="58" t="s">
        <v>2914</v>
      </c>
      <c r="B264" s="31" t="s">
        <v>2915</v>
      </c>
      <c r="C264" s="59" t="s">
        <v>107</v>
      </c>
      <c r="D264" s="59">
        <v>2</v>
      </c>
      <c r="E264" s="31" t="s">
        <v>1649</v>
      </c>
      <c r="F264" s="31" t="s">
        <v>3560</v>
      </c>
      <c r="G264" s="62" t="s">
        <v>1647</v>
      </c>
      <c r="H264" s="31" t="s">
        <v>314</v>
      </c>
      <c r="I264" s="59" t="s">
        <v>442</v>
      </c>
      <c r="J264" s="31" t="s">
        <v>1628</v>
      </c>
      <c r="K264" s="31" t="s">
        <v>1650</v>
      </c>
      <c r="L264" s="31" t="s">
        <v>3825</v>
      </c>
    </row>
    <row r="265" spans="1:12">
      <c r="A265" s="58" t="s">
        <v>2914</v>
      </c>
      <c r="B265" s="31" t="s">
        <v>2915</v>
      </c>
      <c r="C265" s="59" t="s">
        <v>107</v>
      </c>
      <c r="D265" s="59">
        <v>3</v>
      </c>
      <c r="E265" s="31" t="s">
        <v>2395</v>
      </c>
      <c r="F265" s="31" t="s">
        <v>3525</v>
      </c>
      <c r="G265" s="62" t="s">
        <v>2393</v>
      </c>
      <c r="H265" s="31" t="s">
        <v>314</v>
      </c>
      <c r="I265" s="59" t="s">
        <v>738</v>
      </c>
      <c r="J265" s="31" t="s">
        <v>1628</v>
      </c>
      <c r="K265" s="31" t="s">
        <v>1650</v>
      </c>
      <c r="L265" s="31" t="s">
        <v>3826</v>
      </c>
    </row>
    <row r="266" spans="1:12">
      <c r="A266" s="58" t="s">
        <v>2919</v>
      </c>
      <c r="B266" s="31" t="s">
        <v>2920</v>
      </c>
      <c r="C266" s="59" t="s">
        <v>107</v>
      </c>
      <c r="D266" s="59">
        <v>1</v>
      </c>
      <c r="E266" s="31" t="s">
        <v>3827</v>
      </c>
      <c r="F266" s="31" t="s">
        <v>3490</v>
      </c>
      <c r="G266" s="62" t="s">
        <v>2919</v>
      </c>
      <c r="H266" s="31" t="s">
        <v>314</v>
      </c>
      <c r="I266" s="59" t="s">
        <v>3735</v>
      </c>
      <c r="J266" s="31" t="s">
        <v>1628</v>
      </c>
      <c r="K266" s="31" t="s">
        <v>1629</v>
      </c>
      <c r="L266" s="31" t="s">
        <v>3828</v>
      </c>
    </row>
    <row r="267" spans="1:12">
      <c r="A267" s="58" t="s">
        <v>2919</v>
      </c>
      <c r="B267" s="31" t="s">
        <v>2920</v>
      </c>
      <c r="C267" s="59" t="s">
        <v>107</v>
      </c>
      <c r="D267" s="59">
        <v>2</v>
      </c>
      <c r="E267" s="31" t="s">
        <v>1627</v>
      </c>
      <c r="F267" s="31" t="s">
        <v>3560</v>
      </c>
      <c r="G267" s="62" t="s">
        <v>1625</v>
      </c>
      <c r="H267" s="31" t="s">
        <v>314</v>
      </c>
      <c r="I267" s="59" t="s">
        <v>442</v>
      </c>
      <c r="J267" s="31" t="s">
        <v>1628</v>
      </c>
      <c r="K267" s="31" t="s">
        <v>1629</v>
      </c>
      <c r="L267" s="31" t="s">
        <v>3829</v>
      </c>
    </row>
    <row r="268" spans="1:12">
      <c r="A268" s="58" t="s">
        <v>2919</v>
      </c>
      <c r="B268" s="31" t="s">
        <v>2920</v>
      </c>
      <c r="C268" s="59" t="s">
        <v>107</v>
      </c>
      <c r="D268" s="59">
        <v>3</v>
      </c>
      <c r="E268" s="31" t="s">
        <v>2380</v>
      </c>
      <c r="F268" s="31" t="s">
        <v>3525</v>
      </c>
      <c r="G268" s="62" t="s">
        <v>2378</v>
      </c>
      <c r="H268" s="31" t="s">
        <v>314</v>
      </c>
      <c r="I268" s="59" t="s">
        <v>738</v>
      </c>
      <c r="J268" s="31" t="s">
        <v>1628</v>
      </c>
      <c r="K268" s="31" t="s">
        <v>1629</v>
      </c>
      <c r="L268" s="31" t="s">
        <v>3830</v>
      </c>
    </row>
    <row r="269" spans="1:12">
      <c r="A269" s="58" t="s">
        <v>2924</v>
      </c>
      <c r="B269" s="31" t="s">
        <v>2925</v>
      </c>
      <c r="C269" s="59" t="s">
        <v>107</v>
      </c>
      <c r="D269" s="59">
        <v>1</v>
      </c>
      <c r="E269" s="31" t="s">
        <v>3831</v>
      </c>
      <c r="F269" s="31" t="s">
        <v>3490</v>
      </c>
      <c r="G269" s="62" t="s">
        <v>2924</v>
      </c>
      <c r="H269" s="31" t="s">
        <v>314</v>
      </c>
      <c r="I269" s="59" t="s">
        <v>3735</v>
      </c>
      <c r="J269" s="31" t="s">
        <v>1628</v>
      </c>
      <c r="K269" s="31" t="s">
        <v>1643</v>
      </c>
      <c r="L269" s="31" t="s">
        <v>3832</v>
      </c>
    </row>
    <row r="270" spans="1:12">
      <c r="A270" s="58" t="s">
        <v>2924</v>
      </c>
      <c r="B270" s="31" t="s">
        <v>2925</v>
      </c>
      <c r="C270" s="59" t="s">
        <v>107</v>
      </c>
      <c r="D270" s="59">
        <v>2</v>
      </c>
      <c r="E270" s="31" t="s">
        <v>1642</v>
      </c>
      <c r="F270" s="31" t="s">
        <v>3560</v>
      </c>
      <c r="G270" s="62" t="s">
        <v>1640</v>
      </c>
      <c r="H270" s="31" t="s">
        <v>314</v>
      </c>
      <c r="I270" s="59" t="s">
        <v>442</v>
      </c>
      <c r="J270" s="31" t="s">
        <v>1628</v>
      </c>
      <c r="K270" s="31" t="s">
        <v>1643</v>
      </c>
      <c r="L270" s="31" t="s">
        <v>3833</v>
      </c>
    </row>
    <row r="271" spans="1:12">
      <c r="A271" s="58" t="s">
        <v>2924</v>
      </c>
      <c r="B271" s="31" t="s">
        <v>2925</v>
      </c>
      <c r="C271" s="59" t="s">
        <v>107</v>
      </c>
      <c r="D271" s="59">
        <v>3</v>
      </c>
      <c r="E271" s="31" t="s">
        <v>2390</v>
      </c>
      <c r="F271" s="31" t="s">
        <v>3525</v>
      </c>
      <c r="G271" s="62" t="s">
        <v>2388</v>
      </c>
      <c r="H271" s="31" t="s">
        <v>314</v>
      </c>
      <c r="I271" s="59" t="s">
        <v>738</v>
      </c>
      <c r="J271" s="31" t="s">
        <v>1628</v>
      </c>
      <c r="K271" s="31" t="s">
        <v>1643</v>
      </c>
      <c r="L271" s="31" t="s">
        <v>3834</v>
      </c>
    </row>
    <row r="272" spans="1:12">
      <c r="A272" s="58" t="s">
        <v>704</v>
      </c>
      <c r="B272" s="31" t="s">
        <v>2929</v>
      </c>
      <c r="C272" s="59" t="s">
        <v>107</v>
      </c>
      <c r="D272" s="59">
        <v>1</v>
      </c>
      <c r="E272" s="31" t="s">
        <v>3835</v>
      </c>
      <c r="F272" s="31" t="s">
        <v>3490</v>
      </c>
      <c r="G272" s="62" t="s">
        <v>704</v>
      </c>
      <c r="H272" s="31" t="s">
        <v>314</v>
      </c>
      <c r="I272" s="59" t="s">
        <v>3542</v>
      </c>
      <c r="J272" s="31" t="s">
        <v>2003</v>
      </c>
      <c r="K272" s="31" t="s">
        <v>2004</v>
      </c>
      <c r="L272" s="31" t="s">
        <v>3836</v>
      </c>
    </row>
    <row r="273" spans="1:12">
      <c r="A273" s="58" t="s">
        <v>704</v>
      </c>
      <c r="B273" s="31" t="s">
        <v>2929</v>
      </c>
      <c r="C273" s="59" t="s">
        <v>107</v>
      </c>
      <c r="D273" s="59">
        <v>2</v>
      </c>
      <c r="E273" s="31" t="s">
        <v>2002</v>
      </c>
      <c r="F273" s="31" t="s">
        <v>3560</v>
      </c>
      <c r="G273" s="62" t="s">
        <v>2000</v>
      </c>
      <c r="H273" s="31" t="s">
        <v>314</v>
      </c>
      <c r="I273" s="59" t="s">
        <v>442</v>
      </c>
      <c r="J273" s="31" t="s">
        <v>2003</v>
      </c>
      <c r="K273" s="31" t="s">
        <v>2004</v>
      </c>
      <c r="L273" s="31" t="s">
        <v>3837</v>
      </c>
    </row>
    <row r="274" spans="1:12">
      <c r="A274" s="58" t="s">
        <v>704</v>
      </c>
      <c r="B274" s="31" t="s">
        <v>2929</v>
      </c>
      <c r="C274" s="59" t="s">
        <v>107</v>
      </c>
      <c r="D274" s="59">
        <v>3</v>
      </c>
      <c r="E274" s="31" t="s">
        <v>2357</v>
      </c>
      <c r="F274" s="31" t="s">
        <v>3538</v>
      </c>
      <c r="G274" s="62" t="s">
        <v>2355</v>
      </c>
      <c r="H274" s="31" t="s">
        <v>314</v>
      </c>
      <c r="I274" s="59" t="s">
        <v>498</v>
      </c>
      <c r="J274" s="31" t="s">
        <v>2003</v>
      </c>
      <c r="K274" s="31" t="s">
        <v>2004</v>
      </c>
      <c r="L274" s="31" t="s">
        <v>3838</v>
      </c>
    </row>
    <row r="275" spans="1:12">
      <c r="A275" s="58" t="s">
        <v>2933</v>
      </c>
      <c r="B275" s="31" t="s">
        <v>2934</v>
      </c>
      <c r="C275" s="59" t="s">
        <v>107</v>
      </c>
      <c r="D275" s="59">
        <v>1</v>
      </c>
      <c r="E275" s="31" t="s">
        <v>3839</v>
      </c>
      <c r="F275" s="31" t="s">
        <v>3490</v>
      </c>
      <c r="G275" s="62" t="s">
        <v>2933</v>
      </c>
      <c r="H275" s="31" t="s">
        <v>314</v>
      </c>
      <c r="I275" s="59" t="s">
        <v>3542</v>
      </c>
      <c r="J275" s="31" t="s">
        <v>1864</v>
      </c>
      <c r="K275" s="31" t="s">
        <v>1879</v>
      </c>
      <c r="L275" s="31" t="s">
        <v>3840</v>
      </c>
    </row>
    <row r="276" spans="1:12">
      <c r="A276" s="58" t="s">
        <v>2933</v>
      </c>
      <c r="B276" s="31" t="s">
        <v>2934</v>
      </c>
      <c r="C276" s="59" t="s">
        <v>107</v>
      </c>
      <c r="D276" s="59">
        <v>2</v>
      </c>
      <c r="E276" s="31" t="s">
        <v>1878</v>
      </c>
      <c r="F276" s="31" t="s">
        <v>3560</v>
      </c>
      <c r="G276" s="62" t="s">
        <v>1876</v>
      </c>
      <c r="H276" s="31" t="s">
        <v>314</v>
      </c>
      <c r="I276" s="59" t="s">
        <v>442</v>
      </c>
      <c r="J276" s="31" t="s">
        <v>1864</v>
      </c>
      <c r="K276" s="31" t="s">
        <v>1879</v>
      </c>
      <c r="L276" s="31" t="s">
        <v>3841</v>
      </c>
    </row>
    <row r="277" spans="1:12">
      <c r="A277" s="58" t="s">
        <v>2933</v>
      </c>
      <c r="B277" s="31" t="s">
        <v>2934</v>
      </c>
      <c r="C277" s="59" t="s">
        <v>107</v>
      </c>
      <c r="D277" s="59">
        <v>3</v>
      </c>
      <c r="E277" s="31" t="s">
        <v>2261</v>
      </c>
      <c r="F277" s="31" t="s">
        <v>3538</v>
      </c>
      <c r="G277" s="62" t="s">
        <v>2259</v>
      </c>
      <c r="H277" s="31" t="s">
        <v>314</v>
      </c>
      <c r="I277" s="59" t="s">
        <v>498</v>
      </c>
      <c r="J277" s="31" t="s">
        <v>1864</v>
      </c>
      <c r="K277" s="31" t="s">
        <v>1879</v>
      </c>
      <c r="L277" s="31" t="s">
        <v>3842</v>
      </c>
    </row>
    <row r="278" spans="1:12">
      <c r="A278" s="58" t="s">
        <v>2938</v>
      </c>
      <c r="B278" s="31" t="s">
        <v>2939</v>
      </c>
      <c r="C278" s="59" t="s">
        <v>107</v>
      </c>
      <c r="D278" s="59">
        <v>1</v>
      </c>
      <c r="E278" s="31" t="s">
        <v>3843</v>
      </c>
      <c r="F278" s="31" t="s">
        <v>3490</v>
      </c>
      <c r="G278" s="62" t="s">
        <v>2938</v>
      </c>
      <c r="H278" s="31" t="s">
        <v>314</v>
      </c>
      <c r="I278" s="59" t="s">
        <v>3542</v>
      </c>
      <c r="J278" s="31" t="s">
        <v>1864</v>
      </c>
      <c r="K278" s="31" t="s">
        <v>1865</v>
      </c>
      <c r="L278" s="31" t="s">
        <v>3844</v>
      </c>
    </row>
    <row r="279" spans="1:12">
      <c r="A279" s="58" t="s">
        <v>2938</v>
      </c>
      <c r="B279" s="31" t="s">
        <v>2939</v>
      </c>
      <c r="C279" s="59" t="s">
        <v>107</v>
      </c>
      <c r="D279" s="59">
        <v>2</v>
      </c>
      <c r="E279" s="31" t="s">
        <v>1863</v>
      </c>
      <c r="F279" s="31" t="s">
        <v>3560</v>
      </c>
      <c r="G279" s="62" t="s">
        <v>1861</v>
      </c>
      <c r="H279" s="31" t="s">
        <v>314</v>
      </c>
      <c r="I279" s="59" t="s">
        <v>442</v>
      </c>
      <c r="J279" s="31" t="s">
        <v>1864</v>
      </c>
      <c r="K279" s="31" t="s">
        <v>1865</v>
      </c>
      <c r="L279" s="31" t="s">
        <v>3845</v>
      </c>
    </row>
    <row r="280" spans="1:12">
      <c r="A280" s="58" t="s">
        <v>2938</v>
      </c>
      <c r="B280" s="31" t="s">
        <v>2939</v>
      </c>
      <c r="C280" s="59" t="s">
        <v>107</v>
      </c>
      <c r="D280" s="59">
        <v>3</v>
      </c>
      <c r="E280" s="31" t="s">
        <v>2251</v>
      </c>
      <c r="F280" s="31" t="s">
        <v>3538</v>
      </c>
      <c r="G280" s="62" t="s">
        <v>2249</v>
      </c>
      <c r="H280" s="31" t="s">
        <v>314</v>
      </c>
      <c r="I280" s="59" t="s">
        <v>498</v>
      </c>
      <c r="J280" s="31" t="s">
        <v>1864</v>
      </c>
      <c r="K280" s="31" t="s">
        <v>1865</v>
      </c>
      <c r="L280" s="31" t="s">
        <v>3846</v>
      </c>
    </row>
    <row r="281" spans="1:12">
      <c r="A281" s="58" t="s">
        <v>2943</v>
      </c>
      <c r="B281" s="31" t="s">
        <v>2944</v>
      </c>
      <c r="C281" s="59" t="s">
        <v>107</v>
      </c>
      <c r="D281" s="59">
        <v>1</v>
      </c>
      <c r="E281" s="31" t="s">
        <v>3847</v>
      </c>
      <c r="F281" s="31" t="s">
        <v>3490</v>
      </c>
      <c r="G281" s="62" t="s">
        <v>2943</v>
      </c>
      <c r="H281" s="31" t="s">
        <v>314</v>
      </c>
      <c r="I281" s="59" t="s">
        <v>3542</v>
      </c>
      <c r="J281" s="31" t="s">
        <v>1864</v>
      </c>
      <c r="K281" s="31" t="s">
        <v>1872</v>
      </c>
      <c r="L281" s="31" t="s">
        <v>3848</v>
      </c>
    </row>
    <row r="282" spans="1:12">
      <c r="A282" s="58" t="s">
        <v>2943</v>
      </c>
      <c r="B282" s="31" t="s">
        <v>2944</v>
      </c>
      <c r="C282" s="59" t="s">
        <v>107</v>
      </c>
      <c r="D282" s="59">
        <v>2</v>
      </c>
      <c r="E282" s="31" t="s">
        <v>1871</v>
      </c>
      <c r="F282" s="31" t="s">
        <v>3560</v>
      </c>
      <c r="G282" s="62" t="s">
        <v>1869</v>
      </c>
      <c r="H282" s="31" t="s">
        <v>314</v>
      </c>
      <c r="I282" s="59" t="s">
        <v>442</v>
      </c>
      <c r="J282" s="31" t="s">
        <v>1864</v>
      </c>
      <c r="K282" s="31" t="s">
        <v>1872</v>
      </c>
      <c r="L282" s="31" t="s">
        <v>3849</v>
      </c>
    </row>
    <row r="283" spans="1:12">
      <c r="A283" s="58" t="s">
        <v>2943</v>
      </c>
      <c r="B283" s="31" t="s">
        <v>2944</v>
      </c>
      <c r="C283" s="59" t="s">
        <v>107</v>
      </c>
      <c r="D283" s="59">
        <v>3</v>
      </c>
      <c r="E283" s="31" t="s">
        <v>2256</v>
      </c>
      <c r="F283" s="31" t="s">
        <v>3538</v>
      </c>
      <c r="G283" s="62" t="s">
        <v>2254</v>
      </c>
      <c r="H283" s="31" t="s">
        <v>314</v>
      </c>
      <c r="I283" s="59" t="s">
        <v>498</v>
      </c>
      <c r="J283" s="31" t="s">
        <v>1864</v>
      </c>
      <c r="K283" s="31" t="s">
        <v>1872</v>
      </c>
      <c r="L283" s="31" t="s">
        <v>3850</v>
      </c>
    </row>
  </sheetData>
  <autoFilter ref="A1:L283"/>
  <printOptions horizontalCentered="1"/>
  <pageMargins left="0.28" right="0.28" top="0.4" bottom="0.4" header="0.5" footer="0.5"/>
  <pageSetup paperSize="9" fitToWidth="1" fitToHeight="0" orientation="landscape"/>
</worksheet>
</file>

<file path=xl/worksheets/sheet5.xml><?xml version="1.0" encoding="utf-8"?>
<worksheet xmlns="http://schemas.openxmlformats.org/spreadsheetml/2006/main">
  <sheetPr>
    <tabColor rgb="FFBF8F00"/>
    <outlinePr summaryBelow="1" summaryRight="1"/>
    <pageSetUpPr fitToPage="1"/>
  </sheetPr>
  <dimension ref="N54"/>
  <sheetViews>
    <sheetView showGridLines="1" workbookViewId="0">
      <pane xSplit="3" ySplit="3" topLeftCell="D4" activePane="bottomRight" state="frozen"/>
    </sheetView>
  </sheetViews>
  <sheetFormatPr baseColWidth="8" defaultRowHeight="15"/>
  <cols>
    <col min="1" max="1" width="5" customWidth="1"/>
    <col min="2" max="2" width="16" customWidth="1"/>
    <col min="3" max="3" width="14" customWidth="1"/>
    <col min="4" max="4" width="14" customWidth="1"/>
    <col min="5" max="5" width="14" customWidth="1"/>
    <col min="6" max="6" width="14" customWidth="1"/>
    <col min="7" max="7" width="14" customWidth="1"/>
    <col min="8" max="8" width="14" customWidth="1"/>
    <col min="9" max="9" width="9" customWidth="1"/>
    <col min="10" max="10" width="9" customWidth="1"/>
    <col min="11" max="11" width="9" customWidth="1"/>
    <col min="12" max="12" width="9" customWidth="1"/>
    <col min="13" max="13" width="9" customWidth="1"/>
    <col min="14" max="14" width="30" customWidth="1"/>
  </cols>
  <sheetData>
    <row r="1" spans="1:1" ht="30" customHeight="1">
      <c r="A1" s="4" t="s">
        <v>3851</v>
      </c>
    </row>
    <row r="2" spans="1:1" ht="18" customHeight="1">
      <c r="A2" s="5" t="s">
        <v>3852</v>
      </c>
    </row>
    <row r="3" spans="1:14" ht="34" customHeight="1">
      <c r="A3" s="12" t="s">
        <v>308</v>
      </c>
      <c r="B3" s="12" t="s">
        <v>3853</v>
      </c>
      <c r="C3" s="12" t="s">
        <v>3854</v>
      </c>
      <c r="D3" s="12" t="s">
        <v>3855</v>
      </c>
      <c r="E3" s="12" t="s">
        <v>3856</v>
      </c>
      <c r="F3" s="12" t="s">
        <v>3857</v>
      </c>
      <c r="G3" s="12" t="s">
        <v>3858</v>
      </c>
      <c r="H3" s="12" t="s">
        <v>3859</v>
      </c>
      <c r="I3" s="12" t="s">
        <v>3860</v>
      </c>
      <c r="J3" s="12" t="s">
        <v>3861</v>
      </c>
      <c r="K3" s="12" t="s">
        <v>3862</v>
      </c>
      <c r="L3" s="12" t="s">
        <v>3863</v>
      </c>
      <c r="M3" s="12" t="s">
        <v>3864</v>
      </c>
      <c r="N3" s="12" t="s">
        <v>3865</v>
      </c>
    </row>
    <row r="4" spans="1:14">
      <c r="A4" s="59">
        <v>1</v>
      </c>
      <c r="B4" s="31" t="s">
        <v>1602</v>
      </c>
      <c r="C4" s="31" t="s">
        <v>1603</v>
      </c>
      <c r="D4" s="62" t="s">
        <v>1599</v>
      </c>
      <c r="E4" s="62" t="s">
        <v>314</v>
      </c>
      <c r="F4" s="62" t="s">
        <v>314</v>
      </c>
      <c r="G4" s="62" t="s">
        <v>314</v>
      </c>
      <c r="H4" s="62" t="s">
        <v>2360</v>
      </c>
      <c r="I4" s="59" t="s">
        <v>442</v>
      </c>
      <c r="J4" s="59" t="s">
        <v>314</v>
      </c>
      <c r="K4" s="59" t="s">
        <v>314</v>
      </c>
      <c r="L4" s="59" t="s">
        <v>314</v>
      </c>
      <c r="M4" s="59" t="s">
        <v>738</v>
      </c>
      <c r="N4" s="31" t="s">
        <v>2899</v>
      </c>
    </row>
    <row r="5" spans="1:14">
      <c r="A5" s="59">
        <v>2</v>
      </c>
      <c r="B5" s="31" t="s">
        <v>1602</v>
      </c>
      <c r="C5" s="31" t="s">
        <v>1614</v>
      </c>
      <c r="D5" s="62" t="s">
        <v>1611</v>
      </c>
      <c r="E5" s="62" t="s">
        <v>314</v>
      </c>
      <c r="F5" s="62" t="s">
        <v>314</v>
      </c>
      <c r="G5" s="62" t="s">
        <v>314</v>
      </c>
      <c r="H5" s="62" t="s">
        <v>2368</v>
      </c>
      <c r="I5" s="59" t="s">
        <v>442</v>
      </c>
      <c r="J5" s="59" t="s">
        <v>314</v>
      </c>
      <c r="K5" s="59" t="s">
        <v>314</v>
      </c>
      <c r="L5" s="59" t="s">
        <v>314</v>
      </c>
      <c r="M5" s="59" t="s">
        <v>738</v>
      </c>
      <c r="N5" s="31" t="s">
        <v>2904</v>
      </c>
    </row>
    <row r="6" spans="1:14">
      <c r="A6" s="59">
        <v>3</v>
      </c>
      <c r="B6" s="31" t="s">
        <v>1602</v>
      </c>
      <c r="C6" s="31" t="s">
        <v>1621</v>
      </c>
      <c r="D6" s="62" t="s">
        <v>1618</v>
      </c>
      <c r="E6" s="62" t="s">
        <v>314</v>
      </c>
      <c r="F6" s="62" t="s">
        <v>314</v>
      </c>
      <c r="G6" s="62" t="s">
        <v>314</v>
      </c>
      <c r="H6" s="62" t="s">
        <v>2373</v>
      </c>
      <c r="I6" s="59" t="s">
        <v>442</v>
      </c>
      <c r="J6" s="59" t="s">
        <v>314</v>
      </c>
      <c r="K6" s="59" t="s">
        <v>314</v>
      </c>
      <c r="L6" s="59" t="s">
        <v>314</v>
      </c>
      <c r="M6" s="59" t="s">
        <v>738</v>
      </c>
      <c r="N6" s="31" t="s">
        <v>2894</v>
      </c>
    </row>
    <row r="7" spans="1:14">
      <c r="A7" s="59">
        <v>4</v>
      </c>
      <c r="B7" s="31" t="s">
        <v>1628</v>
      </c>
      <c r="C7" s="31" t="s">
        <v>1629</v>
      </c>
      <c r="D7" s="62" t="s">
        <v>1625</v>
      </c>
      <c r="E7" s="62" t="s">
        <v>314</v>
      </c>
      <c r="F7" s="62" t="s">
        <v>314</v>
      </c>
      <c r="G7" s="62" t="s">
        <v>314</v>
      </c>
      <c r="H7" s="62" t="s">
        <v>2378</v>
      </c>
      <c r="I7" s="59" t="s">
        <v>442</v>
      </c>
      <c r="J7" s="59" t="s">
        <v>314</v>
      </c>
      <c r="K7" s="59" t="s">
        <v>314</v>
      </c>
      <c r="L7" s="59" t="s">
        <v>314</v>
      </c>
      <c r="M7" s="59" t="s">
        <v>738</v>
      </c>
      <c r="N7" s="31" t="s">
        <v>2919</v>
      </c>
    </row>
    <row r="8" spans="1:14">
      <c r="A8" s="59">
        <v>5</v>
      </c>
      <c r="B8" s="31" t="s">
        <v>1628</v>
      </c>
      <c r="C8" s="31" t="s">
        <v>1636</v>
      </c>
      <c r="D8" s="62" t="s">
        <v>1633</v>
      </c>
      <c r="E8" s="62" t="s">
        <v>314</v>
      </c>
      <c r="F8" s="62" t="s">
        <v>314</v>
      </c>
      <c r="G8" s="62" t="s">
        <v>314</v>
      </c>
      <c r="H8" s="62" t="s">
        <v>2383</v>
      </c>
      <c r="I8" s="59" t="s">
        <v>442</v>
      </c>
      <c r="J8" s="59" t="s">
        <v>314</v>
      </c>
      <c r="K8" s="59" t="s">
        <v>314</v>
      </c>
      <c r="L8" s="59" t="s">
        <v>314</v>
      </c>
      <c r="M8" s="59" t="s">
        <v>738</v>
      </c>
      <c r="N8" s="31" t="s">
        <v>2909</v>
      </c>
    </row>
    <row r="9" spans="1:14">
      <c r="A9" s="59">
        <v>6</v>
      </c>
      <c r="B9" s="31" t="s">
        <v>1628</v>
      </c>
      <c r="C9" s="31" t="s">
        <v>1643</v>
      </c>
      <c r="D9" s="62" t="s">
        <v>1640</v>
      </c>
      <c r="E9" s="62" t="s">
        <v>314</v>
      </c>
      <c r="F9" s="62" t="s">
        <v>314</v>
      </c>
      <c r="G9" s="62" t="s">
        <v>314</v>
      </c>
      <c r="H9" s="62" t="s">
        <v>2388</v>
      </c>
      <c r="I9" s="59" t="s">
        <v>442</v>
      </c>
      <c r="J9" s="59" t="s">
        <v>314</v>
      </c>
      <c r="K9" s="59" t="s">
        <v>314</v>
      </c>
      <c r="L9" s="59" t="s">
        <v>314</v>
      </c>
      <c r="M9" s="59" t="s">
        <v>738</v>
      </c>
      <c r="N9" s="31" t="s">
        <v>2924</v>
      </c>
    </row>
    <row r="10" spans="1:14">
      <c r="A10" s="59">
        <v>7</v>
      </c>
      <c r="B10" s="31" t="s">
        <v>1628</v>
      </c>
      <c r="C10" s="31" t="s">
        <v>1650</v>
      </c>
      <c r="D10" s="62" t="s">
        <v>1647</v>
      </c>
      <c r="E10" s="62" t="s">
        <v>314</v>
      </c>
      <c r="F10" s="62" t="s">
        <v>314</v>
      </c>
      <c r="G10" s="62" t="s">
        <v>314</v>
      </c>
      <c r="H10" s="62" t="s">
        <v>2393</v>
      </c>
      <c r="I10" s="59" t="s">
        <v>442</v>
      </c>
      <c r="J10" s="59" t="s">
        <v>314</v>
      </c>
      <c r="K10" s="59" t="s">
        <v>314</v>
      </c>
      <c r="L10" s="59" t="s">
        <v>314</v>
      </c>
      <c r="M10" s="59" t="s">
        <v>738</v>
      </c>
      <c r="N10" s="31" t="s">
        <v>2914</v>
      </c>
    </row>
    <row r="11" spans="1:14">
      <c r="A11" s="59">
        <v>8</v>
      </c>
      <c r="B11" s="31" t="s">
        <v>1657</v>
      </c>
      <c r="C11" s="31" t="s">
        <v>1658</v>
      </c>
      <c r="D11" s="62" t="s">
        <v>1654</v>
      </c>
      <c r="E11" s="62" t="s">
        <v>314</v>
      </c>
      <c r="F11" s="62" t="s">
        <v>314</v>
      </c>
      <c r="G11" s="62" t="s">
        <v>314</v>
      </c>
      <c r="H11" s="62" t="s">
        <v>2398</v>
      </c>
      <c r="I11" s="59" t="s">
        <v>442</v>
      </c>
      <c r="J11" s="59" t="s">
        <v>314</v>
      </c>
      <c r="K11" s="59" t="s">
        <v>314</v>
      </c>
      <c r="L11" s="59" t="s">
        <v>314</v>
      </c>
      <c r="M11" s="59" t="s">
        <v>738</v>
      </c>
      <c r="N11" s="31" t="s">
        <v>2801</v>
      </c>
    </row>
    <row r="12" spans="1:14">
      <c r="A12" s="59">
        <v>9</v>
      </c>
      <c r="B12" s="31" t="s">
        <v>1657</v>
      </c>
      <c r="C12" s="31" t="s">
        <v>1665</v>
      </c>
      <c r="D12" s="62" t="s">
        <v>1662</v>
      </c>
      <c r="E12" s="62" t="s">
        <v>314</v>
      </c>
      <c r="F12" s="62" t="s">
        <v>314</v>
      </c>
      <c r="G12" s="62" t="s">
        <v>314</v>
      </c>
      <c r="H12" s="62" t="s">
        <v>2403</v>
      </c>
      <c r="I12" s="59" t="s">
        <v>442</v>
      </c>
      <c r="J12" s="59" t="s">
        <v>314</v>
      </c>
      <c r="K12" s="59" t="s">
        <v>314</v>
      </c>
      <c r="L12" s="59" t="s">
        <v>314</v>
      </c>
      <c r="M12" s="59" t="s">
        <v>738</v>
      </c>
      <c r="N12" s="31" t="s">
        <v>2807</v>
      </c>
    </row>
    <row r="13" spans="1:14">
      <c r="A13" s="59">
        <v>10</v>
      </c>
      <c r="B13" s="31" t="s">
        <v>1672</v>
      </c>
      <c r="C13" s="31" t="s">
        <v>1673</v>
      </c>
      <c r="D13" s="62" t="s">
        <v>1669</v>
      </c>
      <c r="E13" s="62" t="s">
        <v>314</v>
      </c>
      <c r="F13" s="62" t="s">
        <v>314</v>
      </c>
      <c r="G13" s="62" t="s">
        <v>314</v>
      </c>
      <c r="H13" s="62" t="s">
        <v>2408</v>
      </c>
      <c r="I13" s="59" t="s">
        <v>442</v>
      </c>
      <c r="J13" s="59" t="s">
        <v>314</v>
      </c>
      <c r="K13" s="59" t="s">
        <v>314</v>
      </c>
      <c r="L13" s="59" t="s">
        <v>314</v>
      </c>
      <c r="M13" s="59" t="s">
        <v>738</v>
      </c>
      <c r="N13" s="31" t="s">
        <v>2848</v>
      </c>
    </row>
    <row r="14" spans="1:14">
      <c r="A14" s="59">
        <v>11</v>
      </c>
      <c r="B14" s="31" t="s">
        <v>1672</v>
      </c>
      <c r="C14" s="31" t="s">
        <v>1680</v>
      </c>
      <c r="D14" s="62" t="s">
        <v>1677</v>
      </c>
      <c r="E14" s="62" t="s">
        <v>314</v>
      </c>
      <c r="F14" s="62" t="s">
        <v>314</v>
      </c>
      <c r="G14" s="62" t="s">
        <v>314</v>
      </c>
      <c r="H14" s="62" t="s">
        <v>2413</v>
      </c>
      <c r="I14" s="59" t="s">
        <v>442</v>
      </c>
      <c r="J14" s="59" t="s">
        <v>314</v>
      </c>
      <c r="K14" s="59" t="s">
        <v>314</v>
      </c>
      <c r="L14" s="59" t="s">
        <v>314</v>
      </c>
      <c r="M14" s="59" t="s">
        <v>738</v>
      </c>
      <c r="N14" s="31" t="s">
        <v>2858</v>
      </c>
    </row>
    <row r="15" spans="1:14">
      <c r="A15" s="59">
        <v>12</v>
      </c>
      <c r="B15" s="31" t="s">
        <v>1672</v>
      </c>
      <c r="C15" s="31" t="s">
        <v>1687</v>
      </c>
      <c r="D15" s="62" t="s">
        <v>1684</v>
      </c>
      <c r="E15" s="62" t="s">
        <v>314</v>
      </c>
      <c r="F15" s="62" t="s">
        <v>314</v>
      </c>
      <c r="G15" s="62" t="s">
        <v>314</v>
      </c>
      <c r="H15" s="62" t="s">
        <v>2418</v>
      </c>
      <c r="I15" s="59" t="s">
        <v>442</v>
      </c>
      <c r="J15" s="59" t="s">
        <v>314</v>
      </c>
      <c r="K15" s="59" t="s">
        <v>314</v>
      </c>
      <c r="L15" s="59" t="s">
        <v>314</v>
      </c>
      <c r="M15" s="59" t="s">
        <v>738</v>
      </c>
      <c r="N15" s="31" t="s">
        <v>2853</v>
      </c>
    </row>
    <row r="16" spans="1:14">
      <c r="A16" s="59">
        <v>13</v>
      </c>
      <c r="B16" s="31" t="s">
        <v>1694</v>
      </c>
      <c r="C16" s="31" t="s">
        <v>1695</v>
      </c>
      <c r="D16" s="62" t="s">
        <v>1691</v>
      </c>
      <c r="E16" s="62" t="s">
        <v>2008</v>
      </c>
      <c r="F16" s="62" t="s">
        <v>2035</v>
      </c>
      <c r="G16" s="62" t="s">
        <v>314</v>
      </c>
      <c r="H16" s="62" t="s">
        <v>2423</v>
      </c>
      <c r="I16" s="59" t="s">
        <v>442</v>
      </c>
      <c r="J16" s="59" t="s">
        <v>498</v>
      </c>
      <c r="K16" s="59" t="s">
        <v>536</v>
      </c>
      <c r="L16" s="59" t="s">
        <v>314</v>
      </c>
      <c r="M16" s="59" t="s">
        <v>738</v>
      </c>
      <c r="N16" s="31" t="s">
        <v>3866</v>
      </c>
    </row>
    <row r="17" spans="1:14">
      <c r="A17" s="59">
        <v>14</v>
      </c>
      <c r="B17" s="31" t="s">
        <v>1694</v>
      </c>
      <c r="C17" s="31" t="s">
        <v>1702</v>
      </c>
      <c r="D17" s="62" t="s">
        <v>1699</v>
      </c>
      <c r="E17" s="62" t="s">
        <v>314</v>
      </c>
      <c r="F17" s="62" t="s">
        <v>314</v>
      </c>
      <c r="G17" s="62" t="s">
        <v>314</v>
      </c>
      <c r="H17" s="62" t="s">
        <v>2429</v>
      </c>
      <c r="I17" s="59" t="s">
        <v>442</v>
      </c>
      <c r="J17" s="59" t="s">
        <v>314</v>
      </c>
      <c r="K17" s="59" t="s">
        <v>314</v>
      </c>
      <c r="L17" s="59" t="s">
        <v>314</v>
      </c>
      <c r="M17" s="59" t="s">
        <v>738</v>
      </c>
      <c r="N17" s="31" t="s">
        <v>2843</v>
      </c>
    </row>
    <row r="18" spans="1:14">
      <c r="A18" s="59">
        <v>15</v>
      </c>
      <c r="B18" s="31" t="s">
        <v>1709</v>
      </c>
      <c r="C18" s="31" t="s">
        <v>1710</v>
      </c>
      <c r="D18" s="62" t="s">
        <v>1706</v>
      </c>
      <c r="E18" s="62" t="s">
        <v>2017</v>
      </c>
      <c r="F18" s="62" t="s">
        <v>2045</v>
      </c>
      <c r="G18" s="62" t="s">
        <v>2143</v>
      </c>
      <c r="H18" s="62" t="s">
        <v>314</v>
      </c>
      <c r="I18" s="59" t="s">
        <v>442</v>
      </c>
      <c r="J18" s="59" t="s">
        <v>498</v>
      </c>
      <c r="K18" s="59" t="s">
        <v>536</v>
      </c>
      <c r="L18" s="59" t="s">
        <v>671</v>
      </c>
      <c r="M18" s="59" t="s">
        <v>314</v>
      </c>
      <c r="N18" s="31" t="s">
        <v>3867</v>
      </c>
    </row>
    <row r="19" spans="1:14">
      <c r="A19" s="59">
        <v>16</v>
      </c>
      <c r="B19" s="31" t="s">
        <v>1709</v>
      </c>
      <c r="C19" s="31" t="s">
        <v>1702</v>
      </c>
      <c r="D19" s="62" t="s">
        <v>1714</v>
      </c>
      <c r="E19" s="62" t="s">
        <v>314</v>
      </c>
      <c r="F19" s="62" t="s">
        <v>2052</v>
      </c>
      <c r="G19" s="62" t="s">
        <v>2151</v>
      </c>
      <c r="H19" s="62" t="s">
        <v>314</v>
      </c>
      <c r="I19" s="59" t="s">
        <v>442</v>
      </c>
      <c r="J19" s="59" t="s">
        <v>314</v>
      </c>
      <c r="K19" s="59" t="s">
        <v>536</v>
      </c>
      <c r="L19" s="59" t="s">
        <v>671</v>
      </c>
      <c r="M19" s="59" t="s">
        <v>314</v>
      </c>
      <c r="N19" s="31" t="s">
        <v>3868</v>
      </c>
    </row>
    <row r="20" spans="1:14">
      <c r="A20" s="59">
        <v>17</v>
      </c>
      <c r="B20" s="31" t="s">
        <v>1723</v>
      </c>
      <c r="C20" s="31" t="s">
        <v>1710</v>
      </c>
      <c r="D20" s="62" t="s">
        <v>1720</v>
      </c>
      <c r="E20" s="62" t="s">
        <v>2023</v>
      </c>
      <c r="F20" s="62" t="s">
        <v>2059</v>
      </c>
      <c r="G20" s="62" t="s">
        <v>2157</v>
      </c>
      <c r="H20" s="62" t="s">
        <v>314</v>
      </c>
      <c r="I20" s="59" t="s">
        <v>442</v>
      </c>
      <c r="J20" s="59" t="s">
        <v>498</v>
      </c>
      <c r="K20" s="59" t="s">
        <v>536</v>
      </c>
      <c r="L20" s="59" t="s">
        <v>671</v>
      </c>
      <c r="M20" s="59" t="s">
        <v>314</v>
      </c>
      <c r="N20" s="31" t="s">
        <v>3869</v>
      </c>
    </row>
    <row r="21" spans="1:14">
      <c r="A21" s="59">
        <v>18</v>
      </c>
      <c r="B21" s="31" t="s">
        <v>1723</v>
      </c>
      <c r="C21" s="31" t="s">
        <v>1702</v>
      </c>
      <c r="D21" s="62" t="s">
        <v>1727</v>
      </c>
      <c r="E21" s="62" t="s">
        <v>314</v>
      </c>
      <c r="F21" s="62" t="s">
        <v>2066</v>
      </c>
      <c r="G21" s="62" t="s">
        <v>2163</v>
      </c>
      <c r="H21" s="62" t="s">
        <v>314</v>
      </c>
      <c r="I21" s="59" t="s">
        <v>442</v>
      </c>
      <c r="J21" s="59" t="s">
        <v>314</v>
      </c>
      <c r="K21" s="59" t="s">
        <v>536</v>
      </c>
      <c r="L21" s="59" t="s">
        <v>671</v>
      </c>
      <c r="M21" s="59" t="s">
        <v>314</v>
      </c>
      <c r="N21" s="31" t="s">
        <v>3870</v>
      </c>
    </row>
    <row r="22" spans="1:14">
      <c r="A22" s="59">
        <v>19</v>
      </c>
      <c r="B22" s="31" t="s">
        <v>1736</v>
      </c>
      <c r="C22" s="31" t="s">
        <v>1710</v>
      </c>
      <c r="D22" s="62" t="s">
        <v>1733</v>
      </c>
      <c r="E22" s="62" t="s">
        <v>314</v>
      </c>
      <c r="F22" s="62" t="s">
        <v>2073</v>
      </c>
      <c r="G22" s="62" t="s">
        <v>2169</v>
      </c>
      <c r="H22" s="62" t="s">
        <v>314</v>
      </c>
      <c r="I22" s="59" t="s">
        <v>442</v>
      </c>
      <c r="J22" s="59" t="s">
        <v>314</v>
      </c>
      <c r="K22" s="59" t="s">
        <v>536</v>
      </c>
      <c r="L22" s="59" t="s">
        <v>671</v>
      </c>
      <c r="M22" s="59" t="s">
        <v>314</v>
      </c>
      <c r="N22" s="31" t="s">
        <v>3871</v>
      </c>
    </row>
    <row r="23" spans="1:14">
      <c r="A23" s="59">
        <v>20</v>
      </c>
      <c r="B23" s="31" t="s">
        <v>1736</v>
      </c>
      <c r="C23" s="31" t="s">
        <v>1702</v>
      </c>
      <c r="D23" s="62" t="s">
        <v>1740</v>
      </c>
      <c r="E23" s="62" t="s">
        <v>314</v>
      </c>
      <c r="F23" s="62" t="s">
        <v>2080</v>
      </c>
      <c r="G23" s="62" t="s">
        <v>2175</v>
      </c>
      <c r="H23" s="62" t="s">
        <v>314</v>
      </c>
      <c r="I23" s="59" t="s">
        <v>442</v>
      </c>
      <c r="J23" s="59" t="s">
        <v>314</v>
      </c>
      <c r="K23" s="59" t="s">
        <v>536</v>
      </c>
      <c r="L23" s="59" t="s">
        <v>671</v>
      </c>
      <c r="M23" s="59" t="s">
        <v>314</v>
      </c>
      <c r="N23" s="31" t="s">
        <v>3872</v>
      </c>
    </row>
    <row r="24" spans="1:14">
      <c r="A24" s="59">
        <v>21</v>
      </c>
      <c r="B24" s="31" t="s">
        <v>1749</v>
      </c>
      <c r="C24" s="31" t="s">
        <v>1750</v>
      </c>
      <c r="D24" s="62" t="s">
        <v>1746</v>
      </c>
      <c r="E24" s="62" t="s">
        <v>314</v>
      </c>
      <c r="F24" s="62" t="s">
        <v>2087</v>
      </c>
      <c r="G24" s="62" t="s">
        <v>2181</v>
      </c>
      <c r="H24" s="62" t="s">
        <v>314</v>
      </c>
      <c r="I24" s="59" t="s">
        <v>442</v>
      </c>
      <c r="J24" s="59" t="s">
        <v>314</v>
      </c>
      <c r="K24" s="59" t="s">
        <v>536</v>
      </c>
      <c r="L24" s="59" t="s">
        <v>671</v>
      </c>
      <c r="M24" s="59" t="s">
        <v>314</v>
      </c>
      <c r="N24" s="31" t="s">
        <v>3873</v>
      </c>
    </row>
    <row r="25" spans="1:14">
      <c r="A25" s="59">
        <v>22</v>
      </c>
      <c r="B25" s="31" t="s">
        <v>1749</v>
      </c>
      <c r="C25" s="31" t="s">
        <v>1702</v>
      </c>
      <c r="D25" s="62" t="s">
        <v>1754</v>
      </c>
      <c r="E25" s="62" t="s">
        <v>314</v>
      </c>
      <c r="F25" s="62" t="s">
        <v>2094</v>
      </c>
      <c r="G25" s="62" t="s">
        <v>2187</v>
      </c>
      <c r="H25" s="62" t="s">
        <v>314</v>
      </c>
      <c r="I25" s="59" t="s">
        <v>442</v>
      </c>
      <c r="J25" s="59" t="s">
        <v>314</v>
      </c>
      <c r="K25" s="59" t="s">
        <v>536</v>
      </c>
      <c r="L25" s="59" t="s">
        <v>671</v>
      </c>
      <c r="M25" s="59" t="s">
        <v>314</v>
      </c>
      <c r="N25" s="31" t="s">
        <v>3874</v>
      </c>
    </row>
    <row r="26" spans="1:14">
      <c r="A26" s="59">
        <v>23</v>
      </c>
      <c r="B26" s="31" t="s">
        <v>1763</v>
      </c>
      <c r="C26" s="31" t="s">
        <v>1710</v>
      </c>
      <c r="D26" s="62" t="s">
        <v>1760</v>
      </c>
      <c r="E26" s="62" t="s">
        <v>314</v>
      </c>
      <c r="F26" s="62" t="s">
        <v>2101</v>
      </c>
      <c r="G26" s="62" t="s">
        <v>2193</v>
      </c>
      <c r="H26" s="62" t="s">
        <v>314</v>
      </c>
      <c r="I26" s="59" t="s">
        <v>442</v>
      </c>
      <c r="J26" s="59" t="s">
        <v>314</v>
      </c>
      <c r="K26" s="59" t="s">
        <v>536</v>
      </c>
      <c r="L26" s="59" t="s">
        <v>671</v>
      </c>
      <c r="M26" s="59" t="s">
        <v>314</v>
      </c>
      <c r="N26" s="31" t="s">
        <v>3875</v>
      </c>
    </row>
    <row r="27" spans="1:14">
      <c r="A27" s="59">
        <v>24</v>
      </c>
      <c r="B27" s="31" t="s">
        <v>1763</v>
      </c>
      <c r="C27" s="31" t="s">
        <v>1702</v>
      </c>
      <c r="D27" s="62" t="s">
        <v>1767</v>
      </c>
      <c r="E27" s="62" t="s">
        <v>314</v>
      </c>
      <c r="F27" s="62" t="s">
        <v>2108</v>
      </c>
      <c r="G27" s="62" t="s">
        <v>2199</v>
      </c>
      <c r="H27" s="62" t="s">
        <v>314</v>
      </c>
      <c r="I27" s="59" t="s">
        <v>442</v>
      </c>
      <c r="J27" s="59" t="s">
        <v>314</v>
      </c>
      <c r="K27" s="59" t="s">
        <v>536</v>
      </c>
      <c r="L27" s="59" t="s">
        <v>671</v>
      </c>
      <c r="M27" s="59" t="s">
        <v>314</v>
      </c>
      <c r="N27" s="31" t="s">
        <v>3876</v>
      </c>
    </row>
    <row r="28" spans="1:14">
      <c r="A28" s="59">
        <v>25</v>
      </c>
      <c r="B28" s="31" t="s">
        <v>1776</v>
      </c>
      <c r="C28" s="31" t="s">
        <v>1710</v>
      </c>
      <c r="D28" s="62" t="s">
        <v>1773</v>
      </c>
      <c r="E28" s="62" t="s">
        <v>314</v>
      </c>
      <c r="F28" s="62" t="s">
        <v>2115</v>
      </c>
      <c r="G28" s="62" t="s">
        <v>2205</v>
      </c>
      <c r="H28" s="62" t="s">
        <v>314</v>
      </c>
      <c r="I28" s="59" t="s">
        <v>442</v>
      </c>
      <c r="J28" s="59" t="s">
        <v>314</v>
      </c>
      <c r="K28" s="59" t="s">
        <v>536</v>
      </c>
      <c r="L28" s="59" t="s">
        <v>671</v>
      </c>
      <c r="M28" s="59" t="s">
        <v>314</v>
      </c>
      <c r="N28" s="31" t="s">
        <v>3877</v>
      </c>
    </row>
    <row r="29" spans="1:14">
      <c r="A29" s="59">
        <v>26</v>
      </c>
      <c r="B29" s="31" t="s">
        <v>1776</v>
      </c>
      <c r="C29" s="31" t="s">
        <v>1702</v>
      </c>
      <c r="D29" s="62" t="s">
        <v>1780</v>
      </c>
      <c r="E29" s="62" t="s">
        <v>314</v>
      </c>
      <c r="F29" s="62" t="s">
        <v>2122</v>
      </c>
      <c r="G29" s="62" t="s">
        <v>2211</v>
      </c>
      <c r="H29" s="62" t="s">
        <v>314</v>
      </c>
      <c r="I29" s="59" t="s">
        <v>442</v>
      </c>
      <c r="J29" s="59" t="s">
        <v>314</v>
      </c>
      <c r="K29" s="59" t="s">
        <v>536</v>
      </c>
      <c r="L29" s="59" t="s">
        <v>671</v>
      </c>
      <c r="M29" s="59" t="s">
        <v>314</v>
      </c>
      <c r="N29" s="31" t="s">
        <v>3878</v>
      </c>
    </row>
    <row r="30" spans="1:14">
      <c r="A30" s="59">
        <v>27</v>
      </c>
      <c r="B30" s="31" t="s">
        <v>1789</v>
      </c>
      <c r="C30" s="31" t="s">
        <v>1710</v>
      </c>
      <c r="D30" s="62" t="s">
        <v>1786</v>
      </c>
      <c r="E30" s="62" t="s">
        <v>2029</v>
      </c>
      <c r="F30" s="62" t="s">
        <v>2129</v>
      </c>
      <c r="G30" s="62" t="s">
        <v>2217</v>
      </c>
      <c r="H30" s="62" t="s">
        <v>314</v>
      </c>
      <c r="I30" s="59" t="s">
        <v>442</v>
      </c>
      <c r="J30" s="59" t="s">
        <v>498</v>
      </c>
      <c r="K30" s="59" t="s">
        <v>536</v>
      </c>
      <c r="L30" s="59" t="s">
        <v>671</v>
      </c>
      <c r="M30" s="59" t="s">
        <v>314</v>
      </c>
      <c r="N30" s="31" t="s">
        <v>3879</v>
      </c>
    </row>
    <row r="31" spans="1:14">
      <c r="A31" s="59">
        <v>28</v>
      </c>
      <c r="B31" s="31" t="s">
        <v>1789</v>
      </c>
      <c r="C31" s="31" t="s">
        <v>1702</v>
      </c>
      <c r="D31" s="62" t="s">
        <v>1793</v>
      </c>
      <c r="E31" s="62" t="s">
        <v>314</v>
      </c>
      <c r="F31" s="62" t="s">
        <v>2136</v>
      </c>
      <c r="G31" s="62" t="s">
        <v>2223</v>
      </c>
      <c r="H31" s="62" t="s">
        <v>314</v>
      </c>
      <c r="I31" s="59" t="s">
        <v>442</v>
      </c>
      <c r="J31" s="59" t="s">
        <v>314</v>
      </c>
      <c r="K31" s="59" t="s">
        <v>536</v>
      </c>
      <c r="L31" s="59" t="s">
        <v>671</v>
      </c>
      <c r="M31" s="59" t="s">
        <v>314</v>
      </c>
      <c r="N31" s="31" t="s">
        <v>3880</v>
      </c>
    </row>
    <row r="32" spans="1:14">
      <c r="A32" s="59">
        <v>29</v>
      </c>
      <c r="B32" s="31" t="s">
        <v>1802</v>
      </c>
      <c r="C32" s="31" t="s">
        <v>1803</v>
      </c>
      <c r="D32" s="62" t="s">
        <v>1799</v>
      </c>
      <c r="E32" s="62" t="s">
        <v>314</v>
      </c>
      <c r="F32" s="62" t="s">
        <v>314</v>
      </c>
      <c r="G32" s="62" t="s">
        <v>314</v>
      </c>
      <c r="H32" s="62" t="s">
        <v>2434</v>
      </c>
      <c r="I32" s="59" t="s">
        <v>442</v>
      </c>
      <c r="J32" s="59" t="s">
        <v>314</v>
      </c>
      <c r="K32" s="59" t="s">
        <v>314</v>
      </c>
      <c r="L32" s="59" t="s">
        <v>314</v>
      </c>
      <c r="M32" s="59" t="s">
        <v>738</v>
      </c>
      <c r="N32" s="31" t="s">
        <v>2817</v>
      </c>
    </row>
    <row r="33" spans="1:14">
      <c r="A33" s="59">
        <v>30</v>
      </c>
      <c r="B33" s="31" t="s">
        <v>1802</v>
      </c>
      <c r="C33" s="31" t="s">
        <v>1695</v>
      </c>
      <c r="D33" s="62" t="s">
        <v>1807</v>
      </c>
      <c r="E33" s="62" t="s">
        <v>314</v>
      </c>
      <c r="F33" s="62" t="s">
        <v>314</v>
      </c>
      <c r="G33" s="62" t="s">
        <v>314</v>
      </c>
      <c r="H33" s="62" t="s">
        <v>2439</v>
      </c>
      <c r="I33" s="59" t="s">
        <v>442</v>
      </c>
      <c r="J33" s="59" t="s">
        <v>314</v>
      </c>
      <c r="K33" s="59" t="s">
        <v>314</v>
      </c>
      <c r="L33" s="59" t="s">
        <v>314</v>
      </c>
      <c r="M33" s="59" t="s">
        <v>738</v>
      </c>
      <c r="N33" s="31" t="s">
        <v>2812</v>
      </c>
    </row>
    <row r="34" spans="1:14">
      <c r="A34" s="59">
        <v>31</v>
      </c>
      <c r="B34" s="31" t="s">
        <v>1802</v>
      </c>
      <c r="C34" s="31" t="s">
        <v>1702</v>
      </c>
      <c r="D34" s="62" t="s">
        <v>1813</v>
      </c>
      <c r="E34" s="62" t="s">
        <v>314</v>
      </c>
      <c r="F34" s="62" t="s">
        <v>314</v>
      </c>
      <c r="G34" s="62" t="s">
        <v>314</v>
      </c>
      <c r="H34" s="62" t="s">
        <v>2444</v>
      </c>
      <c r="I34" s="59" t="s">
        <v>442</v>
      </c>
      <c r="J34" s="59" t="s">
        <v>314</v>
      </c>
      <c r="K34" s="59" t="s">
        <v>314</v>
      </c>
      <c r="L34" s="59" t="s">
        <v>314</v>
      </c>
      <c r="M34" s="59" t="s">
        <v>738</v>
      </c>
      <c r="N34" s="31" t="s">
        <v>2822</v>
      </c>
    </row>
    <row r="35" spans="1:14">
      <c r="A35" s="59">
        <v>32</v>
      </c>
      <c r="B35" s="31" t="s">
        <v>1822</v>
      </c>
      <c r="C35" s="31" t="s">
        <v>1823</v>
      </c>
      <c r="D35" s="62" t="s">
        <v>1819</v>
      </c>
      <c r="E35" s="62" t="s">
        <v>314</v>
      </c>
      <c r="F35" s="62" t="s">
        <v>314</v>
      </c>
      <c r="G35" s="62" t="s">
        <v>314</v>
      </c>
      <c r="H35" s="62" t="s">
        <v>2449</v>
      </c>
      <c r="I35" s="59" t="s">
        <v>442</v>
      </c>
      <c r="J35" s="59" t="s">
        <v>314</v>
      </c>
      <c r="K35" s="59" t="s">
        <v>314</v>
      </c>
      <c r="L35" s="59" t="s">
        <v>314</v>
      </c>
      <c r="M35" s="59" t="s">
        <v>738</v>
      </c>
      <c r="N35" s="31" t="s">
        <v>2884</v>
      </c>
    </row>
    <row r="36" spans="1:14">
      <c r="A36" s="59">
        <v>33</v>
      </c>
      <c r="B36" s="31" t="s">
        <v>1822</v>
      </c>
      <c r="C36" s="31" t="s">
        <v>1702</v>
      </c>
      <c r="D36" s="62" t="s">
        <v>1827</v>
      </c>
      <c r="E36" s="62" t="s">
        <v>314</v>
      </c>
      <c r="F36" s="62" t="s">
        <v>314</v>
      </c>
      <c r="G36" s="62" t="s">
        <v>314</v>
      </c>
      <c r="H36" s="62" t="s">
        <v>2454</v>
      </c>
      <c r="I36" s="59" t="s">
        <v>442</v>
      </c>
      <c r="J36" s="59" t="s">
        <v>314</v>
      </c>
      <c r="K36" s="59" t="s">
        <v>314</v>
      </c>
      <c r="L36" s="59" t="s">
        <v>314</v>
      </c>
      <c r="M36" s="59" t="s">
        <v>738</v>
      </c>
      <c r="N36" s="31" t="s">
        <v>2889</v>
      </c>
    </row>
    <row r="37" spans="1:14">
      <c r="A37" s="59">
        <v>34</v>
      </c>
      <c r="B37" s="31" t="s">
        <v>1836</v>
      </c>
      <c r="C37" s="31" t="s">
        <v>1837</v>
      </c>
      <c r="D37" s="62" t="s">
        <v>1833</v>
      </c>
      <c r="E37" s="62" t="s">
        <v>314</v>
      </c>
      <c r="F37" s="62" t="s">
        <v>314</v>
      </c>
      <c r="G37" s="62" t="s">
        <v>2229</v>
      </c>
      <c r="H37" s="62" t="s">
        <v>314</v>
      </c>
      <c r="I37" s="59" t="s">
        <v>442</v>
      </c>
      <c r="J37" s="59" t="s">
        <v>314</v>
      </c>
      <c r="K37" s="59" t="s">
        <v>314</v>
      </c>
      <c r="L37" s="59" t="s">
        <v>712</v>
      </c>
      <c r="M37" s="59" t="s">
        <v>314</v>
      </c>
      <c r="N37" s="31" t="s">
        <v>2874</v>
      </c>
    </row>
    <row r="38" spans="1:14">
      <c r="A38" s="59">
        <v>35</v>
      </c>
      <c r="B38" s="31" t="s">
        <v>1836</v>
      </c>
      <c r="C38" s="31" t="s">
        <v>1844</v>
      </c>
      <c r="D38" s="62" t="s">
        <v>1841</v>
      </c>
      <c r="E38" s="62" t="s">
        <v>314</v>
      </c>
      <c r="F38" s="62" t="s">
        <v>314</v>
      </c>
      <c r="G38" s="62" t="s">
        <v>2234</v>
      </c>
      <c r="H38" s="62" t="s">
        <v>314</v>
      </c>
      <c r="I38" s="59" t="s">
        <v>442</v>
      </c>
      <c r="J38" s="59" t="s">
        <v>314</v>
      </c>
      <c r="K38" s="59" t="s">
        <v>314</v>
      </c>
      <c r="L38" s="59" t="s">
        <v>712</v>
      </c>
      <c r="M38" s="59" t="s">
        <v>314</v>
      </c>
      <c r="N38" s="31" t="s">
        <v>2869</v>
      </c>
    </row>
    <row r="39" spans="1:14">
      <c r="A39" s="59">
        <v>36</v>
      </c>
      <c r="B39" s="31" t="s">
        <v>1836</v>
      </c>
      <c r="C39" s="31" t="s">
        <v>1851</v>
      </c>
      <c r="D39" s="62" t="s">
        <v>1848</v>
      </c>
      <c r="E39" s="62" t="s">
        <v>314</v>
      </c>
      <c r="F39" s="62" t="s">
        <v>314</v>
      </c>
      <c r="G39" s="62" t="s">
        <v>2239</v>
      </c>
      <c r="H39" s="62" t="s">
        <v>314</v>
      </c>
      <c r="I39" s="59" t="s">
        <v>442</v>
      </c>
      <c r="J39" s="59" t="s">
        <v>314</v>
      </c>
      <c r="K39" s="59" t="s">
        <v>314</v>
      </c>
      <c r="L39" s="59" t="s">
        <v>712</v>
      </c>
      <c r="M39" s="59" t="s">
        <v>314</v>
      </c>
      <c r="N39" s="31" t="s">
        <v>2863</v>
      </c>
    </row>
    <row r="40" spans="1:14">
      <c r="A40" s="59">
        <v>37</v>
      </c>
      <c r="B40" s="31" t="s">
        <v>1836</v>
      </c>
      <c r="C40" s="31" t="s">
        <v>1702</v>
      </c>
      <c r="D40" s="62" t="s">
        <v>1855</v>
      </c>
      <c r="E40" s="62" t="s">
        <v>314</v>
      </c>
      <c r="F40" s="62" t="s">
        <v>314</v>
      </c>
      <c r="G40" s="62" t="s">
        <v>2244</v>
      </c>
      <c r="H40" s="62" t="s">
        <v>314</v>
      </c>
      <c r="I40" s="59" t="s">
        <v>442</v>
      </c>
      <c r="J40" s="59" t="s">
        <v>314</v>
      </c>
      <c r="K40" s="59" t="s">
        <v>314</v>
      </c>
      <c r="L40" s="59" t="s">
        <v>712</v>
      </c>
      <c r="M40" s="59" t="s">
        <v>314</v>
      </c>
      <c r="N40" s="31" t="s">
        <v>2879</v>
      </c>
    </row>
    <row r="41" spans="1:14">
      <c r="A41" s="59">
        <v>38</v>
      </c>
      <c r="B41" s="31" t="s">
        <v>1864</v>
      </c>
      <c r="C41" s="31" t="s">
        <v>1865</v>
      </c>
      <c r="D41" s="62" t="s">
        <v>1861</v>
      </c>
      <c r="E41" s="62" t="s">
        <v>314</v>
      </c>
      <c r="F41" s="62" t="s">
        <v>314</v>
      </c>
      <c r="G41" s="62" t="s">
        <v>2249</v>
      </c>
      <c r="H41" s="62" t="s">
        <v>314</v>
      </c>
      <c r="I41" s="59" t="s">
        <v>442</v>
      </c>
      <c r="J41" s="59" t="s">
        <v>314</v>
      </c>
      <c r="K41" s="59" t="s">
        <v>314</v>
      </c>
      <c r="L41" s="59" t="s">
        <v>498</v>
      </c>
      <c r="M41" s="59" t="s">
        <v>314</v>
      </c>
      <c r="N41" s="31" t="s">
        <v>2938</v>
      </c>
    </row>
    <row r="42" spans="1:14">
      <c r="A42" s="59">
        <v>39</v>
      </c>
      <c r="B42" s="31" t="s">
        <v>1864</v>
      </c>
      <c r="C42" s="31" t="s">
        <v>1872</v>
      </c>
      <c r="D42" s="62" t="s">
        <v>1869</v>
      </c>
      <c r="E42" s="62" t="s">
        <v>314</v>
      </c>
      <c r="F42" s="62" t="s">
        <v>314</v>
      </c>
      <c r="G42" s="62" t="s">
        <v>2254</v>
      </c>
      <c r="H42" s="62" t="s">
        <v>314</v>
      </c>
      <c r="I42" s="59" t="s">
        <v>442</v>
      </c>
      <c r="J42" s="59" t="s">
        <v>314</v>
      </c>
      <c r="K42" s="59" t="s">
        <v>314</v>
      </c>
      <c r="L42" s="59" t="s">
        <v>498</v>
      </c>
      <c r="M42" s="59" t="s">
        <v>314</v>
      </c>
      <c r="N42" s="31" t="s">
        <v>2943</v>
      </c>
    </row>
    <row r="43" spans="1:14">
      <c r="A43" s="59">
        <v>40</v>
      </c>
      <c r="B43" s="31" t="s">
        <v>1864</v>
      </c>
      <c r="C43" s="31" t="s">
        <v>1879</v>
      </c>
      <c r="D43" s="62" t="s">
        <v>1876</v>
      </c>
      <c r="E43" s="62" t="s">
        <v>314</v>
      </c>
      <c r="F43" s="62" t="s">
        <v>314</v>
      </c>
      <c r="G43" s="62" t="s">
        <v>2259</v>
      </c>
      <c r="H43" s="62" t="s">
        <v>314</v>
      </c>
      <c r="I43" s="59" t="s">
        <v>442</v>
      </c>
      <c r="J43" s="59" t="s">
        <v>314</v>
      </c>
      <c r="K43" s="59" t="s">
        <v>314</v>
      </c>
      <c r="L43" s="59" t="s">
        <v>498</v>
      </c>
      <c r="M43" s="59" t="s">
        <v>314</v>
      </c>
      <c r="N43" s="31" t="s">
        <v>2933</v>
      </c>
    </row>
    <row r="44" spans="1:14">
      <c r="A44" s="59">
        <v>41</v>
      </c>
      <c r="B44" s="31" t="s">
        <v>1886</v>
      </c>
      <c r="C44" s="31" t="s">
        <v>1887</v>
      </c>
      <c r="D44" s="62" t="s">
        <v>1883</v>
      </c>
      <c r="E44" s="62" t="s">
        <v>314</v>
      </c>
      <c r="F44" s="62" t="s">
        <v>314</v>
      </c>
      <c r="G44" s="62" t="s">
        <v>2264</v>
      </c>
      <c r="H44" s="62" t="s">
        <v>314</v>
      </c>
      <c r="I44" s="59" t="s">
        <v>442</v>
      </c>
      <c r="J44" s="59" t="s">
        <v>314</v>
      </c>
      <c r="K44" s="59" t="s">
        <v>314</v>
      </c>
      <c r="L44" s="59" t="s">
        <v>2268</v>
      </c>
      <c r="M44" s="59" t="s">
        <v>314</v>
      </c>
      <c r="N44" s="31" t="s">
        <v>2598</v>
      </c>
    </row>
    <row r="45" spans="1:14">
      <c r="A45" s="59">
        <v>42</v>
      </c>
      <c r="B45" s="31" t="s">
        <v>1886</v>
      </c>
      <c r="C45" s="31" t="s">
        <v>1894</v>
      </c>
      <c r="D45" s="62" t="s">
        <v>1898</v>
      </c>
      <c r="E45" s="62" t="s">
        <v>314</v>
      </c>
      <c r="F45" s="62" t="s">
        <v>314</v>
      </c>
      <c r="G45" s="62" t="s">
        <v>2275</v>
      </c>
      <c r="H45" s="62" t="s">
        <v>314</v>
      </c>
      <c r="I45" s="59" t="s">
        <v>442</v>
      </c>
      <c r="J45" s="59" t="s">
        <v>314</v>
      </c>
      <c r="K45" s="59" t="s">
        <v>314</v>
      </c>
      <c r="L45" s="59" t="s">
        <v>498</v>
      </c>
      <c r="M45" s="59" t="s">
        <v>314</v>
      </c>
      <c r="N45" s="31" t="s">
        <v>2593</v>
      </c>
    </row>
    <row r="46" spans="1:14">
      <c r="A46" s="59">
        <v>43</v>
      </c>
      <c r="B46" s="31" t="s">
        <v>1907</v>
      </c>
      <c r="C46" s="31" t="s">
        <v>1894</v>
      </c>
      <c r="D46" s="62" t="s">
        <v>1911</v>
      </c>
      <c r="E46" s="62" t="s">
        <v>314</v>
      </c>
      <c r="F46" s="62" t="s">
        <v>314</v>
      </c>
      <c r="G46" s="62" t="s">
        <v>2285</v>
      </c>
      <c r="H46" s="62" t="s">
        <v>314</v>
      </c>
      <c r="I46" s="59" t="s">
        <v>442</v>
      </c>
      <c r="J46" s="59" t="s">
        <v>314</v>
      </c>
      <c r="K46" s="59" t="s">
        <v>314</v>
      </c>
      <c r="L46" s="59" t="s">
        <v>498</v>
      </c>
      <c r="M46" s="59" t="s">
        <v>314</v>
      </c>
      <c r="N46" s="31" t="s">
        <v>2608</v>
      </c>
    </row>
    <row r="47" spans="1:14">
      <c r="A47" s="59">
        <v>44</v>
      </c>
      <c r="B47" s="31" t="s">
        <v>1919</v>
      </c>
      <c r="C47" s="31" t="s">
        <v>1894</v>
      </c>
      <c r="D47" s="62" t="s">
        <v>1923</v>
      </c>
      <c r="E47" s="62" t="s">
        <v>314</v>
      </c>
      <c r="F47" s="62" t="s">
        <v>314</v>
      </c>
      <c r="G47" s="62" t="s">
        <v>2295</v>
      </c>
      <c r="H47" s="62" t="s">
        <v>314</v>
      </c>
      <c r="I47" s="59" t="s">
        <v>442</v>
      </c>
      <c r="J47" s="59" t="s">
        <v>314</v>
      </c>
      <c r="K47" s="59" t="s">
        <v>314</v>
      </c>
      <c r="L47" s="59" t="s">
        <v>498</v>
      </c>
      <c r="M47" s="59" t="s">
        <v>314</v>
      </c>
      <c r="N47" s="31" t="s">
        <v>2557</v>
      </c>
    </row>
    <row r="48" spans="1:14">
      <c r="A48" s="59">
        <v>45</v>
      </c>
      <c r="B48" s="31" t="s">
        <v>1932</v>
      </c>
      <c r="C48" s="31" t="s">
        <v>1894</v>
      </c>
      <c r="D48" s="62" t="s">
        <v>1936</v>
      </c>
      <c r="E48" s="62" t="s">
        <v>314</v>
      </c>
      <c r="F48" s="62" t="s">
        <v>314</v>
      </c>
      <c r="G48" s="62" t="s">
        <v>2305</v>
      </c>
      <c r="H48" s="62" t="s">
        <v>314</v>
      </c>
      <c r="I48" s="59" t="s">
        <v>442</v>
      </c>
      <c r="J48" s="59" t="s">
        <v>314</v>
      </c>
      <c r="K48" s="59" t="s">
        <v>314</v>
      </c>
      <c r="L48" s="59" t="s">
        <v>498</v>
      </c>
      <c r="M48" s="59" t="s">
        <v>314</v>
      </c>
      <c r="N48" s="31" t="s">
        <v>2567</v>
      </c>
    </row>
    <row r="49" spans="1:14">
      <c r="A49" s="59">
        <v>46</v>
      </c>
      <c r="B49" s="31" t="s">
        <v>1945</v>
      </c>
      <c r="C49" s="31" t="s">
        <v>1894</v>
      </c>
      <c r="D49" s="62" t="s">
        <v>1949</v>
      </c>
      <c r="E49" s="62" t="s">
        <v>314</v>
      </c>
      <c r="F49" s="62" t="s">
        <v>314</v>
      </c>
      <c r="G49" s="62" t="s">
        <v>2315</v>
      </c>
      <c r="H49" s="62" t="s">
        <v>314</v>
      </c>
      <c r="I49" s="59" t="s">
        <v>442</v>
      </c>
      <c r="J49" s="59" t="s">
        <v>314</v>
      </c>
      <c r="K49" s="59" t="s">
        <v>314</v>
      </c>
      <c r="L49" s="59" t="s">
        <v>498</v>
      </c>
      <c r="M49" s="59" t="s">
        <v>314</v>
      </c>
      <c r="N49" s="31" t="s">
        <v>2638</v>
      </c>
    </row>
    <row r="50" spans="1:14">
      <c r="A50" s="59">
        <v>47</v>
      </c>
      <c r="B50" s="31" t="s">
        <v>1958</v>
      </c>
      <c r="C50" s="31" t="s">
        <v>1894</v>
      </c>
      <c r="D50" s="62" t="s">
        <v>1962</v>
      </c>
      <c r="E50" s="62" t="s">
        <v>314</v>
      </c>
      <c r="F50" s="62" t="s">
        <v>314</v>
      </c>
      <c r="G50" s="62" t="s">
        <v>2325</v>
      </c>
      <c r="H50" s="62" t="s">
        <v>314</v>
      </c>
      <c r="I50" s="59" t="s">
        <v>442</v>
      </c>
      <c r="J50" s="59" t="s">
        <v>314</v>
      </c>
      <c r="K50" s="59" t="s">
        <v>314</v>
      </c>
      <c r="L50" s="59" t="s">
        <v>498</v>
      </c>
      <c r="M50" s="59" t="s">
        <v>314</v>
      </c>
      <c r="N50" s="31" t="s">
        <v>2618</v>
      </c>
    </row>
    <row r="51" spans="1:14">
      <c r="A51" s="59">
        <v>48</v>
      </c>
      <c r="B51" s="31" t="s">
        <v>1971</v>
      </c>
      <c r="C51" s="31" t="s">
        <v>1894</v>
      </c>
      <c r="D51" s="62" t="s">
        <v>1975</v>
      </c>
      <c r="E51" s="62" t="s">
        <v>314</v>
      </c>
      <c r="F51" s="62" t="s">
        <v>314</v>
      </c>
      <c r="G51" s="62" t="s">
        <v>2335</v>
      </c>
      <c r="H51" s="62" t="s">
        <v>314</v>
      </c>
      <c r="I51" s="59" t="s">
        <v>442</v>
      </c>
      <c r="J51" s="59" t="s">
        <v>314</v>
      </c>
      <c r="K51" s="59" t="s">
        <v>314</v>
      </c>
      <c r="L51" s="59" t="s">
        <v>498</v>
      </c>
      <c r="M51" s="59" t="s">
        <v>314</v>
      </c>
      <c r="N51" s="31" t="s">
        <v>2628</v>
      </c>
    </row>
    <row r="52" spans="1:14">
      <c r="A52" s="59">
        <v>49</v>
      </c>
      <c r="B52" s="31" t="s">
        <v>1984</v>
      </c>
      <c r="C52" s="31" t="s">
        <v>1887</v>
      </c>
      <c r="D52" s="62" t="s">
        <v>1981</v>
      </c>
      <c r="E52" s="62" t="s">
        <v>314</v>
      </c>
      <c r="F52" s="62" t="s">
        <v>314</v>
      </c>
      <c r="G52" s="62" t="s">
        <v>2340</v>
      </c>
      <c r="H52" s="62" t="s">
        <v>314</v>
      </c>
      <c r="I52" s="59" t="s">
        <v>442</v>
      </c>
      <c r="J52" s="59" t="s">
        <v>314</v>
      </c>
      <c r="K52" s="59" t="s">
        <v>314</v>
      </c>
      <c r="L52" s="59" t="s">
        <v>2268</v>
      </c>
      <c r="M52" s="59" t="s">
        <v>314</v>
      </c>
      <c r="N52" s="31" t="s">
        <v>2582</v>
      </c>
    </row>
    <row r="53" spans="1:14">
      <c r="A53" s="59">
        <v>50</v>
      </c>
      <c r="B53" s="31" t="s">
        <v>1984</v>
      </c>
      <c r="C53" s="31" t="s">
        <v>1894</v>
      </c>
      <c r="D53" s="62" t="s">
        <v>1994</v>
      </c>
      <c r="E53" s="62" t="s">
        <v>314</v>
      </c>
      <c r="F53" s="62" t="s">
        <v>314</v>
      </c>
      <c r="G53" s="62" t="s">
        <v>2350</v>
      </c>
      <c r="H53" s="62" t="s">
        <v>314</v>
      </c>
      <c r="I53" s="59" t="s">
        <v>442</v>
      </c>
      <c r="J53" s="59" t="s">
        <v>314</v>
      </c>
      <c r="K53" s="59" t="s">
        <v>314</v>
      </c>
      <c r="L53" s="59" t="s">
        <v>498</v>
      </c>
      <c r="M53" s="59" t="s">
        <v>314</v>
      </c>
      <c r="N53" s="31" t="s">
        <v>2577</v>
      </c>
    </row>
    <row r="54" spans="1:14">
      <c r="A54" s="59">
        <v>51</v>
      </c>
      <c r="B54" s="31" t="s">
        <v>2003</v>
      </c>
      <c r="C54" s="31" t="s">
        <v>2004</v>
      </c>
      <c r="D54" s="62" t="s">
        <v>2000</v>
      </c>
      <c r="E54" s="62" t="s">
        <v>314</v>
      </c>
      <c r="F54" s="62" t="s">
        <v>314</v>
      </c>
      <c r="G54" s="62" t="s">
        <v>2355</v>
      </c>
      <c r="H54" s="62" t="s">
        <v>314</v>
      </c>
      <c r="I54" s="59" t="s">
        <v>442</v>
      </c>
      <c r="J54" s="59" t="s">
        <v>314</v>
      </c>
      <c r="K54" s="59" t="s">
        <v>314</v>
      </c>
      <c r="L54" s="59" t="s">
        <v>498</v>
      </c>
      <c r="M54" s="59" t="s">
        <v>314</v>
      </c>
      <c r="N54" s="31" t="s">
        <v>704</v>
      </c>
    </row>
  </sheetData>
  <autoFilter ref="A3:N54"/>
  <mergeCells count="2">
    <mergeCell ref="A2:N2"/>
    <mergeCell ref="A1:N1"/>
  </mergeCells>
  <printOptions horizontalCentered="1"/>
  <pageMargins left="0.28" right="0.28" top="0.4" bottom="0.4" header="0.5" footer="0.5"/>
  <pageSetup paperSize="9" fitToWidth="1" fitToHeight="0" orientation="landscape"/>
</worksheet>
</file>

<file path=xl/worksheets/sheet6.xml><?xml version="1.0" encoding="utf-8"?>
<worksheet xmlns="http://schemas.openxmlformats.org/spreadsheetml/2006/main">
  <sheetPr>
    <tabColor rgb="FFC55A11"/>
    <outlinePr summaryBelow="1" summaryRight="1"/>
    <pageSetUpPr fitToPage="1"/>
  </sheetPr>
  <dimension ref="I15"/>
  <sheetViews>
    <sheetView showGridLines="1" workbookViewId="0">
      <pane ySplit="3" topLeftCell="A4" activePane="bottomLeft" state="frozen"/>
    </sheetView>
  </sheetViews>
  <sheetFormatPr baseColWidth="8" defaultRowHeight="15"/>
  <cols>
    <col min="1" max="1" width="5" customWidth="1"/>
    <col min="2" max="2" width="11" customWidth="1"/>
    <col min="3" max="3" width="26" customWidth="1"/>
    <col min="4" max="4" width="14" customWidth="1"/>
    <col min="5" max="5" width="58" customWidth="1"/>
    <col min="6" max="6" width="16" customWidth="1"/>
    <col min="7" max="7" width="12" customWidth="1"/>
    <col min="8" max="8" width="20" customWidth="1"/>
    <col min="9" max="9" width="44" customWidth="1"/>
  </cols>
  <sheetData>
    <row r="1" spans="1:1" ht="30" customHeight="1">
      <c r="A1" s="4" t="s">
        <v>3881</v>
      </c>
    </row>
    <row r="2" spans="1:1" ht="18" customHeight="1">
      <c r="A2" s="5" t="s">
        <v>3882</v>
      </c>
    </row>
    <row r="3" spans="1:9" ht="34" customHeight="1">
      <c r="A3" s="12" t="s">
        <v>308</v>
      </c>
      <c r="B3" s="12" t="s">
        <v>3883</v>
      </c>
      <c r="C3" s="12" t="s">
        <v>3884</v>
      </c>
      <c r="D3" s="12" t="s">
        <v>3885</v>
      </c>
      <c r="E3" s="12" t="s">
        <v>3886</v>
      </c>
      <c r="F3" s="12" t="s">
        <v>3887</v>
      </c>
      <c r="G3" s="12" t="s">
        <v>3888</v>
      </c>
      <c r="H3" s="12" t="s">
        <v>3889</v>
      </c>
      <c r="I3" s="12" t="s">
        <v>67</v>
      </c>
    </row>
    <row r="4" spans="1:9">
      <c r="A4" s="59">
        <v>1</v>
      </c>
      <c r="B4" s="59" t="s">
        <v>3890</v>
      </c>
      <c r="C4" s="31" t="s">
        <v>3891</v>
      </c>
      <c r="D4" s="31" t="s">
        <v>3892</v>
      </c>
      <c r="E4" s="31" t="s">
        <v>3893</v>
      </c>
      <c r="F4" s="31" t="s">
        <v>3894</v>
      </c>
      <c r="G4" s="59" t="s">
        <v>865</v>
      </c>
      <c r="H4" s="31" t="s">
        <v>427</v>
      </c>
      <c r="I4" s="31" t="s">
        <v>3895</v>
      </c>
    </row>
    <row r="5" spans="1:9">
      <c r="A5" s="59">
        <v>2</v>
      </c>
      <c r="B5" s="59" t="s">
        <v>3896</v>
      </c>
      <c r="C5" s="31" t="s">
        <v>371</v>
      </c>
      <c r="D5" s="31" t="s">
        <v>3892</v>
      </c>
      <c r="E5" s="31" t="s">
        <v>3897</v>
      </c>
      <c r="F5" s="31" t="s">
        <v>320</v>
      </c>
      <c r="G5" s="59" t="s">
        <v>865</v>
      </c>
      <c r="H5" s="31" t="s">
        <v>549</v>
      </c>
      <c r="I5" s="31" t="s">
        <v>3898</v>
      </c>
    </row>
    <row r="6" spans="1:9">
      <c r="A6" s="59">
        <v>3</v>
      </c>
      <c r="B6" s="59" t="s">
        <v>3899</v>
      </c>
      <c r="C6" s="31" t="s">
        <v>702</v>
      </c>
      <c r="D6" s="31" t="s">
        <v>338</v>
      </c>
      <c r="E6" s="31" t="s">
        <v>3900</v>
      </c>
      <c r="F6" s="31" t="s">
        <v>3901</v>
      </c>
      <c r="G6" s="59" t="s">
        <v>416</v>
      </c>
      <c r="H6" s="31" t="s">
        <v>338</v>
      </c>
      <c r="I6" s="31" t="s">
        <v>3902</v>
      </c>
    </row>
    <row r="7" spans="1:9">
      <c r="A7" s="59">
        <v>4</v>
      </c>
      <c r="B7" s="59" t="s">
        <v>3903</v>
      </c>
      <c r="C7" s="31" t="s">
        <v>382</v>
      </c>
      <c r="D7" s="31" t="s">
        <v>338</v>
      </c>
      <c r="E7" s="31" t="s">
        <v>3904</v>
      </c>
      <c r="F7" s="31" t="s">
        <v>3905</v>
      </c>
      <c r="G7" s="59" t="s">
        <v>3906</v>
      </c>
      <c r="H7" s="31" t="s">
        <v>3907</v>
      </c>
      <c r="I7" s="31" t="s">
        <v>3908</v>
      </c>
    </row>
    <row r="8" spans="1:9">
      <c r="A8" s="59">
        <v>5</v>
      </c>
      <c r="B8" s="59" t="s">
        <v>3909</v>
      </c>
      <c r="C8" s="31" t="s">
        <v>806</v>
      </c>
      <c r="D8" s="31" t="s">
        <v>3910</v>
      </c>
      <c r="E8" s="31" t="s">
        <v>3911</v>
      </c>
      <c r="F8" s="31" t="s">
        <v>3905</v>
      </c>
      <c r="G8" s="59" t="s">
        <v>3906</v>
      </c>
      <c r="H8" s="31" t="s">
        <v>338</v>
      </c>
      <c r="I8" s="31" t="s">
        <v>314</v>
      </c>
    </row>
    <row r="9" spans="1:9">
      <c r="A9" s="59">
        <v>6</v>
      </c>
      <c r="B9" s="59" t="s">
        <v>3912</v>
      </c>
      <c r="C9" s="31" t="s">
        <v>756</v>
      </c>
      <c r="D9" s="31" t="s">
        <v>3892</v>
      </c>
      <c r="E9" s="31" t="s">
        <v>3913</v>
      </c>
      <c r="F9" s="31" t="s">
        <v>320</v>
      </c>
      <c r="G9" s="59" t="s">
        <v>758</v>
      </c>
      <c r="H9" s="31" t="s">
        <v>549</v>
      </c>
      <c r="I9" s="31" t="s">
        <v>3914</v>
      </c>
    </row>
    <row r="10" spans="1:9">
      <c r="A10" s="59">
        <v>7</v>
      </c>
      <c r="B10" s="59" t="s">
        <v>3915</v>
      </c>
      <c r="C10" s="31" t="s">
        <v>764</v>
      </c>
      <c r="D10" s="31" t="s">
        <v>338</v>
      </c>
      <c r="E10" s="31" t="s">
        <v>3916</v>
      </c>
      <c r="F10" s="31" t="s">
        <v>320</v>
      </c>
      <c r="G10" s="59" t="s">
        <v>758</v>
      </c>
      <c r="H10" s="31" t="s">
        <v>338</v>
      </c>
      <c r="I10" s="31" t="s">
        <v>3914</v>
      </c>
    </row>
    <row r="11" spans="1:9">
      <c r="A11" s="59">
        <v>8</v>
      </c>
      <c r="B11" s="59" t="s">
        <v>3917</v>
      </c>
      <c r="C11" s="31" t="s">
        <v>318</v>
      </c>
      <c r="D11" s="31" t="s">
        <v>3918</v>
      </c>
      <c r="E11" s="31" t="s">
        <v>3919</v>
      </c>
      <c r="F11" s="31" t="s">
        <v>320</v>
      </c>
      <c r="G11" s="59" t="s">
        <v>321</v>
      </c>
      <c r="H11" s="31" t="s">
        <v>323</v>
      </c>
      <c r="I11" s="31" t="s">
        <v>3920</v>
      </c>
    </row>
    <row r="12" spans="1:9">
      <c r="A12" s="59">
        <v>9</v>
      </c>
      <c r="B12" s="59" t="s">
        <v>3921</v>
      </c>
      <c r="C12" s="31" t="s">
        <v>462</v>
      </c>
      <c r="D12" s="31" t="s">
        <v>338</v>
      </c>
      <c r="E12" s="31" t="s">
        <v>3922</v>
      </c>
      <c r="F12" s="31" t="s">
        <v>740</v>
      </c>
      <c r="G12" s="59" t="s">
        <v>3923</v>
      </c>
      <c r="H12" s="31" t="s">
        <v>338</v>
      </c>
      <c r="I12" s="31" t="s">
        <v>3924</v>
      </c>
    </row>
    <row r="13" spans="1:9">
      <c r="A13" s="59">
        <v>10</v>
      </c>
      <c r="B13" s="59" t="s">
        <v>3925</v>
      </c>
      <c r="C13" s="31" t="s">
        <v>3926</v>
      </c>
      <c r="D13" s="31" t="s">
        <v>3927</v>
      </c>
      <c r="E13" s="31" t="s">
        <v>3928</v>
      </c>
      <c r="F13" s="31" t="s">
        <v>3929</v>
      </c>
      <c r="G13" s="59" t="s">
        <v>3930</v>
      </c>
      <c r="H13" s="31" t="s">
        <v>549</v>
      </c>
      <c r="I13" s="31" t="s">
        <v>3931</v>
      </c>
    </row>
    <row r="14" spans="1:9">
      <c r="A14" s="59">
        <v>11</v>
      </c>
      <c r="B14" s="59" t="s">
        <v>3932</v>
      </c>
      <c r="C14" s="31" t="s">
        <v>3933</v>
      </c>
      <c r="D14" s="31" t="s">
        <v>338</v>
      </c>
      <c r="E14" s="31" t="s">
        <v>3934</v>
      </c>
      <c r="F14" s="31" t="s">
        <v>3935</v>
      </c>
      <c r="G14" s="59" t="s">
        <v>3936</v>
      </c>
      <c r="H14" s="31" t="s">
        <v>338</v>
      </c>
      <c r="I14" s="31" t="s">
        <v>3937</v>
      </c>
    </row>
    <row r="15" spans="1:9">
      <c r="A15" s="59">
        <v>12</v>
      </c>
      <c r="B15" s="59" t="s">
        <v>3938</v>
      </c>
      <c r="C15" s="31" t="s">
        <v>3939</v>
      </c>
      <c r="D15" s="31" t="s">
        <v>338</v>
      </c>
      <c r="E15" s="31" t="s">
        <v>3940</v>
      </c>
      <c r="F15" s="31" t="s">
        <v>3941</v>
      </c>
      <c r="G15" s="59" t="s">
        <v>3942</v>
      </c>
      <c r="H15" s="31" t="s">
        <v>338</v>
      </c>
      <c r="I15" s="31" t="s">
        <v>3943</v>
      </c>
    </row>
  </sheetData>
  <autoFilter ref="A3:I15"/>
  <mergeCells count="2">
    <mergeCell ref="A1:I1"/>
    <mergeCell ref="A2:I2"/>
  </mergeCells>
  <printOptions horizontalCentered="1"/>
  <pageMargins left="0.28" right="0.28" top="0.4" bottom="0.4" header="0.5" footer="0.5"/>
  <pageSetup paperSize="9" fitToWidth="1" fitToHeight="0" orientation="landscape"/>
</worksheet>
</file>

<file path=xl/worksheets/sheet7.xml><?xml version="1.0" encoding="utf-8"?>
<worksheet xmlns="http://schemas.openxmlformats.org/spreadsheetml/2006/main">
  <sheetPr>
    <tabColor rgb="FF808080"/>
    <outlinePr summaryBelow="1" summaryRight="1"/>
    <pageSetUpPr fitToPage="1"/>
  </sheetPr>
  <dimension ref="G188"/>
  <sheetViews>
    <sheetView showGridLines="1" workbookViewId="0">
      <pane ySplit="3" topLeftCell="A4" activePane="bottomLeft" state="frozen"/>
    </sheetView>
  </sheetViews>
  <sheetFormatPr baseColWidth="8" defaultRowHeight="15"/>
  <cols>
    <col min="1" max="1" width="5" customWidth="1"/>
    <col min="2" max="2" width="12" customWidth="1"/>
    <col min="3" max="3" width="20" customWidth="1"/>
    <col min="4" max="4" width="18" customWidth="1"/>
    <col min="5" max="5" width="52" customWidth="1"/>
    <col min="6" max="6" width="26" customWidth="1"/>
    <col min="7" max="7" width="46" customWidth="1"/>
  </cols>
  <sheetData>
    <row r="1" spans="1:1" ht="30" customHeight="1">
      <c r="A1" s="4" t="s">
        <v>3944</v>
      </c>
    </row>
    <row r="2" spans="1:1" ht="18" customHeight="1">
      <c r="A2" s="5" t="s">
        <v>3945</v>
      </c>
    </row>
    <row r="3" spans="1:7" ht="34" customHeight="1">
      <c r="A3" s="12" t="s">
        <v>308</v>
      </c>
      <c r="B3" s="12" t="s">
        <v>3946</v>
      </c>
      <c r="C3" s="12" t="s">
        <v>3947</v>
      </c>
      <c r="D3" s="12" t="s">
        <v>43</v>
      </c>
      <c r="E3" s="12" t="s">
        <v>3948</v>
      </c>
      <c r="F3" s="12" t="s">
        <v>3949</v>
      </c>
      <c r="G3" s="12" t="s">
        <v>67</v>
      </c>
    </row>
    <row r="4" spans="1:7">
      <c r="A4" s="59">
        <v>1</v>
      </c>
      <c r="B4" s="59" t="s">
        <v>3950</v>
      </c>
      <c r="C4" s="31" t="s">
        <v>3951</v>
      </c>
      <c r="D4" s="31" t="s">
        <v>3952</v>
      </c>
      <c r="E4" s="31" t="s">
        <v>3953</v>
      </c>
      <c r="F4" s="31" t="s">
        <v>3954</v>
      </c>
      <c r="G4" s="31" t="s">
        <v>3955</v>
      </c>
    </row>
    <row r="5" spans="1:7">
      <c r="A5" s="59">
        <v>2</v>
      </c>
      <c r="B5" s="59" t="s">
        <v>3950</v>
      </c>
      <c r="C5" s="31" t="s">
        <v>3951</v>
      </c>
      <c r="D5" s="31" t="s">
        <v>3956</v>
      </c>
      <c r="E5" s="31" t="s">
        <v>3953</v>
      </c>
      <c r="F5" s="31" t="s">
        <v>3954</v>
      </c>
      <c r="G5" s="31" t="s">
        <v>3955</v>
      </c>
    </row>
    <row r="6" spans="1:7">
      <c r="A6" s="59">
        <v>3</v>
      </c>
      <c r="B6" s="59" t="s">
        <v>3950</v>
      </c>
      <c r="C6" s="31" t="s">
        <v>3951</v>
      </c>
      <c r="D6" s="31" t="s">
        <v>3957</v>
      </c>
      <c r="E6" s="31" t="s">
        <v>3953</v>
      </c>
      <c r="F6" s="31" t="s">
        <v>3954</v>
      </c>
      <c r="G6" s="31" t="s">
        <v>3955</v>
      </c>
    </row>
    <row r="7" spans="1:7">
      <c r="A7" s="59">
        <v>4</v>
      </c>
      <c r="B7" s="59" t="s">
        <v>3950</v>
      </c>
      <c r="C7" s="31" t="s">
        <v>3951</v>
      </c>
      <c r="D7" s="31" t="s">
        <v>3958</v>
      </c>
      <c r="E7" s="31" t="s">
        <v>3953</v>
      </c>
      <c r="F7" s="31" t="s">
        <v>3954</v>
      </c>
      <c r="G7" s="31" t="s">
        <v>3955</v>
      </c>
    </row>
    <row r="8" spans="1:7">
      <c r="A8" s="59">
        <v>5</v>
      </c>
      <c r="B8" s="59" t="s">
        <v>3950</v>
      </c>
      <c r="C8" s="31" t="s">
        <v>3951</v>
      </c>
      <c r="D8" s="31" t="s">
        <v>3959</v>
      </c>
      <c r="E8" s="31" t="s">
        <v>3953</v>
      </c>
      <c r="F8" s="31" t="s">
        <v>3954</v>
      </c>
      <c r="G8" s="31" t="s">
        <v>3955</v>
      </c>
    </row>
    <row r="9" spans="1:7">
      <c r="A9" s="59">
        <v>6</v>
      </c>
      <c r="B9" s="59" t="s">
        <v>3950</v>
      </c>
      <c r="C9" s="31" t="s">
        <v>3951</v>
      </c>
      <c r="D9" s="31" t="s">
        <v>3960</v>
      </c>
      <c r="E9" s="31" t="s">
        <v>3953</v>
      </c>
      <c r="F9" s="31" t="s">
        <v>3954</v>
      </c>
      <c r="G9" s="31" t="s">
        <v>3955</v>
      </c>
    </row>
    <row r="10" spans="1:7">
      <c r="A10" s="59">
        <v>7</v>
      </c>
      <c r="B10" s="59" t="s">
        <v>3961</v>
      </c>
      <c r="C10" s="31" t="s">
        <v>3962</v>
      </c>
      <c r="D10" s="31" t="s">
        <v>3963</v>
      </c>
      <c r="E10" s="31" t="s">
        <v>3964</v>
      </c>
      <c r="F10" s="31" t="s">
        <v>3965</v>
      </c>
      <c r="G10" s="31" t="s">
        <v>3966</v>
      </c>
    </row>
    <row r="11" spans="1:7">
      <c r="A11" s="59">
        <v>8</v>
      </c>
      <c r="B11" s="59" t="s">
        <v>3961</v>
      </c>
      <c r="C11" s="31" t="s">
        <v>3962</v>
      </c>
      <c r="D11" s="31" t="s">
        <v>3967</v>
      </c>
      <c r="E11" s="31" t="s">
        <v>3964</v>
      </c>
      <c r="F11" s="31" t="s">
        <v>3965</v>
      </c>
      <c r="G11" s="31" t="s">
        <v>3966</v>
      </c>
    </row>
    <row r="12" spans="1:7">
      <c r="A12" s="59">
        <v>9</v>
      </c>
      <c r="B12" s="59" t="s">
        <v>3961</v>
      </c>
      <c r="C12" s="31" t="s">
        <v>3962</v>
      </c>
      <c r="D12" s="31" t="s">
        <v>3968</v>
      </c>
      <c r="E12" s="31" t="s">
        <v>3964</v>
      </c>
      <c r="F12" s="31" t="s">
        <v>3965</v>
      </c>
      <c r="G12" s="31" t="s">
        <v>3966</v>
      </c>
    </row>
    <row r="13" spans="1:7">
      <c r="A13" s="59">
        <v>10</v>
      </c>
      <c r="B13" s="59" t="s">
        <v>3961</v>
      </c>
      <c r="C13" s="31" t="s">
        <v>3962</v>
      </c>
      <c r="D13" s="31" t="s">
        <v>3969</v>
      </c>
      <c r="E13" s="31" t="s">
        <v>3964</v>
      </c>
      <c r="F13" s="31" t="s">
        <v>3965</v>
      </c>
      <c r="G13" s="31" t="s">
        <v>3966</v>
      </c>
    </row>
    <row r="14" spans="1:7">
      <c r="A14" s="59">
        <v>11</v>
      </c>
      <c r="B14" s="59" t="s">
        <v>3961</v>
      </c>
      <c r="C14" s="31" t="s">
        <v>3962</v>
      </c>
      <c r="D14" s="31" t="s">
        <v>3970</v>
      </c>
      <c r="E14" s="31" t="s">
        <v>3964</v>
      </c>
      <c r="F14" s="31" t="s">
        <v>3965</v>
      </c>
      <c r="G14" s="31" t="s">
        <v>3966</v>
      </c>
    </row>
    <row r="15" spans="1:7">
      <c r="A15" s="59">
        <v>12</v>
      </c>
      <c r="B15" s="59" t="s">
        <v>3961</v>
      </c>
      <c r="C15" s="31" t="s">
        <v>3962</v>
      </c>
      <c r="D15" s="31" t="s">
        <v>3971</v>
      </c>
      <c r="E15" s="31" t="s">
        <v>3964</v>
      </c>
      <c r="F15" s="31" t="s">
        <v>3965</v>
      </c>
      <c r="G15" s="31" t="s">
        <v>3966</v>
      </c>
    </row>
    <row r="16" spans="1:7">
      <c r="A16" s="59">
        <v>13</v>
      </c>
      <c r="B16" s="59" t="s">
        <v>3972</v>
      </c>
      <c r="C16" s="31" t="s">
        <v>345</v>
      </c>
      <c r="D16" s="31" t="s">
        <v>3973</v>
      </c>
      <c r="E16" s="31" t="s">
        <v>3974</v>
      </c>
      <c r="F16" s="31" t="s">
        <v>3975</v>
      </c>
      <c r="G16" s="31" t="s">
        <v>3976</v>
      </c>
    </row>
    <row r="17" spans="1:7">
      <c r="A17" s="59">
        <v>14</v>
      </c>
      <c r="B17" s="59" t="s">
        <v>3972</v>
      </c>
      <c r="C17" s="31" t="s">
        <v>345</v>
      </c>
      <c r="D17" s="31" t="s">
        <v>1802</v>
      </c>
      <c r="E17" s="31" t="s">
        <v>3974</v>
      </c>
      <c r="F17" s="31" t="s">
        <v>3975</v>
      </c>
      <c r="G17" s="31" t="s">
        <v>3976</v>
      </c>
    </row>
    <row r="18" spans="1:7">
      <c r="A18" s="59">
        <v>15</v>
      </c>
      <c r="B18" s="59" t="s">
        <v>3972</v>
      </c>
      <c r="C18" s="31" t="s">
        <v>345</v>
      </c>
      <c r="D18" s="31" t="s">
        <v>1694</v>
      </c>
      <c r="E18" s="31" t="s">
        <v>3974</v>
      </c>
      <c r="F18" s="31" t="s">
        <v>3975</v>
      </c>
      <c r="G18" s="31" t="s">
        <v>3976</v>
      </c>
    </row>
    <row r="19" spans="1:7">
      <c r="A19" s="59">
        <v>16</v>
      </c>
      <c r="B19" s="59" t="s">
        <v>3972</v>
      </c>
      <c r="C19" s="31" t="s">
        <v>345</v>
      </c>
      <c r="D19" s="31" t="s">
        <v>3977</v>
      </c>
      <c r="E19" s="31" t="s">
        <v>3974</v>
      </c>
      <c r="F19" s="31" t="s">
        <v>3975</v>
      </c>
      <c r="G19" s="31" t="s">
        <v>3976</v>
      </c>
    </row>
    <row r="20" spans="1:7">
      <c r="A20" s="59">
        <v>17</v>
      </c>
      <c r="B20" s="59" t="s">
        <v>3972</v>
      </c>
      <c r="C20" s="31" t="s">
        <v>345</v>
      </c>
      <c r="D20" s="31" t="s">
        <v>1657</v>
      </c>
      <c r="E20" s="31" t="s">
        <v>3974</v>
      </c>
      <c r="F20" s="31" t="s">
        <v>3975</v>
      </c>
      <c r="G20" s="31" t="s">
        <v>3976</v>
      </c>
    </row>
    <row r="21" spans="1:7">
      <c r="A21" s="59">
        <v>18</v>
      </c>
      <c r="B21" s="59" t="s">
        <v>3972</v>
      </c>
      <c r="C21" s="31" t="s">
        <v>345</v>
      </c>
      <c r="D21" s="31" t="s">
        <v>1628</v>
      </c>
      <c r="E21" s="31" t="s">
        <v>3974</v>
      </c>
      <c r="F21" s="31" t="s">
        <v>3975</v>
      </c>
      <c r="G21" s="31" t="s">
        <v>3976</v>
      </c>
    </row>
    <row r="22" spans="1:7">
      <c r="A22" s="59">
        <v>19</v>
      </c>
      <c r="B22" s="59" t="s">
        <v>3972</v>
      </c>
      <c r="C22" s="31" t="s">
        <v>345</v>
      </c>
      <c r="D22" s="31" t="s">
        <v>1602</v>
      </c>
      <c r="E22" s="31" t="s">
        <v>3974</v>
      </c>
      <c r="F22" s="31" t="s">
        <v>3975</v>
      </c>
      <c r="G22" s="31" t="s">
        <v>3976</v>
      </c>
    </row>
    <row r="23" spans="1:7">
      <c r="A23" s="59">
        <v>20</v>
      </c>
      <c r="B23" s="59" t="s">
        <v>3972</v>
      </c>
      <c r="C23" s="31" t="s">
        <v>345</v>
      </c>
      <c r="D23" s="31" t="s">
        <v>3978</v>
      </c>
      <c r="E23" s="31" t="s">
        <v>3974</v>
      </c>
      <c r="F23" s="31" t="s">
        <v>3975</v>
      </c>
      <c r="G23" s="31" t="s">
        <v>3976</v>
      </c>
    </row>
    <row r="24" spans="1:7">
      <c r="A24" s="59">
        <v>21</v>
      </c>
      <c r="B24" s="59" t="s">
        <v>3972</v>
      </c>
      <c r="C24" s="31" t="s">
        <v>345</v>
      </c>
      <c r="D24" s="31" t="s">
        <v>3979</v>
      </c>
      <c r="E24" s="31" t="s">
        <v>3974</v>
      </c>
      <c r="F24" s="31" t="s">
        <v>3975</v>
      </c>
      <c r="G24" s="31" t="s">
        <v>3976</v>
      </c>
    </row>
    <row r="25" spans="1:7">
      <c r="A25" s="59">
        <v>22</v>
      </c>
      <c r="B25" s="59" t="s">
        <v>3972</v>
      </c>
      <c r="C25" s="31" t="s">
        <v>345</v>
      </c>
      <c r="D25" s="31" t="s">
        <v>3980</v>
      </c>
      <c r="E25" s="31" t="s">
        <v>3974</v>
      </c>
      <c r="F25" s="31" t="s">
        <v>3975</v>
      </c>
      <c r="G25" s="31" t="s">
        <v>3976</v>
      </c>
    </row>
    <row r="26" spans="1:7">
      <c r="A26" s="59">
        <v>23</v>
      </c>
      <c r="B26" s="59" t="s">
        <v>3981</v>
      </c>
      <c r="C26" s="31" t="s">
        <v>3853</v>
      </c>
      <c r="D26" s="31" t="s">
        <v>1919</v>
      </c>
      <c r="E26" s="31" t="s">
        <v>3982</v>
      </c>
      <c r="F26" s="31" t="s">
        <v>96</v>
      </c>
      <c r="G26" s="31" t="s">
        <v>3983</v>
      </c>
    </row>
    <row r="27" spans="1:7">
      <c r="A27" s="59">
        <v>24</v>
      </c>
      <c r="B27" s="59" t="s">
        <v>3981</v>
      </c>
      <c r="C27" s="31" t="s">
        <v>3853</v>
      </c>
      <c r="D27" s="31" t="s">
        <v>1932</v>
      </c>
      <c r="E27" s="31" t="s">
        <v>3982</v>
      </c>
      <c r="F27" s="31" t="s">
        <v>96</v>
      </c>
      <c r="G27" s="31" t="s">
        <v>3983</v>
      </c>
    </row>
    <row r="28" spans="1:7">
      <c r="A28" s="59">
        <v>25</v>
      </c>
      <c r="B28" s="59" t="s">
        <v>3981</v>
      </c>
      <c r="C28" s="31" t="s">
        <v>3853</v>
      </c>
      <c r="D28" s="31" t="s">
        <v>1984</v>
      </c>
      <c r="E28" s="31" t="s">
        <v>3982</v>
      </c>
      <c r="F28" s="31" t="s">
        <v>96</v>
      </c>
      <c r="G28" s="31" t="s">
        <v>3983</v>
      </c>
    </row>
    <row r="29" spans="1:7">
      <c r="A29" s="59">
        <v>26</v>
      </c>
      <c r="B29" s="59" t="s">
        <v>3981</v>
      </c>
      <c r="C29" s="31" t="s">
        <v>3853</v>
      </c>
      <c r="D29" s="31" t="s">
        <v>1886</v>
      </c>
      <c r="E29" s="31" t="s">
        <v>3982</v>
      </c>
      <c r="F29" s="31" t="s">
        <v>96</v>
      </c>
      <c r="G29" s="31" t="s">
        <v>3983</v>
      </c>
    </row>
    <row r="30" spans="1:7">
      <c r="A30" s="59">
        <v>27</v>
      </c>
      <c r="B30" s="59" t="s">
        <v>3981</v>
      </c>
      <c r="C30" s="31" t="s">
        <v>3853</v>
      </c>
      <c r="D30" s="31" t="s">
        <v>1907</v>
      </c>
      <c r="E30" s="31" t="s">
        <v>3982</v>
      </c>
      <c r="F30" s="31" t="s">
        <v>96</v>
      </c>
      <c r="G30" s="31" t="s">
        <v>3983</v>
      </c>
    </row>
    <row r="31" spans="1:7">
      <c r="A31" s="59">
        <v>28</v>
      </c>
      <c r="B31" s="59" t="s">
        <v>3981</v>
      </c>
      <c r="C31" s="31" t="s">
        <v>3853</v>
      </c>
      <c r="D31" s="31" t="s">
        <v>1958</v>
      </c>
      <c r="E31" s="31" t="s">
        <v>3982</v>
      </c>
      <c r="F31" s="31" t="s">
        <v>96</v>
      </c>
      <c r="G31" s="31" t="s">
        <v>3983</v>
      </c>
    </row>
    <row r="32" spans="1:7">
      <c r="A32" s="59">
        <v>29</v>
      </c>
      <c r="B32" s="59" t="s">
        <v>3981</v>
      </c>
      <c r="C32" s="31" t="s">
        <v>3853</v>
      </c>
      <c r="D32" s="31" t="s">
        <v>1971</v>
      </c>
      <c r="E32" s="31" t="s">
        <v>3982</v>
      </c>
      <c r="F32" s="31" t="s">
        <v>96</v>
      </c>
      <c r="G32" s="31" t="s">
        <v>3983</v>
      </c>
    </row>
    <row r="33" spans="1:7">
      <c r="A33" s="59">
        <v>30</v>
      </c>
      <c r="B33" s="59" t="s">
        <v>3981</v>
      </c>
      <c r="C33" s="31" t="s">
        <v>3853</v>
      </c>
      <c r="D33" s="31" t="s">
        <v>1945</v>
      </c>
      <c r="E33" s="31" t="s">
        <v>3982</v>
      </c>
      <c r="F33" s="31" t="s">
        <v>96</v>
      </c>
      <c r="G33" s="31" t="s">
        <v>3983</v>
      </c>
    </row>
    <row r="34" spans="1:7">
      <c r="A34" s="59">
        <v>31</v>
      </c>
      <c r="B34" s="59" t="s">
        <v>3981</v>
      </c>
      <c r="C34" s="31" t="s">
        <v>3853</v>
      </c>
      <c r="D34" s="31" t="s">
        <v>1709</v>
      </c>
      <c r="E34" s="31" t="s">
        <v>3982</v>
      </c>
      <c r="F34" s="31" t="s">
        <v>96</v>
      </c>
      <c r="G34" s="31" t="s">
        <v>3983</v>
      </c>
    </row>
    <row r="35" spans="1:7">
      <c r="A35" s="59">
        <v>32</v>
      </c>
      <c r="B35" s="59" t="s">
        <v>3981</v>
      </c>
      <c r="C35" s="31" t="s">
        <v>3853</v>
      </c>
      <c r="D35" s="31" t="s">
        <v>1723</v>
      </c>
      <c r="E35" s="31" t="s">
        <v>3982</v>
      </c>
      <c r="F35" s="31" t="s">
        <v>96</v>
      </c>
      <c r="G35" s="31" t="s">
        <v>3983</v>
      </c>
    </row>
    <row r="36" spans="1:7">
      <c r="A36" s="59">
        <v>33</v>
      </c>
      <c r="B36" s="59" t="s">
        <v>3981</v>
      </c>
      <c r="C36" s="31" t="s">
        <v>3853</v>
      </c>
      <c r="D36" s="31" t="s">
        <v>1789</v>
      </c>
      <c r="E36" s="31" t="s">
        <v>3982</v>
      </c>
      <c r="F36" s="31" t="s">
        <v>96</v>
      </c>
      <c r="G36" s="31" t="s">
        <v>3983</v>
      </c>
    </row>
    <row r="37" spans="1:7">
      <c r="A37" s="59">
        <v>34</v>
      </c>
      <c r="B37" s="59" t="s">
        <v>3981</v>
      </c>
      <c r="C37" s="31" t="s">
        <v>3853</v>
      </c>
      <c r="D37" s="31" t="s">
        <v>1776</v>
      </c>
      <c r="E37" s="31" t="s">
        <v>3982</v>
      </c>
      <c r="F37" s="31" t="s">
        <v>96</v>
      </c>
      <c r="G37" s="31" t="s">
        <v>3983</v>
      </c>
    </row>
    <row r="38" spans="1:7">
      <c r="A38" s="59">
        <v>35</v>
      </c>
      <c r="B38" s="59" t="s">
        <v>3981</v>
      </c>
      <c r="C38" s="31" t="s">
        <v>3853</v>
      </c>
      <c r="D38" s="31" t="s">
        <v>1736</v>
      </c>
      <c r="E38" s="31" t="s">
        <v>3982</v>
      </c>
      <c r="F38" s="31" t="s">
        <v>96</v>
      </c>
      <c r="G38" s="31" t="s">
        <v>3983</v>
      </c>
    </row>
    <row r="39" spans="1:7">
      <c r="A39" s="59">
        <v>36</v>
      </c>
      <c r="B39" s="59" t="s">
        <v>3981</v>
      </c>
      <c r="C39" s="31" t="s">
        <v>3853</v>
      </c>
      <c r="D39" s="31" t="s">
        <v>1763</v>
      </c>
      <c r="E39" s="31" t="s">
        <v>3982</v>
      </c>
      <c r="F39" s="31" t="s">
        <v>96</v>
      </c>
      <c r="G39" s="31" t="s">
        <v>3983</v>
      </c>
    </row>
    <row r="40" spans="1:7">
      <c r="A40" s="59">
        <v>37</v>
      </c>
      <c r="B40" s="59" t="s">
        <v>3981</v>
      </c>
      <c r="C40" s="31" t="s">
        <v>3853</v>
      </c>
      <c r="D40" s="31" t="s">
        <v>1749</v>
      </c>
      <c r="E40" s="31" t="s">
        <v>3982</v>
      </c>
      <c r="F40" s="31" t="s">
        <v>96</v>
      </c>
      <c r="G40" s="31" t="s">
        <v>3983</v>
      </c>
    </row>
    <row r="41" spans="1:7">
      <c r="A41" s="59">
        <v>38</v>
      </c>
      <c r="B41" s="59" t="s">
        <v>3981</v>
      </c>
      <c r="C41" s="31" t="s">
        <v>3853</v>
      </c>
      <c r="D41" s="31" t="s">
        <v>3984</v>
      </c>
      <c r="E41" s="31" t="s">
        <v>3982</v>
      </c>
      <c r="F41" s="31" t="s">
        <v>96</v>
      </c>
      <c r="G41" s="31" t="s">
        <v>3983</v>
      </c>
    </row>
    <row r="42" spans="1:7">
      <c r="A42" s="59">
        <v>39</v>
      </c>
      <c r="B42" s="59" t="s">
        <v>3981</v>
      </c>
      <c r="C42" s="31" t="s">
        <v>3853</v>
      </c>
      <c r="D42" s="31" t="s">
        <v>3985</v>
      </c>
      <c r="E42" s="31" t="s">
        <v>3982</v>
      </c>
      <c r="F42" s="31" t="s">
        <v>96</v>
      </c>
      <c r="G42" s="31" t="s">
        <v>3983</v>
      </c>
    </row>
    <row r="43" spans="1:7">
      <c r="A43" s="59">
        <v>40</v>
      </c>
      <c r="B43" s="59" t="s">
        <v>3981</v>
      </c>
      <c r="C43" s="31" t="s">
        <v>3853</v>
      </c>
      <c r="D43" s="31" t="s">
        <v>3986</v>
      </c>
      <c r="E43" s="31" t="s">
        <v>3982</v>
      </c>
      <c r="F43" s="31" t="s">
        <v>96</v>
      </c>
      <c r="G43" s="31" t="s">
        <v>3983</v>
      </c>
    </row>
    <row r="44" spans="1:7">
      <c r="A44" s="59">
        <v>41</v>
      </c>
      <c r="B44" s="59" t="s">
        <v>3981</v>
      </c>
      <c r="C44" s="31" t="s">
        <v>3853</v>
      </c>
      <c r="D44" s="31" t="s">
        <v>1672</v>
      </c>
      <c r="E44" s="31" t="s">
        <v>3982</v>
      </c>
      <c r="F44" s="31" t="s">
        <v>96</v>
      </c>
      <c r="G44" s="31" t="s">
        <v>3983</v>
      </c>
    </row>
    <row r="45" spans="1:7">
      <c r="A45" s="59">
        <v>42</v>
      </c>
      <c r="B45" s="59" t="s">
        <v>3981</v>
      </c>
      <c r="C45" s="31" t="s">
        <v>3853</v>
      </c>
      <c r="D45" s="31" t="s">
        <v>3987</v>
      </c>
      <c r="E45" s="31" t="s">
        <v>3982</v>
      </c>
      <c r="F45" s="31" t="s">
        <v>96</v>
      </c>
      <c r="G45" s="31" t="s">
        <v>3983</v>
      </c>
    </row>
    <row r="46" spans="1:7">
      <c r="A46" s="59">
        <v>43</v>
      </c>
      <c r="B46" s="59" t="s">
        <v>3981</v>
      </c>
      <c r="C46" s="31" t="s">
        <v>3853</v>
      </c>
      <c r="D46" s="31" t="s">
        <v>3988</v>
      </c>
      <c r="E46" s="31" t="s">
        <v>3982</v>
      </c>
      <c r="F46" s="31" t="s">
        <v>96</v>
      </c>
      <c r="G46" s="31" t="s">
        <v>3983</v>
      </c>
    </row>
    <row r="47" spans="1:7">
      <c r="A47" s="59">
        <v>44</v>
      </c>
      <c r="B47" s="59" t="s">
        <v>3981</v>
      </c>
      <c r="C47" s="31" t="s">
        <v>3853</v>
      </c>
      <c r="D47" s="31" t="s">
        <v>1602</v>
      </c>
      <c r="E47" s="31" t="s">
        <v>3982</v>
      </c>
      <c r="F47" s="31" t="s">
        <v>96</v>
      </c>
      <c r="G47" s="31" t="s">
        <v>3983</v>
      </c>
    </row>
    <row r="48" spans="1:7">
      <c r="A48" s="59">
        <v>45</v>
      </c>
      <c r="B48" s="59" t="s">
        <v>3981</v>
      </c>
      <c r="C48" s="31" t="s">
        <v>3853</v>
      </c>
      <c r="D48" s="31" t="s">
        <v>1628</v>
      </c>
      <c r="E48" s="31" t="s">
        <v>3982</v>
      </c>
      <c r="F48" s="31" t="s">
        <v>96</v>
      </c>
      <c r="G48" s="31" t="s">
        <v>3983</v>
      </c>
    </row>
    <row r="49" spans="1:7">
      <c r="A49" s="59">
        <v>46</v>
      </c>
      <c r="B49" s="59" t="s">
        <v>3981</v>
      </c>
      <c r="C49" s="31" t="s">
        <v>3853</v>
      </c>
      <c r="D49" s="31" t="s">
        <v>3989</v>
      </c>
      <c r="E49" s="31" t="s">
        <v>3982</v>
      </c>
      <c r="F49" s="31" t="s">
        <v>96</v>
      </c>
      <c r="G49" s="31" t="s">
        <v>3983</v>
      </c>
    </row>
    <row r="50" spans="1:7">
      <c r="A50" s="59">
        <v>47</v>
      </c>
      <c r="B50" s="59" t="s">
        <v>3981</v>
      </c>
      <c r="C50" s="31" t="s">
        <v>3853</v>
      </c>
      <c r="D50" s="31" t="s">
        <v>3990</v>
      </c>
      <c r="E50" s="31" t="s">
        <v>3982</v>
      </c>
      <c r="F50" s="31" t="s">
        <v>96</v>
      </c>
      <c r="G50" s="31" t="s">
        <v>3983</v>
      </c>
    </row>
    <row r="51" spans="1:7">
      <c r="A51" s="59">
        <v>48</v>
      </c>
      <c r="B51" s="59" t="s">
        <v>3991</v>
      </c>
      <c r="C51" s="31" t="s">
        <v>3854</v>
      </c>
      <c r="D51" s="31" t="s">
        <v>1894</v>
      </c>
      <c r="E51" s="31" t="s">
        <v>3992</v>
      </c>
      <c r="F51" s="31" t="s">
        <v>3993</v>
      </c>
      <c r="G51" s="31" t="s">
        <v>3994</v>
      </c>
    </row>
    <row r="52" spans="1:7">
      <c r="A52" s="59">
        <v>49</v>
      </c>
      <c r="B52" s="59" t="s">
        <v>3991</v>
      </c>
      <c r="C52" s="31" t="s">
        <v>3854</v>
      </c>
      <c r="D52" s="31" t="s">
        <v>3995</v>
      </c>
      <c r="E52" s="31" t="s">
        <v>3992</v>
      </c>
      <c r="F52" s="31" t="s">
        <v>3993</v>
      </c>
      <c r="G52" s="31" t="s">
        <v>3994</v>
      </c>
    </row>
    <row r="53" spans="1:7">
      <c r="A53" s="59">
        <v>50</v>
      </c>
      <c r="B53" s="59" t="s">
        <v>3991</v>
      </c>
      <c r="C53" s="31" t="s">
        <v>3854</v>
      </c>
      <c r="D53" s="31" t="s">
        <v>1710</v>
      </c>
      <c r="E53" s="31" t="s">
        <v>3992</v>
      </c>
      <c r="F53" s="31" t="s">
        <v>3993</v>
      </c>
      <c r="G53" s="31" t="s">
        <v>3994</v>
      </c>
    </row>
    <row r="54" spans="1:7">
      <c r="A54" s="59">
        <v>51</v>
      </c>
      <c r="B54" s="59" t="s">
        <v>3991</v>
      </c>
      <c r="C54" s="31" t="s">
        <v>3854</v>
      </c>
      <c r="D54" s="31" t="s">
        <v>1702</v>
      </c>
      <c r="E54" s="31" t="s">
        <v>3992</v>
      </c>
      <c r="F54" s="31" t="s">
        <v>3993</v>
      </c>
      <c r="G54" s="31" t="s">
        <v>3994</v>
      </c>
    </row>
    <row r="55" spans="1:7">
      <c r="A55" s="59">
        <v>52</v>
      </c>
      <c r="B55" s="59" t="s">
        <v>3991</v>
      </c>
      <c r="C55" s="31" t="s">
        <v>3854</v>
      </c>
      <c r="D55" s="31" t="s">
        <v>1750</v>
      </c>
      <c r="E55" s="31" t="s">
        <v>3992</v>
      </c>
      <c r="F55" s="31" t="s">
        <v>3993</v>
      </c>
      <c r="G55" s="31" t="s">
        <v>3994</v>
      </c>
    </row>
    <row r="56" spans="1:7">
      <c r="A56" s="59">
        <v>53</v>
      </c>
      <c r="B56" s="59" t="s">
        <v>3991</v>
      </c>
      <c r="C56" s="31" t="s">
        <v>3854</v>
      </c>
      <c r="D56" s="31" t="s">
        <v>1658</v>
      </c>
      <c r="E56" s="31" t="s">
        <v>3992</v>
      </c>
      <c r="F56" s="31" t="s">
        <v>3993</v>
      </c>
      <c r="G56" s="31" t="s">
        <v>3994</v>
      </c>
    </row>
    <row r="57" spans="1:7">
      <c r="A57" s="59">
        <v>54</v>
      </c>
      <c r="B57" s="59" t="s">
        <v>3991</v>
      </c>
      <c r="C57" s="31" t="s">
        <v>3854</v>
      </c>
      <c r="D57" s="31" t="s">
        <v>1665</v>
      </c>
      <c r="E57" s="31" t="s">
        <v>3992</v>
      </c>
      <c r="F57" s="31" t="s">
        <v>3993</v>
      </c>
      <c r="G57" s="31" t="s">
        <v>3994</v>
      </c>
    </row>
    <row r="58" spans="1:7">
      <c r="A58" s="59">
        <v>55</v>
      </c>
      <c r="B58" s="59" t="s">
        <v>3991</v>
      </c>
      <c r="C58" s="31" t="s">
        <v>3854</v>
      </c>
      <c r="D58" s="31" t="s">
        <v>1695</v>
      </c>
      <c r="E58" s="31" t="s">
        <v>3992</v>
      </c>
      <c r="F58" s="31" t="s">
        <v>3993</v>
      </c>
      <c r="G58" s="31" t="s">
        <v>3994</v>
      </c>
    </row>
    <row r="59" spans="1:7">
      <c r="A59" s="59">
        <v>56</v>
      </c>
      <c r="B59" s="59" t="s">
        <v>3991</v>
      </c>
      <c r="C59" s="31" t="s">
        <v>3854</v>
      </c>
      <c r="D59" s="31" t="s">
        <v>1803</v>
      </c>
      <c r="E59" s="31" t="s">
        <v>3992</v>
      </c>
      <c r="F59" s="31" t="s">
        <v>3993</v>
      </c>
      <c r="G59" s="31" t="s">
        <v>3994</v>
      </c>
    </row>
    <row r="60" spans="1:7">
      <c r="A60" s="59">
        <v>57</v>
      </c>
      <c r="B60" s="59" t="s">
        <v>3991</v>
      </c>
      <c r="C60" s="31" t="s">
        <v>3854</v>
      </c>
      <c r="D60" s="31" t="s">
        <v>3996</v>
      </c>
      <c r="E60" s="31" t="s">
        <v>3992</v>
      </c>
      <c r="F60" s="31" t="s">
        <v>3993</v>
      </c>
      <c r="G60" s="31" t="s">
        <v>3994</v>
      </c>
    </row>
    <row r="61" spans="1:7">
      <c r="A61" s="59">
        <v>58</v>
      </c>
      <c r="B61" s="59" t="s">
        <v>3991</v>
      </c>
      <c r="C61" s="31" t="s">
        <v>3854</v>
      </c>
      <c r="D61" s="31" t="s">
        <v>1687</v>
      </c>
      <c r="E61" s="31" t="s">
        <v>3992</v>
      </c>
      <c r="F61" s="31" t="s">
        <v>3993</v>
      </c>
      <c r="G61" s="31" t="s">
        <v>3994</v>
      </c>
    </row>
    <row r="62" spans="1:7">
      <c r="A62" s="59">
        <v>59</v>
      </c>
      <c r="B62" s="59" t="s">
        <v>3991</v>
      </c>
      <c r="C62" s="31" t="s">
        <v>3854</v>
      </c>
      <c r="D62" s="31" t="s">
        <v>1680</v>
      </c>
      <c r="E62" s="31" t="s">
        <v>3992</v>
      </c>
      <c r="F62" s="31" t="s">
        <v>3993</v>
      </c>
      <c r="G62" s="31" t="s">
        <v>3994</v>
      </c>
    </row>
    <row r="63" spans="1:7">
      <c r="A63" s="59">
        <v>60</v>
      </c>
      <c r="B63" s="59" t="s">
        <v>3991</v>
      </c>
      <c r="C63" s="31" t="s">
        <v>3854</v>
      </c>
      <c r="D63" s="31" t="s">
        <v>1851</v>
      </c>
      <c r="E63" s="31" t="s">
        <v>3992</v>
      </c>
      <c r="F63" s="31" t="s">
        <v>3993</v>
      </c>
      <c r="G63" s="31" t="s">
        <v>3994</v>
      </c>
    </row>
    <row r="64" spans="1:7">
      <c r="A64" s="59">
        <v>61</v>
      </c>
      <c r="B64" s="59" t="s">
        <v>3991</v>
      </c>
      <c r="C64" s="31" t="s">
        <v>3854</v>
      </c>
      <c r="D64" s="31" t="s">
        <v>1844</v>
      </c>
      <c r="E64" s="31" t="s">
        <v>3992</v>
      </c>
      <c r="F64" s="31" t="s">
        <v>3993</v>
      </c>
      <c r="G64" s="31" t="s">
        <v>3994</v>
      </c>
    </row>
    <row r="65" spans="1:7">
      <c r="A65" s="59">
        <v>62</v>
      </c>
      <c r="B65" s="59" t="s">
        <v>3991</v>
      </c>
      <c r="C65" s="31" t="s">
        <v>3854</v>
      </c>
      <c r="D65" s="31" t="s">
        <v>1837</v>
      </c>
      <c r="E65" s="31" t="s">
        <v>3992</v>
      </c>
      <c r="F65" s="31" t="s">
        <v>3993</v>
      </c>
      <c r="G65" s="31" t="s">
        <v>3994</v>
      </c>
    </row>
    <row r="66" spans="1:7">
      <c r="A66" s="59">
        <v>63</v>
      </c>
      <c r="B66" s="59" t="s">
        <v>3991</v>
      </c>
      <c r="C66" s="31" t="s">
        <v>3854</v>
      </c>
      <c r="D66" s="31" t="s">
        <v>1823</v>
      </c>
      <c r="E66" s="31" t="s">
        <v>3992</v>
      </c>
      <c r="F66" s="31" t="s">
        <v>3993</v>
      </c>
      <c r="G66" s="31" t="s">
        <v>3994</v>
      </c>
    </row>
    <row r="67" spans="1:7">
      <c r="A67" s="59">
        <v>64</v>
      </c>
      <c r="B67" s="59" t="s">
        <v>3991</v>
      </c>
      <c r="C67" s="31" t="s">
        <v>3854</v>
      </c>
      <c r="D67" s="31" t="s">
        <v>1621</v>
      </c>
      <c r="E67" s="31" t="s">
        <v>3992</v>
      </c>
      <c r="F67" s="31" t="s">
        <v>3993</v>
      </c>
      <c r="G67" s="31" t="s">
        <v>3994</v>
      </c>
    </row>
    <row r="68" spans="1:7">
      <c r="A68" s="59">
        <v>65</v>
      </c>
      <c r="B68" s="59" t="s">
        <v>3991</v>
      </c>
      <c r="C68" s="31" t="s">
        <v>3854</v>
      </c>
      <c r="D68" s="31" t="s">
        <v>1614</v>
      </c>
      <c r="E68" s="31" t="s">
        <v>3992</v>
      </c>
      <c r="F68" s="31" t="s">
        <v>3993</v>
      </c>
      <c r="G68" s="31" t="s">
        <v>3994</v>
      </c>
    </row>
    <row r="69" spans="1:7">
      <c r="A69" s="59">
        <v>66</v>
      </c>
      <c r="B69" s="59" t="s">
        <v>3991</v>
      </c>
      <c r="C69" s="31" t="s">
        <v>3854</v>
      </c>
      <c r="D69" s="31" t="s">
        <v>1636</v>
      </c>
      <c r="E69" s="31" t="s">
        <v>3992</v>
      </c>
      <c r="F69" s="31" t="s">
        <v>3993</v>
      </c>
      <c r="G69" s="31" t="s">
        <v>3994</v>
      </c>
    </row>
    <row r="70" spans="1:7">
      <c r="A70" s="59">
        <v>67</v>
      </c>
      <c r="B70" s="59" t="s">
        <v>3991</v>
      </c>
      <c r="C70" s="31" t="s">
        <v>3854</v>
      </c>
      <c r="D70" s="31" t="s">
        <v>1650</v>
      </c>
      <c r="E70" s="31" t="s">
        <v>3992</v>
      </c>
      <c r="F70" s="31" t="s">
        <v>3993</v>
      </c>
      <c r="G70" s="31" t="s">
        <v>3994</v>
      </c>
    </row>
    <row r="71" spans="1:7">
      <c r="A71" s="59">
        <v>68</v>
      </c>
      <c r="B71" s="59" t="s">
        <v>3991</v>
      </c>
      <c r="C71" s="31" t="s">
        <v>3854</v>
      </c>
      <c r="D71" s="31" t="s">
        <v>1629</v>
      </c>
      <c r="E71" s="31" t="s">
        <v>3992</v>
      </c>
      <c r="F71" s="31" t="s">
        <v>3993</v>
      </c>
      <c r="G71" s="31" t="s">
        <v>3994</v>
      </c>
    </row>
    <row r="72" spans="1:7">
      <c r="A72" s="59">
        <v>69</v>
      </c>
      <c r="B72" s="59" t="s">
        <v>3991</v>
      </c>
      <c r="C72" s="31" t="s">
        <v>3854</v>
      </c>
      <c r="D72" s="31" t="s">
        <v>1643</v>
      </c>
      <c r="E72" s="31" t="s">
        <v>3992</v>
      </c>
      <c r="F72" s="31" t="s">
        <v>3993</v>
      </c>
      <c r="G72" s="31" t="s">
        <v>3994</v>
      </c>
    </row>
    <row r="73" spans="1:7">
      <c r="A73" s="59">
        <v>70</v>
      </c>
      <c r="B73" s="59" t="s">
        <v>3991</v>
      </c>
      <c r="C73" s="31" t="s">
        <v>3854</v>
      </c>
      <c r="D73" s="31" t="s">
        <v>2004</v>
      </c>
      <c r="E73" s="31" t="s">
        <v>3992</v>
      </c>
      <c r="F73" s="31" t="s">
        <v>3993</v>
      </c>
      <c r="G73" s="31" t="s">
        <v>3994</v>
      </c>
    </row>
    <row r="74" spans="1:7">
      <c r="A74" s="59">
        <v>71</v>
      </c>
      <c r="B74" s="59" t="s">
        <v>3991</v>
      </c>
      <c r="C74" s="31" t="s">
        <v>3854</v>
      </c>
      <c r="D74" s="31" t="s">
        <v>1879</v>
      </c>
      <c r="E74" s="31" t="s">
        <v>3992</v>
      </c>
      <c r="F74" s="31" t="s">
        <v>3993</v>
      </c>
      <c r="G74" s="31" t="s">
        <v>3994</v>
      </c>
    </row>
    <row r="75" spans="1:7">
      <c r="A75" s="59">
        <v>72</v>
      </c>
      <c r="B75" s="59" t="s">
        <v>3991</v>
      </c>
      <c r="C75" s="31" t="s">
        <v>3854</v>
      </c>
      <c r="D75" s="31" t="s">
        <v>1865</v>
      </c>
      <c r="E75" s="31" t="s">
        <v>3992</v>
      </c>
      <c r="F75" s="31" t="s">
        <v>3993</v>
      </c>
      <c r="G75" s="31" t="s">
        <v>3994</v>
      </c>
    </row>
    <row r="76" spans="1:7">
      <c r="A76" s="59">
        <v>73</v>
      </c>
      <c r="B76" s="59" t="s">
        <v>3991</v>
      </c>
      <c r="C76" s="31" t="s">
        <v>3854</v>
      </c>
      <c r="D76" s="31" t="s">
        <v>1872</v>
      </c>
      <c r="E76" s="31" t="s">
        <v>3992</v>
      </c>
      <c r="F76" s="31" t="s">
        <v>3993</v>
      </c>
      <c r="G76" s="31" t="s">
        <v>3994</v>
      </c>
    </row>
    <row r="77" spans="1:7">
      <c r="A77" s="59">
        <v>74</v>
      </c>
      <c r="B77" s="59" t="s">
        <v>3997</v>
      </c>
      <c r="C77" s="31" t="s">
        <v>3998</v>
      </c>
      <c r="D77" s="31" t="s">
        <v>3999</v>
      </c>
      <c r="E77" s="31" t="s">
        <v>4000</v>
      </c>
      <c r="F77" s="31" t="s">
        <v>4001</v>
      </c>
      <c r="G77" s="31" t="s">
        <v>4002</v>
      </c>
    </row>
    <row r="78" spans="1:7">
      <c r="A78" s="59">
        <v>75</v>
      </c>
      <c r="B78" s="59" t="s">
        <v>3997</v>
      </c>
      <c r="C78" s="31" t="s">
        <v>3998</v>
      </c>
      <c r="D78" s="31" t="s">
        <v>4003</v>
      </c>
      <c r="E78" s="31" t="s">
        <v>4000</v>
      </c>
      <c r="F78" s="31" t="s">
        <v>4001</v>
      </c>
      <c r="G78" s="31" t="s">
        <v>4002</v>
      </c>
    </row>
    <row r="79" spans="1:7">
      <c r="A79" s="59">
        <v>76</v>
      </c>
      <c r="B79" s="59" t="s">
        <v>3997</v>
      </c>
      <c r="C79" s="31" t="s">
        <v>3998</v>
      </c>
      <c r="D79" s="31" t="s">
        <v>4004</v>
      </c>
      <c r="E79" s="31" t="s">
        <v>4000</v>
      </c>
      <c r="F79" s="31" t="s">
        <v>4001</v>
      </c>
      <c r="G79" s="31" t="s">
        <v>4002</v>
      </c>
    </row>
    <row r="80" spans="1:7">
      <c r="A80" s="59">
        <v>77</v>
      </c>
      <c r="B80" s="59" t="s">
        <v>3997</v>
      </c>
      <c r="C80" s="31" t="s">
        <v>3998</v>
      </c>
      <c r="D80" s="31" t="s">
        <v>4005</v>
      </c>
      <c r="E80" s="31" t="s">
        <v>4000</v>
      </c>
      <c r="F80" s="31" t="s">
        <v>4001</v>
      </c>
      <c r="G80" s="31" t="s">
        <v>4002</v>
      </c>
    </row>
    <row r="81" spans="1:7">
      <c r="A81" s="59">
        <v>78</v>
      </c>
      <c r="B81" s="59" t="s">
        <v>3997</v>
      </c>
      <c r="C81" s="31" t="s">
        <v>3998</v>
      </c>
      <c r="D81" s="31" t="s">
        <v>4006</v>
      </c>
      <c r="E81" s="31" t="s">
        <v>4000</v>
      </c>
      <c r="F81" s="31" t="s">
        <v>4001</v>
      </c>
      <c r="G81" s="31" t="s">
        <v>4002</v>
      </c>
    </row>
    <row r="82" spans="1:7">
      <c r="A82" s="59">
        <v>79</v>
      </c>
      <c r="B82" s="59" t="s">
        <v>3997</v>
      </c>
      <c r="C82" s="31" t="s">
        <v>3998</v>
      </c>
      <c r="D82" s="31" t="s">
        <v>4007</v>
      </c>
      <c r="E82" s="31" t="s">
        <v>4000</v>
      </c>
      <c r="F82" s="31" t="s">
        <v>4001</v>
      </c>
      <c r="G82" s="31" t="s">
        <v>4002</v>
      </c>
    </row>
    <row r="83" spans="1:7">
      <c r="A83" s="59">
        <v>80</v>
      </c>
      <c r="B83" s="59" t="s">
        <v>3997</v>
      </c>
      <c r="C83" s="31" t="s">
        <v>3998</v>
      </c>
      <c r="D83" s="31" t="s">
        <v>4008</v>
      </c>
      <c r="E83" s="31" t="s">
        <v>4000</v>
      </c>
      <c r="F83" s="31" t="s">
        <v>4001</v>
      </c>
      <c r="G83" s="31" t="s">
        <v>4002</v>
      </c>
    </row>
    <row r="84" spans="1:7">
      <c r="A84" s="59">
        <v>81</v>
      </c>
      <c r="B84" s="59" t="s">
        <v>3997</v>
      </c>
      <c r="C84" s="31" t="s">
        <v>3998</v>
      </c>
      <c r="D84" s="31" t="s">
        <v>4009</v>
      </c>
      <c r="E84" s="31" t="s">
        <v>4000</v>
      </c>
      <c r="F84" s="31" t="s">
        <v>4001</v>
      </c>
      <c r="G84" s="31" t="s">
        <v>4002</v>
      </c>
    </row>
    <row r="85" spans="1:7">
      <c r="A85" s="59">
        <v>82</v>
      </c>
      <c r="B85" s="59" t="s">
        <v>3997</v>
      </c>
      <c r="C85" s="31" t="s">
        <v>3998</v>
      </c>
      <c r="D85" s="31" t="s">
        <v>4010</v>
      </c>
      <c r="E85" s="31" t="s">
        <v>4000</v>
      </c>
      <c r="F85" s="31" t="s">
        <v>4001</v>
      </c>
      <c r="G85" s="31" t="s">
        <v>4002</v>
      </c>
    </row>
    <row r="86" spans="1:7">
      <c r="A86" s="59">
        <v>83</v>
      </c>
      <c r="B86" s="59" t="s">
        <v>4011</v>
      </c>
      <c r="C86" s="31" t="s">
        <v>4012</v>
      </c>
      <c r="D86" s="31" t="s">
        <v>4013</v>
      </c>
      <c r="E86" s="31" t="s">
        <v>4014</v>
      </c>
      <c r="F86" s="31" t="s">
        <v>4015</v>
      </c>
      <c r="G86" s="31" t="s">
        <v>4016</v>
      </c>
    </row>
    <row r="87" spans="1:7">
      <c r="A87" s="59">
        <v>84</v>
      </c>
      <c r="B87" s="59" t="s">
        <v>4011</v>
      </c>
      <c r="C87" s="31" t="s">
        <v>4012</v>
      </c>
      <c r="D87" s="31" t="s">
        <v>4017</v>
      </c>
      <c r="E87" s="31" t="s">
        <v>4014</v>
      </c>
      <c r="F87" s="31" t="s">
        <v>4015</v>
      </c>
      <c r="G87" s="31" t="s">
        <v>4016</v>
      </c>
    </row>
    <row r="88" spans="1:7">
      <c r="A88" s="59">
        <v>85</v>
      </c>
      <c r="B88" s="59" t="s">
        <v>4011</v>
      </c>
      <c r="C88" s="31" t="s">
        <v>4012</v>
      </c>
      <c r="D88" s="31" t="s">
        <v>4018</v>
      </c>
      <c r="E88" s="31" t="s">
        <v>4014</v>
      </c>
      <c r="F88" s="31" t="s">
        <v>4015</v>
      </c>
      <c r="G88" s="31" t="s">
        <v>4016</v>
      </c>
    </row>
    <row r="89" spans="1:7">
      <c r="A89" s="59">
        <v>86</v>
      </c>
      <c r="B89" s="59" t="s">
        <v>4011</v>
      </c>
      <c r="C89" s="31" t="s">
        <v>4012</v>
      </c>
      <c r="D89" s="31" t="s">
        <v>4019</v>
      </c>
      <c r="E89" s="31" t="s">
        <v>4014</v>
      </c>
      <c r="F89" s="31" t="s">
        <v>4015</v>
      </c>
      <c r="G89" s="31" t="s">
        <v>4016</v>
      </c>
    </row>
    <row r="90" spans="1:7">
      <c r="A90" s="59">
        <v>87</v>
      </c>
      <c r="B90" s="59" t="s">
        <v>4020</v>
      </c>
      <c r="C90" s="31" t="s">
        <v>75</v>
      </c>
      <c r="D90" s="31" t="s">
        <v>4021</v>
      </c>
      <c r="E90" s="31" t="s">
        <v>4022</v>
      </c>
      <c r="F90" s="31" t="s">
        <v>4023</v>
      </c>
      <c r="G90" s="31" t="s">
        <v>4024</v>
      </c>
    </row>
    <row r="91" spans="1:7">
      <c r="A91" s="59">
        <v>88</v>
      </c>
      <c r="B91" s="59" t="s">
        <v>4020</v>
      </c>
      <c r="C91" s="31" t="s">
        <v>75</v>
      </c>
      <c r="D91" s="31" t="s">
        <v>4025</v>
      </c>
      <c r="E91" s="31" t="s">
        <v>4022</v>
      </c>
      <c r="F91" s="31" t="s">
        <v>4023</v>
      </c>
      <c r="G91" s="31" t="s">
        <v>4024</v>
      </c>
    </row>
    <row r="92" spans="1:7">
      <c r="A92" s="59">
        <v>89</v>
      </c>
      <c r="B92" s="59" t="s">
        <v>4026</v>
      </c>
      <c r="C92" s="31" t="s">
        <v>2950</v>
      </c>
      <c r="D92" s="31" t="s">
        <v>2468</v>
      </c>
      <c r="E92" s="31" t="s">
        <v>4027</v>
      </c>
      <c r="F92" s="31" t="s">
        <v>4028</v>
      </c>
      <c r="G92" s="31" t="s">
        <v>4029</v>
      </c>
    </row>
    <row r="93" spans="1:7">
      <c r="A93" s="59">
        <v>90</v>
      </c>
      <c r="B93" s="59" t="s">
        <v>4026</v>
      </c>
      <c r="C93" s="31" t="s">
        <v>2950</v>
      </c>
      <c r="D93" s="31" t="s">
        <v>2476</v>
      </c>
      <c r="E93" s="31" t="s">
        <v>4027</v>
      </c>
      <c r="F93" s="31" t="s">
        <v>4028</v>
      </c>
      <c r="G93" s="31" t="s">
        <v>4029</v>
      </c>
    </row>
    <row r="94" spans="1:7">
      <c r="A94" s="59">
        <v>91</v>
      </c>
      <c r="B94" s="59" t="s">
        <v>4026</v>
      </c>
      <c r="C94" s="31" t="s">
        <v>2950</v>
      </c>
      <c r="D94" s="31" t="s">
        <v>2529</v>
      </c>
      <c r="E94" s="31" t="s">
        <v>4027</v>
      </c>
      <c r="F94" s="31" t="s">
        <v>4028</v>
      </c>
      <c r="G94" s="31" t="s">
        <v>4029</v>
      </c>
    </row>
    <row r="95" spans="1:7">
      <c r="A95" s="59">
        <v>92</v>
      </c>
      <c r="B95" s="59" t="s">
        <v>4026</v>
      </c>
      <c r="C95" s="31" t="s">
        <v>2950</v>
      </c>
      <c r="D95" s="31" t="s">
        <v>2554</v>
      </c>
      <c r="E95" s="31" t="s">
        <v>4027</v>
      </c>
      <c r="F95" s="31" t="s">
        <v>4028</v>
      </c>
      <c r="G95" s="31" t="s">
        <v>4029</v>
      </c>
    </row>
    <row r="96" spans="1:7">
      <c r="A96" s="59">
        <v>93</v>
      </c>
      <c r="B96" s="59" t="s">
        <v>4030</v>
      </c>
      <c r="C96" s="31" t="s">
        <v>80</v>
      </c>
      <c r="D96" s="31" t="s">
        <v>4031</v>
      </c>
      <c r="E96" s="31" t="s">
        <v>4032</v>
      </c>
      <c r="F96" s="31" t="s">
        <v>4033</v>
      </c>
      <c r="G96" s="31" t="s">
        <v>4034</v>
      </c>
    </row>
    <row r="97" spans="1:7">
      <c r="A97" s="59">
        <v>94</v>
      </c>
      <c r="B97" s="59" t="s">
        <v>4030</v>
      </c>
      <c r="C97" s="31" t="s">
        <v>80</v>
      </c>
      <c r="D97" s="31" t="s">
        <v>2475</v>
      </c>
      <c r="E97" s="31" t="s">
        <v>4032</v>
      </c>
      <c r="F97" s="31" t="s">
        <v>4033</v>
      </c>
      <c r="G97" s="31" t="s">
        <v>4034</v>
      </c>
    </row>
    <row r="98" spans="1:7">
      <c r="A98" s="59">
        <v>95</v>
      </c>
      <c r="B98" s="59" t="s">
        <v>4030</v>
      </c>
      <c r="C98" s="31" t="s">
        <v>80</v>
      </c>
      <c r="D98" s="31" t="s">
        <v>2510</v>
      </c>
      <c r="E98" s="31" t="s">
        <v>4032</v>
      </c>
      <c r="F98" s="31" t="s">
        <v>4033</v>
      </c>
      <c r="G98" s="31" t="s">
        <v>4034</v>
      </c>
    </row>
    <row r="99" spans="1:7">
      <c r="A99" s="59">
        <v>96</v>
      </c>
      <c r="B99" s="59" t="s">
        <v>4030</v>
      </c>
      <c r="C99" s="31" t="s">
        <v>80</v>
      </c>
      <c r="D99" s="31" t="s">
        <v>4035</v>
      </c>
      <c r="E99" s="31" t="s">
        <v>4032</v>
      </c>
      <c r="F99" s="31" t="s">
        <v>4033</v>
      </c>
      <c r="G99" s="31" t="s">
        <v>4034</v>
      </c>
    </row>
    <row r="100" spans="1:7">
      <c r="A100" s="59">
        <v>97</v>
      </c>
      <c r="B100" s="59" t="s">
        <v>4030</v>
      </c>
      <c r="C100" s="31" t="s">
        <v>80</v>
      </c>
      <c r="D100" s="31" t="s">
        <v>2522</v>
      </c>
      <c r="E100" s="31" t="s">
        <v>4032</v>
      </c>
      <c r="F100" s="31" t="s">
        <v>4033</v>
      </c>
      <c r="G100" s="31" t="s">
        <v>4034</v>
      </c>
    </row>
    <row r="101" spans="1:7">
      <c r="A101" s="59">
        <v>98</v>
      </c>
      <c r="B101" s="59" t="s">
        <v>4036</v>
      </c>
      <c r="C101" s="31" t="s">
        <v>4037</v>
      </c>
      <c r="D101" s="31" t="s">
        <v>4038</v>
      </c>
      <c r="E101" s="31" t="s">
        <v>4039</v>
      </c>
      <c r="F101" s="31" t="s">
        <v>4040</v>
      </c>
      <c r="G101" s="31" t="s">
        <v>4041</v>
      </c>
    </row>
    <row r="102" spans="1:7">
      <c r="A102" s="59">
        <v>99</v>
      </c>
      <c r="B102" s="59" t="s">
        <v>4036</v>
      </c>
      <c r="C102" s="31" t="s">
        <v>4037</v>
      </c>
      <c r="D102" s="31" t="s">
        <v>4042</v>
      </c>
      <c r="E102" s="31" t="s">
        <v>4039</v>
      </c>
      <c r="F102" s="31" t="s">
        <v>4040</v>
      </c>
      <c r="G102" s="31" t="s">
        <v>4041</v>
      </c>
    </row>
    <row r="103" spans="1:7">
      <c r="A103" s="59">
        <v>100</v>
      </c>
      <c r="B103" s="59" t="s">
        <v>4036</v>
      </c>
      <c r="C103" s="31" t="s">
        <v>4037</v>
      </c>
      <c r="D103" s="31" t="s">
        <v>4043</v>
      </c>
      <c r="E103" s="31" t="s">
        <v>4039</v>
      </c>
      <c r="F103" s="31" t="s">
        <v>4040</v>
      </c>
      <c r="G103" s="31" t="s">
        <v>4041</v>
      </c>
    </row>
    <row r="104" spans="1:7">
      <c r="A104" s="59">
        <v>101</v>
      </c>
      <c r="B104" s="59" t="s">
        <v>4044</v>
      </c>
      <c r="C104" s="31" t="s">
        <v>54</v>
      </c>
      <c r="D104" s="31" t="s">
        <v>316</v>
      </c>
      <c r="E104" s="31" t="s">
        <v>4045</v>
      </c>
      <c r="F104" s="31" t="s">
        <v>4046</v>
      </c>
      <c r="G104" s="31" t="s">
        <v>4047</v>
      </c>
    </row>
    <row r="105" spans="1:7">
      <c r="A105" s="59">
        <v>102</v>
      </c>
      <c r="B105" s="59" t="s">
        <v>4044</v>
      </c>
      <c r="C105" s="31" t="s">
        <v>54</v>
      </c>
      <c r="D105" s="31" t="s">
        <v>443</v>
      </c>
      <c r="E105" s="31" t="s">
        <v>4045</v>
      </c>
      <c r="F105" s="31" t="s">
        <v>4046</v>
      </c>
      <c r="G105" s="31" t="s">
        <v>4047</v>
      </c>
    </row>
    <row r="106" spans="1:7">
      <c r="A106" s="59">
        <v>103</v>
      </c>
      <c r="B106" s="59" t="s">
        <v>4044</v>
      </c>
      <c r="C106" s="31" t="s">
        <v>54</v>
      </c>
      <c r="D106" s="31" t="s">
        <v>499</v>
      </c>
      <c r="E106" s="31" t="s">
        <v>4045</v>
      </c>
      <c r="F106" s="31" t="s">
        <v>4046</v>
      </c>
      <c r="G106" s="31" t="s">
        <v>4047</v>
      </c>
    </row>
    <row r="107" spans="1:7">
      <c r="A107" s="59">
        <v>104</v>
      </c>
      <c r="B107" s="59" t="s">
        <v>4044</v>
      </c>
      <c r="C107" s="31" t="s">
        <v>54</v>
      </c>
      <c r="D107" s="31" t="s">
        <v>522</v>
      </c>
      <c r="E107" s="31" t="s">
        <v>4045</v>
      </c>
      <c r="F107" s="31" t="s">
        <v>4046</v>
      </c>
      <c r="G107" s="31" t="s">
        <v>4047</v>
      </c>
    </row>
    <row r="108" spans="1:7">
      <c r="A108" s="59">
        <v>105</v>
      </c>
      <c r="B108" s="59" t="s">
        <v>4044</v>
      </c>
      <c r="C108" s="31" t="s">
        <v>54</v>
      </c>
      <c r="D108" s="31" t="s">
        <v>568</v>
      </c>
      <c r="E108" s="31" t="s">
        <v>4045</v>
      </c>
      <c r="F108" s="31" t="s">
        <v>4046</v>
      </c>
      <c r="G108" s="31" t="s">
        <v>4047</v>
      </c>
    </row>
    <row r="109" spans="1:7">
      <c r="A109" s="59">
        <v>106</v>
      </c>
      <c r="B109" s="59" t="s">
        <v>4044</v>
      </c>
      <c r="C109" s="31" t="s">
        <v>54</v>
      </c>
      <c r="D109" s="31" t="s">
        <v>1151</v>
      </c>
      <c r="E109" s="31" t="s">
        <v>4045</v>
      </c>
      <c r="F109" s="31" t="s">
        <v>4046</v>
      </c>
      <c r="G109" s="31" t="s">
        <v>4047</v>
      </c>
    </row>
    <row r="110" spans="1:7">
      <c r="A110" s="59">
        <v>107</v>
      </c>
      <c r="B110" s="59" t="s">
        <v>4044</v>
      </c>
      <c r="C110" s="31" t="s">
        <v>54</v>
      </c>
      <c r="D110" s="31" t="s">
        <v>347</v>
      </c>
      <c r="E110" s="31" t="s">
        <v>4045</v>
      </c>
      <c r="F110" s="31" t="s">
        <v>4046</v>
      </c>
      <c r="G110" s="31" t="s">
        <v>4047</v>
      </c>
    </row>
    <row r="111" spans="1:7">
      <c r="A111" s="59">
        <v>108</v>
      </c>
      <c r="B111" s="59" t="s">
        <v>4044</v>
      </c>
      <c r="C111" s="31" t="s">
        <v>54</v>
      </c>
      <c r="D111" s="31" t="s">
        <v>4048</v>
      </c>
      <c r="E111" s="31" t="s">
        <v>4045</v>
      </c>
      <c r="F111" s="31" t="s">
        <v>4046</v>
      </c>
      <c r="G111" s="31" t="s">
        <v>4047</v>
      </c>
    </row>
    <row r="112" spans="1:7">
      <c r="A112" s="59">
        <v>109</v>
      </c>
      <c r="B112" s="59" t="s">
        <v>4044</v>
      </c>
      <c r="C112" s="31" t="s">
        <v>54</v>
      </c>
      <c r="D112" s="31" t="s">
        <v>4049</v>
      </c>
      <c r="E112" s="31" t="s">
        <v>4045</v>
      </c>
      <c r="F112" s="31" t="s">
        <v>4046</v>
      </c>
      <c r="G112" s="31" t="s">
        <v>4047</v>
      </c>
    </row>
    <row r="113" spans="1:7">
      <c r="A113" s="59">
        <v>110</v>
      </c>
      <c r="B113" s="59" t="s">
        <v>4044</v>
      </c>
      <c r="C113" s="31" t="s">
        <v>54</v>
      </c>
      <c r="D113" s="31" t="s">
        <v>1081</v>
      </c>
      <c r="E113" s="31" t="s">
        <v>4045</v>
      </c>
      <c r="F113" s="31" t="s">
        <v>4046</v>
      </c>
      <c r="G113" s="31" t="s">
        <v>4047</v>
      </c>
    </row>
    <row r="114" spans="1:7">
      <c r="A114" s="59">
        <v>111</v>
      </c>
      <c r="B114" s="59" t="s">
        <v>4050</v>
      </c>
      <c r="C114" s="31" t="s">
        <v>60</v>
      </c>
      <c r="D114" s="31" t="s">
        <v>448</v>
      </c>
      <c r="E114" s="31" t="s">
        <v>4051</v>
      </c>
      <c r="F114" s="31" t="s">
        <v>4052</v>
      </c>
      <c r="G114" s="31" t="s">
        <v>4053</v>
      </c>
    </row>
    <row r="115" spans="1:7">
      <c r="A115" s="59">
        <v>112</v>
      </c>
      <c r="B115" s="59" t="s">
        <v>4050</v>
      </c>
      <c r="C115" s="31" t="s">
        <v>60</v>
      </c>
      <c r="D115" s="31" t="s">
        <v>740</v>
      </c>
      <c r="E115" s="31" t="s">
        <v>4051</v>
      </c>
      <c r="F115" s="31" t="s">
        <v>4052</v>
      </c>
      <c r="G115" s="31" t="s">
        <v>4053</v>
      </c>
    </row>
    <row r="116" spans="1:7">
      <c r="A116" s="59">
        <v>113</v>
      </c>
      <c r="B116" s="59" t="s">
        <v>4050</v>
      </c>
      <c r="C116" s="31" t="s">
        <v>60</v>
      </c>
      <c r="D116" s="31" t="s">
        <v>320</v>
      </c>
      <c r="E116" s="31" t="s">
        <v>4051</v>
      </c>
      <c r="F116" s="31" t="s">
        <v>4052</v>
      </c>
      <c r="G116" s="31" t="s">
        <v>4053</v>
      </c>
    </row>
    <row r="117" spans="1:7">
      <c r="A117" s="59">
        <v>114</v>
      </c>
      <c r="B117" s="59" t="s">
        <v>4050</v>
      </c>
      <c r="C117" s="31" t="s">
        <v>60</v>
      </c>
      <c r="D117" s="31" t="s">
        <v>510</v>
      </c>
      <c r="E117" s="31" t="s">
        <v>4051</v>
      </c>
      <c r="F117" s="31" t="s">
        <v>4052</v>
      </c>
      <c r="G117" s="31" t="s">
        <v>4053</v>
      </c>
    </row>
    <row r="118" spans="1:7">
      <c r="A118" s="59">
        <v>115</v>
      </c>
      <c r="B118" s="59" t="s">
        <v>4050</v>
      </c>
      <c r="C118" s="31" t="s">
        <v>60</v>
      </c>
      <c r="D118" s="31" t="s">
        <v>425</v>
      </c>
      <c r="E118" s="31" t="s">
        <v>4051</v>
      </c>
      <c r="F118" s="31" t="s">
        <v>4052</v>
      </c>
      <c r="G118" s="31" t="s">
        <v>4053</v>
      </c>
    </row>
    <row r="119" spans="1:7">
      <c r="A119" s="59">
        <v>116</v>
      </c>
      <c r="B119" s="59" t="s">
        <v>4050</v>
      </c>
      <c r="C119" s="31" t="s">
        <v>60</v>
      </c>
      <c r="D119" s="31" t="s">
        <v>574</v>
      </c>
      <c r="E119" s="31" t="s">
        <v>4051</v>
      </c>
      <c r="F119" s="31" t="s">
        <v>4052</v>
      </c>
      <c r="G119" s="31" t="s">
        <v>4053</v>
      </c>
    </row>
    <row r="120" spans="1:7">
      <c r="A120" s="59">
        <v>117</v>
      </c>
      <c r="B120" s="59" t="s">
        <v>4050</v>
      </c>
      <c r="C120" s="31" t="s">
        <v>60</v>
      </c>
      <c r="D120" s="31" t="s">
        <v>3929</v>
      </c>
      <c r="E120" s="31" t="s">
        <v>4051</v>
      </c>
      <c r="F120" s="31" t="s">
        <v>4052</v>
      </c>
      <c r="G120" s="31" t="s">
        <v>4053</v>
      </c>
    </row>
    <row r="121" spans="1:7">
      <c r="A121" s="59">
        <v>118</v>
      </c>
      <c r="B121" s="59" t="s">
        <v>4054</v>
      </c>
      <c r="C121" s="31" t="s">
        <v>4055</v>
      </c>
      <c r="D121" s="31" t="s">
        <v>416</v>
      </c>
      <c r="E121" s="31" t="s">
        <v>4056</v>
      </c>
      <c r="F121" s="31" t="s">
        <v>4057</v>
      </c>
      <c r="G121" s="31" t="s">
        <v>4058</v>
      </c>
    </row>
    <row r="122" spans="1:7">
      <c r="A122" s="59">
        <v>119</v>
      </c>
      <c r="B122" s="59" t="s">
        <v>4054</v>
      </c>
      <c r="C122" s="31" t="s">
        <v>4055</v>
      </c>
      <c r="D122" s="31" t="s">
        <v>758</v>
      </c>
      <c r="E122" s="31" t="s">
        <v>4056</v>
      </c>
      <c r="F122" s="31" t="s">
        <v>4057</v>
      </c>
      <c r="G122" s="31" t="s">
        <v>4058</v>
      </c>
    </row>
    <row r="123" spans="1:7">
      <c r="A123" s="59">
        <v>120</v>
      </c>
      <c r="B123" s="59" t="s">
        <v>4054</v>
      </c>
      <c r="C123" s="31" t="s">
        <v>4055</v>
      </c>
      <c r="D123" s="31" t="s">
        <v>426</v>
      </c>
      <c r="E123" s="31" t="s">
        <v>4056</v>
      </c>
      <c r="F123" s="31" t="s">
        <v>4057</v>
      </c>
      <c r="G123" s="31" t="s">
        <v>4058</v>
      </c>
    </row>
    <row r="124" spans="1:7">
      <c r="A124" s="59">
        <v>121</v>
      </c>
      <c r="B124" s="59" t="s">
        <v>4054</v>
      </c>
      <c r="C124" s="31" t="s">
        <v>4055</v>
      </c>
      <c r="D124" s="31" t="s">
        <v>575</v>
      </c>
      <c r="E124" s="31" t="s">
        <v>4056</v>
      </c>
      <c r="F124" s="31" t="s">
        <v>4057</v>
      </c>
      <c r="G124" s="31" t="s">
        <v>4058</v>
      </c>
    </row>
    <row r="125" spans="1:7">
      <c r="A125" s="59">
        <v>122</v>
      </c>
      <c r="B125" s="59" t="s">
        <v>4054</v>
      </c>
      <c r="C125" s="31" t="s">
        <v>4055</v>
      </c>
      <c r="D125" s="31" t="s">
        <v>904</v>
      </c>
      <c r="E125" s="31" t="s">
        <v>4056</v>
      </c>
      <c r="F125" s="31" t="s">
        <v>4057</v>
      </c>
      <c r="G125" s="31" t="s">
        <v>4058</v>
      </c>
    </row>
    <row r="126" spans="1:7">
      <c r="A126" s="59">
        <v>123</v>
      </c>
      <c r="B126" s="59" t="s">
        <v>4054</v>
      </c>
      <c r="C126" s="31" t="s">
        <v>4055</v>
      </c>
      <c r="D126" s="31" t="s">
        <v>321</v>
      </c>
      <c r="E126" s="31" t="s">
        <v>4056</v>
      </c>
      <c r="F126" s="31" t="s">
        <v>4057</v>
      </c>
      <c r="G126" s="31" t="s">
        <v>4058</v>
      </c>
    </row>
    <row r="127" spans="1:7">
      <c r="A127" s="59">
        <v>124</v>
      </c>
      <c r="B127" s="59" t="s">
        <v>4054</v>
      </c>
      <c r="C127" s="31" t="s">
        <v>4055</v>
      </c>
      <c r="D127" s="31" t="s">
        <v>449</v>
      </c>
      <c r="E127" s="31" t="s">
        <v>4056</v>
      </c>
      <c r="F127" s="31" t="s">
        <v>4057</v>
      </c>
      <c r="G127" s="31" t="s">
        <v>4058</v>
      </c>
    </row>
    <row r="128" spans="1:7">
      <c r="A128" s="59">
        <v>125</v>
      </c>
      <c r="B128" s="59" t="s">
        <v>4054</v>
      </c>
      <c r="C128" s="31" t="s">
        <v>4055</v>
      </c>
      <c r="D128" s="31" t="s">
        <v>1103</v>
      </c>
      <c r="E128" s="31" t="s">
        <v>4056</v>
      </c>
      <c r="F128" s="31" t="s">
        <v>4057</v>
      </c>
      <c r="G128" s="31" t="s">
        <v>4058</v>
      </c>
    </row>
    <row r="129" spans="1:7">
      <c r="A129" s="59">
        <v>126</v>
      </c>
      <c r="B129" s="59" t="s">
        <v>4054</v>
      </c>
      <c r="C129" s="31" t="s">
        <v>4055</v>
      </c>
      <c r="D129" s="31" t="s">
        <v>1055</v>
      </c>
      <c r="E129" s="31" t="s">
        <v>4056</v>
      </c>
      <c r="F129" s="31" t="s">
        <v>4057</v>
      </c>
      <c r="G129" s="31" t="s">
        <v>4058</v>
      </c>
    </row>
    <row r="130" spans="1:7">
      <c r="A130" s="59">
        <v>127</v>
      </c>
      <c r="B130" s="59" t="s">
        <v>4059</v>
      </c>
      <c r="C130" s="31" t="s">
        <v>4060</v>
      </c>
      <c r="D130" s="31" t="s">
        <v>312</v>
      </c>
      <c r="E130" s="31" t="s">
        <v>4061</v>
      </c>
      <c r="F130" s="31" t="s">
        <v>4062</v>
      </c>
      <c r="G130" s="31" t="s">
        <v>4063</v>
      </c>
    </row>
    <row r="131" spans="1:7">
      <c r="A131" s="59">
        <v>128</v>
      </c>
      <c r="B131" s="59" t="s">
        <v>4059</v>
      </c>
      <c r="C131" s="31" t="s">
        <v>4060</v>
      </c>
      <c r="D131" s="31" t="s">
        <v>380</v>
      </c>
      <c r="E131" s="31" t="s">
        <v>4061</v>
      </c>
      <c r="F131" s="31" t="s">
        <v>4062</v>
      </c>
      <c r="G131" s="31" t="s">
        <v>4063</v>
      </c>
    </row>
    <row r="132" spans="1:7">
      <c r="A132" s="59">
        <v>129</v>
      </c>
      <c r="B132" s="59" t="s">
        <v>4059</v>
      </c>
      <c r="C132" s="31" t="s">
        <v>4060</v>
      </c>
      <c r="D132" s="31" t="s">
        <v>421</v>
      </c>
      <c r="E132" s="31" t="s">
        <v>4061</v>
      </c>
      <c r="F132" s="31" t="s">
        <v>4062</v>
      </c>
      <c r="G132" s="31" t="s">
        <v>4063</v>
      </c>
    </row>
    <row r="133" spans="1:7">
      <c r="A133" s="59">
        <v>130</v>
      </c>
      <c r="B133" s="59" t="s">
        <v>4059</v>
      </c>
      <c r="C133" s="31" t="s">
        <v>4060</v>
      </c>
      <c r="D133" s="31" t="s">
        <v>440</v>
      </c>
      <c r="E133" s="31" t="s">
        <v>4061</v>
      </c>
      <c r="F133" s="31" t="s">
        <v>4062</v>
      </c>
      <c r="G133" s="31" t="s">
        <v>4063</v>
      </c>
    </row>
    <row r="134" spans="1:7">
      <c r="A134" s="59">
        <v>131</v>
      </c>
      <c r="B134" s="59" t="s">
        <v>4059</v>
      </c>
      <c r="C134" s="31" t="s">
        <v>4060</v>
      </c>
      <c r="D134" s="31" t="s">
        <v>669</v>
      </c>
      <c r="E134" s="31" t="s">
        <v>4061</v>
      </c>
      <c r="F134" s="31" t="s">
        <v>4062</v>
      </c>
      <c r="G134" s="31" t="s">
        <v>4063</v>
      </c>
    </row>
    <row r="135" spans="1:7">
      <c r="A135" s="59">
        <v>132</v>
      </c>
      <c r="B135" s="59" t="s">
        <v>4059</v>
      </c>
      <c r="C135" s="31" t="s">
        <v>4060</v>
      </c>
      <c r="D135" s="31" t="s">
        <v>736</v>
      </c>
      <c r="E135" s="31" t="s">
        <v>4061</v>
      </c>
      <c r="F135" s="31" t="s">
        <v>4062</v>
      </c>
      <c r="G135" s="31" t="s">
        <v>4063</v>
      </c>
    </row>
    <row r="136" spans="1:7">
      <c r="A136" s="59">
        <v>133</v>
      </c>
      <c r="B136" s="59" t="s">
        <v>4059</v>
      </c>
      <c r="C136" s="31" t="s">
        <v>4060</v>
      </c>
      <c r="D136" s="31" t="s">
        <v>132</v>
      </c>
      <c r="E136" s="31" t="s">
        <v>4061</v>
      </c>
      <c r="F136" s="31" t="s">
        <v>4062</v>
      </c>
      <c r="G136" s="31" t="s">
        <v>4063</v>
      </c>
    </row>
    <row r="137" spans="1:7">
      <c r="A137" s="59">
        <v>134</v>
      </c>
      <c r="B137" s="59" t="s">
        <v>4059</v>
      </c>
      <c r="C137" s="31" t="s">
        <v>4060</v>
      </c>
      <c r="D137" s="31" t="s">
        <v>899</v>
      </c>
      <c r="E137" s="31" t="s">
        <v>4061</v>
      </c>
      <c r="F137" s="31" t="s">
        <v>4062</v>
      </c>
      <c r="G137" s="31" t="s">
        <v>4063</v>
      </c>
    </row>
    <row r="138" spans="1:7">
      <c r="A138" s="59">
        <v>135</v>
      </c>
      <c r="B138" s="59" t="s">
        <v>4059</v>
      </c>
      <c r="C138" s="31" t="s">
        <v>4060</v>
      </c>
      <c r="D138" s="31" t="s">
        <v>565</v>
      </c>
      <c r="E138" s="31" t="s">
        <v>4061</v>
      </c>
      <c r="F138" s="31" t="s">
        <v>4062</v>
      </c>
      <c r="G138" s="31" t="s">
        <v>4063</v>
      </c>
    </row>
    <row r="139" spans="1:7">
      <c r="A139" s="59">
        <v>136</v>
      </c>
      <c r="B139" s="59" t="s">
        <v>4059</v>
      </c>
      <c r="C139" s="31" t="s">
        <v>4060</v>
      </c>
      <c r="D139" s="31" t="s">
        <v>143</v>
      </c>
      <c r="E139" s="31" t="s">
        <v>4061</v>
      </c>
      <c r="F139" s="31" t="s">
        <v>4062</v>
      </c>
      <c r="G139" s="31" t="s">
        <v>4063</v>
      </c>
    </row>
    <row r="140" spans="1:7">
      <c r="A140" s="59">
        <v>137</v>
      </c>
      <c r="B140" s="59" t="s">
        <v>4059</v>
      </c>
      <c r="C140" s="31" t="s">
        <v>4060</v>
      </c>
      <c r="D140" s="31" t="s">
        <v>1050</v>
      </c>
      <c r="E140" s="31" t="s">
        <v>4061</v>
      </c>
      <c r="F140" s="31" t="s">
        <v>4062</v>
      </c>
      <c r="G140" s="31" t="s">
        <v>4063</v>
      </c>
    </row>
    <row r="141" spans="1:7">
      <c r="A141" s="59">
        <v>138</v>
      </c>
      <c r="B141" s="59" t="s">
        <v>4059</v>
      </c>
      <c r="C141" s="31" t="s">
        <v>4060</v>
      </c>
      <c r="D141" s="31" t="s">
        <v>1100</v>
      </c>
      <c r="E141" s="31" t="s">
        <v>4061</v>
      </c>
      <c r="F141" s="31" t="s">
        <v>4062</v>
      </c>
      <c r="G141" s="31" t="s">
        <v>4063</v>
      </c>
    </row>
    <row r="142" spans="1:7">
      <c r="A142" s="59">
        <v>139</v>
      </c>
      <c r="B142" s="59" t="s">
        <v>4059</v>
      </c>
      <c r="C142" s="31" t="s">
        <v>4060</v>
      </c>
      <c r="D142" s="31" t="s">
        <v>1210</v>
      </c>
      <c r="E142" s="31" t="s">
        <v>4061</v>
      </c>
      <c r="F142" s="31" t="s">
        <v>4062</v>
      </c>
      <c r="G142" s="31" t="s">
        <v>4063</v>
      </c>
    </row>
    <row r="143" spans="1:7">
      <c r="A143" s="59">
        <v>140</v>
      </c>
      <c r="B143" s="59" t="s">
        <v>4059</v>
      </c>
      <c r="C143" s="31" t="s">
        <v>4060</v>
      </c>
      <c r="D143" s="31" t="s">
        <v>1263</v>
      </c>
      <c r="E143" s="31" t="s">
        <v>4061</v>
      </c>
      <c r="F143" s="31" t="s">
        <v>4062</v>
      </c>
      <c r="G143" s="31" t="s">
        <v>4063</v>
      </c>
    </row>
    <row r="144" spans="1:7">
      <c r="A144" s="59">
        <v>141</v>
      </c>
      <c r="B144" s="59" t="s">
        <v>4059</v>
      </c>
      <c r="C144" s="31" t="s">
        <v>4060</v>
      </c>
      <c r="D144" s="31" t="s">
        <v>1277</v>
      </c>
      <c r="E144" s="31" t="s">
        <v>4061</v>
      </c>
      <c r="F144" s="31" t="s">
        <v>4062</v>
      </c>
      <c r="G144" s="31" t="s">
        <v>4063</v>
      </c>
    </row>
    <row r="145" spans="1:7">
      <c r="A145" s="59">
        <v>142</v>
      </c>
      <c r="B145" s="59" t="s">
        <v>4059</v>
      </c>
      <c r="C145" s="31" t="s">
        <v>4060</v>
      </c>
      <c r="D145" s="31" t="s">
        <v>1298</v>
      </c>
      <c r="E145" s="31" t="s">
        <v>4061</v>
      </c>
      <c r="F145" s="31" t="s">
        <v>4062</v>
      </c>
      <c r="G145" s="31" t="s">
        <v>4063</v>
      </c>
    </row>
    <row r="146" spans="1:7">
      <c r="A146" s="59">
        <v>143</v>
      </c>
      <c r="B146" s="59" t="s">
        <v>4059</v>
      </c>
      <c r="C146" s="31" t="s">
        <v>4060</v>
      </c>
      <c r="D146" s="31" t="s">
        <v>1351</v>
      </c>
      <c r="E146" s="31" t="s">
        <v>4061</v>
      </c>
      <c r="F146" s="31" t="s">
        <v>4062</v>
      </c>
      <c r="G146" s="31" t="s">
        <v>4063</v>
      </c>
    </row>
    <row r="147" spans="1:7">
      <c r="A147" s="59">
        <v>144</v>
      </c>
      <c r="B147" s="59" t="s">
        <v>4059</v>
      </c>
      <c r="C147" s="31" t="s">
        <v>4060</v>
      </c>
      <c r="D147" s="31" t="s">
        <v>1471</v>
      </c>
      <c r="E147" s="31" t="s">
        <v>4061</v>
      </c>
      <c r="F147" s="31" t="s">
        <v>4062</v>
      </c>
      <c r="G147" s="31" t="s">
        <v>4063</v>
      </c>
    </row>
    <row r="148" spans="1:7">
      <c r="A148" s="59">
        <v>145</v>
      </c>
      <c r="B148" s="59" t="s">
        <v>4059</v>
      </c>
      <c r="C148" s="31" t="s">
        <v>4060</v>
      </c>
      <c r="D148" s="31" t="s">
        <v>1508</v>
      </c>
      <c r="E148" s="31" t="s">
        <v>4061</v>
      </c>
      <c r="F148" s="31" t="s">
        <v>4062</v>
      </c>
      <c r="G148" s="31" t="s">
        <v>4063</v>
      </c>
    </row>
    <row r="149" spans="1:7">
      <c r="A149" s="59">
        <v>146</v>
      </c>
      <c r="B149" s="59" t="s">
        <v>4059</v>
      </c>
      <c r="C149" s="31" t="s">
        <v>4060</v>
      </c>
      <c r="D149" s="31" t="s">
        <v>1545</v>
      </c>
      <c r="E149" s="31" t="s">
        <v>4061</v>
      </c>
      <c r="F149" s="31" t="s">
        <v>4062</v>
      </c>
      <c r="G149" s="31" t="s">
        <v>4063</v>
      </c>
    </row>
    <row r="150" spans="1:7">
      <c r="A150" s="59">
        <v>147</v>
      </c>
      <c r="B150" s="59" t="s">
        <v>4064</v>
      </c>
      <c r="C150" s="31" t="s">
        <v>4065</v>
      </c>
      <c r="D150" s="31" t="s">
        <v>322</v>
      </c>
      <c r="E150" s="31" t="s">
        <v>4066</v>
      </c>
      <c r="F150" s="31" t="s">
        <v>4067</v>
      </c>
      <c r="G150" s="31" t="s">
        <v>4068</v>
      </c>
    </row>
    <row r="151" spans="1:7">
      <c r="A151" s="59">
        <v>148</v>
      </c>
      <c r="B151" s="59" t="s">
        <v>4064</v>
      </c>
      <c r="C151" s="31" t="s">
        <v>4065</v>
      </c>
      <c r="D151" s="31" t="s">
        <v>434</v>
      </c>
      <c r="E151" s="31" t="s">
        <v>4066</v>
      </c>
      <c r="F151" s="31" t="s">
        <v>4067</v>
      </c>
      <c r="G151" s="31" t="s">
        <v>4068</v>
      </c>
    </row>
    <row r="152" spans="1:7">
      <c r="A152" s="59">
        <v>149</v>
      </c>
      <c r="B152" s="59" t="s">
        <v>4069</v>
      </c>
      <c r="C152" s="31" t="s">
        <v>4070</v>
      </c>
      <c r="D152" s="31" t="s">
        <v>4071</v>
      </c>
      <c r="E152" s="31" t="s">
        <v>4072</v>
      </c>
      <c r="F152" s="31" t="s">
        <v>4073</v>
      </c>
      <c r="G152" s="31" t="s">
        <v>4074</v>
      </c>
    </row>
    <row r="153" spans="1:7">
      <c r="A153" s="59">
        <v>150</v>
      </c>
      <c r="B153" s="59" t="s">
        <v>4069</v>
      </c>
      <c r="C153" s="31" t="s">
        <v>4070</v>
      </c>
      <c r="D153" s="31" t="s">
        <v>4075</v>
      </c>
      <c r="E153" s="31" t="s">
        <v>4072</v>
      </c>
      <c r="F153" s="31" t="s">
        <v>4073</v>
      </c>
      <c r="G153" s="31" t="s">
        <v>4074</v>
      </c>
    </row>
    <row r="154" spans="1:7">
      <c r="A154" s="59">
        <v>151</v>
      </c>
      <c r="B154" s="59" t="s">
        <v>4069</v>
      </c>
      <c r="C154" s="31" t="s">
        <v>4070</v>
      </c>
      <c r="D154" s="31" t="s">
        <v>4076</v>
      </c>
      <c r="E154" s="31" t="s">
        <v>4072</v>
      </c>
      <c r="F154" s="31" t="s">
        <v>4073</v>
      </c>
      <c r="G154" s="31" t="s">
        <v>4074</v>
      </c>
    </row>
    <row r="155" spans="1:7">
      <c r="A155" s="59">
        <v>152</v>
      </c>
      <c r="B155" s="59" t="s">
        <v>4069</v>
      </c>
      <c r="C155" s="31" t="s">
        <v>4070</v>
      </c>
      <c r="D155" s="31" t="s">
        <v>4077</v>
      </c>
      <c r="E155" s="31" t="s">
        <v>4072</v>
      </c>
      <c r="F155" s="31" t="s">
        <v>4073</v>
      </c>
      <c r="G155" s="31" t="s">
        <v>4074</v>
      </c>
    </row>
    <row r="156" spans="1:7">
      <c r="A156" s="59">
        <v>153</v>
      </c>
      <c r="B156" s="59" t="s">
        <v>4069</v>
      </c>
      <c r="C156" s="31" t="s">
        <v>4070</v>
      </c>
      <c r="D156" s="31" t="s">
        <v>4078</v>
      </c>
      <c r="E156" s="31" t="s">
        <v>4072</v>
      </c>
      <c r="F156" s="31" t="s">
        <v>4073</v>
      </c>
      <c r="G156" s="31" t="s">
        <v>4074</v>
      </c>
    </row>
    <row r="157" spans="1:7">
      <c r="A157" s="59">
        <v>154</v>
      </c>
      <c r="B157" s="59" t="s">
        <v>4069</v>
      </c>
      <c r="C157" s="31" t="s">
        <v>4070</v>
      </c>
      <c r="D157" s="31" t="s">
        <v>4079</v>
      </c>
      <c r="E157" s="31" t="s">
        <v>4072</v>
      </c>
      <c r="F157" s="31" t="s">
        <v>4073</v>
      </c>
      <c r="G157" s="31" t="s">
        <v>4074</v>
      </c>
    </row>
    <row r="158" spans="1:7">
      <c r="A158" s="59">
        <v>155</v>
      </c>
      <c r="B158" s="59" t="s">
        <v>4069</v>
      </c>
      <c r="C158" s="31" t="s">
        <v>4070</v>
      </c>
      <c r="D158" s="31" t="s">
        <v>4080</v>
      </c>
      <c r="E158" s="31" t="s">
        <v>4072</v>
      </c>
      <c r="F158" s="31" t="s">
        <v>4073</v>
      </c>
      <c r="G158" s="31" t="s">
        <v>4074</v>
      </c>
    </row>
    <row r="159" spans="1:7">
      <c r="A159" s="59">
        <v>156</v>
      </c>
      <c r="B159" s="59" t="s">
        <v>4069</v>
      </c>
      <c r="C159" s="31" t="s">
        <v>4070</v>
      </c>
      <c r="D159" s="31" t="s">
        <v>4081</v>
      </c>
      <c r="E159" s="31" t="s">
        <v>4072</v>
      </c>
      <c r="F159" s="31" t="s">
        <v>4073</v>
      </c>
      <c r="G159" s="31" t="s">
        <v>4074</v>
      </c>
    </row>
    <row r="160" spans="1:7">
      <c r="A160" s="59">
        <v>157</v>
      </c>
      <c r="B160" s="59" t="s">
        <v>4082</v>
      </c>
      <c r="C160" s="31" t="s">
        <v>1158</v>
      </c>
      <c r="D160" s="31" t="s">
        <v>4083</v>
      </c>
      <c r="E160" s="31" t="s">
        <v>4084</v>
      </c>
      <c r="F160" s="31" t="s">
        <v>4085</v>
      </c>
      <c r="G160" s="31" t="s">
        <v>4086</v>
      </c>
    </row>
    <row r="161" spans="1:7">
      <c r="A161" s="59">
        <v>158</v>
      </c>
      <c r="B161" s="59" t="s">
        <v>4082</v>
      </c>
      <c r="C161" s="31" t="s">
        <v>1158</v>
      </c>
      <c r="D161" s="31" t="s">
        <v>4087</v>
      </c>
      <c r="E161" s="31" t="s">
        <v>4084</v>
      </c>
      <c r="F161" s="31" t="s">
        <v>4085</v>
      </c>
      <c r="G161" s="31" t="s">
        <v>4086</v>
      </c>
    </row>
    <row r="162" spans="1:7">
      <c r="A162" s="59">
        <v>159</v>
      </c>
      <c r="B162" s="59" t="s">
        <v>4082</v>
      </c>
      <c r="C162" s="31" t="s">
        <v>1158</v>
      </c>
      <c r="D162" s="31" t="s">
        <v>4088</v>
      </c>
      <c r="E162" s="31" t="s">
        <v>4084</v>
      </c>
      <c r="F162" s="31" t="s">
        <v>4085</v>
      </c>
      <c r="G162" s="31" t="s">
        <v>4086</v>
      </c>
    </row>
    <row r="163" spans="1:7">
      <c r="A163" s="59">
        <v>160</v>
      </c>
      <c r="B163" s="59" t="s">
        <v>4082</v>
      </c>
      <c r="C163" s="31" t="s">
        <v>1158</v>
      </c>
      <c r="D163" s="31" t="s">
        <v>4089</v>
      </c>
      <c r="E163" s="31" t="s">
        <v>4084</v>
      </c>
      <c r="F163" s="31" t="s">
        <v>4085</v>
      </c>
      <c r="G163" s="31" t="s">
        <v>4086</v>
      </c>
    </row>
    <row r="164" spans="1:7">
      <c r="A164" s="59">
        <v>161</v>
      </c>
      <c r="B164" s="59" t="s">
        <v>4082</v>
      </c>
      <c r="C164" s="31" t="s">
        <v>1158</v>
      </c>
      <c r="D164" s="31" t="s">
        <v>4090</v>
      </c>
      <c r="E164" s="31" t="s">
        <v>4084</v>
      </c>
      <c r="F164" s="31" t="s">
        <v>4085</v>
      </c>
      <c r="G164" s="31" t="s">
        <v>4086</v>
      </c>
    </row>
    <row r="165" spans="1:7">
      <c r="A165" s="59">
        <v>162</v>
      </c>
      <c r="B165" s="59" t="s">
        <v>4091</v>
      </c>
      <c r="C165" s="31" t="s">
        <v>4092</v>
      </c>
      <c r="D165" s="31" t="s">
        <v>4093</v>
      </c>
      <c r="E165" s="31" t="s">
        <v>4094</v>
      </c>
      <c r="F165" s="31" t="s">
        <v>4095</v>
      </c>
      <c r="G165" s="31" t="s">
        <v>4096</v>
      </c>
    </row>
    <row r="166" spans="1:7">
      <c r="A166" s="59">
        <v>163</v>
      </c>
      <c r="B166" s="59" t="s">
        <v>4091</v>
      </c>
      <c r="C166" s="31" t="s">
        <v>4092</v>
      </c>
      <c r="D166" s="31" t="s">
        <v>4097</v>
      </c>
      <c r="E166" s="31" t="s">
        <v>4094</v>
      </c>
      <c r="F166" s="31" t="s">
        <v>4095</v>
      </c>
      <c r="G166" s="31" t="s">
        <v>4096</v>
      </c>
    </row>
    <row r="167" spans="1:7">
      <c r="A167" s="59">
        <v>164</v>
      </c>
      <c r="B167" s="59" t="s">
        <v>4091</v>
      </c>
      <c r="C167" s="31" t="s">
        <v>4092</v>
      </c>
      <c r="D167" s="31" t="s">
        <v>4098</v>
      </c>
      <c r="E167" s="31" t="s">
        <v>4094</v>
      </c>
      <c r="F167" s="31" t="s">
        <v>4095</v>
      </c>
      <c r="G167" s="31" t="s">
        <v>4096</v>
      </c>
    </row>
    <row r="168" spans="1:7">
      <c r="A168" s="59">
        <v>165</v>
      </c>
      <c r="B168" s="59" t="s">
        <v>4091</v>
      </c>
      <c r="C168" s="31" t="s">
        <v>4092</v>
      </c>
      <c r="D168" s="31" t="s">
        <v>4099</v>
      </c>
      <c r="E168" s="31" t="s">
        <v>4094</v>
      </c>
      <c r="F168" s="31" t="s">
        <v>4095</v>
      </c>
      <c r="G168" s="31" t="s">
        <v>4096</v>
      </c>
    </row>
    <row r="169" spans="1:7">
      <c r="A169" s="59">
        <v>166</v>
      </c>
      <c r="B169" s="59" t="s">
        <v>4091</v>
      </c>
      <c r="C169" s="31" t="s">
        <v>4092</v>
      </c>
      <c r="D169" s="31" t="s">
        <v>4100</v>
      </c>
      <c r="E169" s="31" t="s">
        <v>4094</v>
      </c>
      <c r="F169" s="31" t="s">
        <v>4095</v>
      </c>
      <c r="G169" s="31" t="s">
        <v>4096</v>
      </c>
    </row>
    <row r="170" spans="1:7">
      <c r="A170" s="59">
        <v>167</v>
      </c>
      <c r="B170" s="59" t="s">
        <v>4101</v>
      </c>
      <c r="C170" s="31" t="s">
        <v>4102</v>
      </c>
      <c r="D170" s="31" t="s">
        <v>4103</v>
      </c>
      <c r="E170" s="31" t="s">
        <v>4104</v>
      </c>
      <c r="F170" s="31" t="s">
        <v>4105</v>
      </c>
      <c r="G170" s="31" t="s">
        <v>4106</v>
      </c>
    </row>
    <row r="171" spans="1:7">
      <c r="A171" s="59">
        <v>168</v>
      </c>
      <c r="B171" s="59" t="s">
        <v>4101</v>
      </c>
      <c r="C171" s="31" t="s">
        <v>4102</v>
      </c>
      <c r="D171" s="31" t="s">
        <v>4107</v>
      </c>
      <c r="E171" s="31" t="s">
        <v>4104</v>
      </c>
      <c r="F171" s="31" t="s">
        <v>4105</v>
      </c>
      <c r="G171" s="31" t="s">
        <v>4106</v>
      </c>
    </row>
    <row r="172" spans="1:7">
      <c r="A172" s="59">
        <v>169</v>
      </c>
      <c r="B172" s="59" t="s">
        <v>4101</v>
      </c>
      <c r="C172" s="31" t="s">
        <v>4102</v>
      </c>
      <c r="D172" s="31" t="s">
        <v>4108</v>
      </c>
      <c r="E172" s="31" t="s">
        <v>4104</v>
      </c>
      <c r="F172" s="31" t="s">
        <v>4105</v>
      </c>
      <c r="G172" s="31" t="s">
        <v>4106</v>
      </c>
    </row>
    <row r="173" spans="1:7">
      <c r="A173" s="59">
        <v>170</v>
      </c>
      <c r="B173" s="59" t="s">
        <v>4109</v>
      </c>
      <c r="C173" s="31" t="s">
        <v>4110</v>
      </c>
      <c r="D173" s="31" t="s">
        <v>4111</v>
      </c>
      <c r="E173" s="31" t="s">
        <v>4112</v>
      </c>
      <c r="F173" s="31" t="s">
        <v>4113</v>
      </c>
      <c r="G173" s="31" t="s">
        <v>4114</v>
      </c>
    </row>
    <row r="174" spans="1:7">
      <c r="A174" s="59">
        <v>171</v>
      </c>
      <c r="B174" s="59" t="s">
        <v>4109</v>
      </c>
      <c r="C174" s="31" t="s">
        <v>4110</v>
      </c>
      <c r="D174" s="31" t="s">
        <v>3973</v>
      </c>
      <c r="E174" s="31" t="s">
        <v>4112</v>
      </c>
      <c r="F174" s="31" t="s">
        <v>4113</v>
      </c>
      <c r="G174" s="31" t="s">
        <v>4114</v>
      </c>
    </row>
    <row r="175" spans="1:7">
      <c r="A175" s="59">
        <v>172</v>
      </c>
      <c r="B175" s="59" t="s">
        <v>4109</v>
      </c>
      <c r="C175" s="31" t="s">
        <v>4110</v>
      </c>
      <c r="D175" s="31" t="s">
        <v>4115</v>
      </c>
      <c r="E175" s="31" t="s">
        <v>4112</v>
      </c>
      <c r="F175" s="31" t="s">
        <v>4113</v>
      </c>
      <c r="G175" s="31" t="s">
        <v>4114</v>
      </c>
    </row>
    <row r="176" spans="1:7">
      <c r="A176" s="59">
        <v>173</v>
      </c>
      <c r="B176" s="59" t="s">
        <v>4109</v>
      </c>
      <c r="C176" s="31" t="s">
        <v>4110</v>
      </c>
      <c r="D176" s="31" t="s">
        <v>4116</v>
      </c>
      <c r="E176" s="31" t="s">
        <v>4112</v>
      </c>
      <c r="F176" s="31" t="s">
        <v>4113</v>
      </c>
      <c r="G176" s="31" t="s">
        <v>4114</v>
      </c>
    </row>
    <row r="177" spans="1:7">
      <c r="A177" s="59">
        <v>174</v>
      </c>
      <c r="B177" s="59" t="s">
        <v>4109</v>
      </c>
      <c r="C177" s="31" t="s">
        <v>4110</v>
      </c>
      <c r="D177" s="31" t="s">
        <v>4117</v>
      </c>
      <c r="E177" s="31" t="s">
        <v>4112</v>
      </c>
      <c r="F177" s="31" t="s">
        <v>4113</v>
      </c>
      <c r="G177" s="31" t="s">
        <v>4114</v>
      </c>
    </row>
    <row r="178" spans="1:7">
      <c r="A178" s="59">
        <v>175</v>
      </c>
      <c r="B178" s="59" t="s">
        <v>4109</v>
      </c>
      <c r="C178" s="31" t="s">
        <v>4110</v>
      </c>
      <c r="D178" s="31" t="s">
        <v>4118</v>
      </c>
      <c r="E178" s="31" t="s">
        <v>4112</v>
      </c>
      <c r="F178" s="31" t="s">
        <v>4113</v>
      </c>
      <c r="G178" s="31" t="s">
        <v>4114</v>
      </c>
    </row>
    <row r="179" spans="1:7">
      <c r="A179" s="59">
        <v>176</v>
      </c>
      <c r="B179" s="59" t="s">
        <v>4109</v>
      </c>
      <c r="C179" s="31" t="s">
        <v>4110</v>
      </c>
      <c r="D179" s="31" t="s">
        <v>4119</v>
      </c>
      <c r="E179" s="31" t="s">
        <v>4112</v>
      </c>
      <c r="F179" s="31" t="s">
        <v>4113</v>
      </c>
      <c r="G179" s="31" t="s">
        <v>4114</v>
      </c>
    </row>
    <row r="180" spans="1:7">
      <c r="A180" s="59">
        <v>177</v>
      </c>
      <c r="B180" s="59" t="s">
        <v>4109</v>
      </c>
      <c r="C180" s="31" t="s">
        <v>4110</v>
      </c>
      <c r="D180" s="31" t="s">
        <v>4120</v>
      </c>
      <c r="E180" s="31" t="s">
        <v>4112</v>
      </c>
      <c r="F180" s="31" t="s">
        <v>4113</v>
      </c>
      <c r="G180" s="31" t="s">
        <v>4114</v>
      </c>
    </row>
    <row r="181" spans="1:7">
      <c r="A181" s="59">
        <v>178</v>
      </c>
      <c r="B181" s="59" t="s">
        <v>4109</v>
      </c>
      <c r="C181" s="31" t="s">
        <v>4110</v>
      </c>
      <c r="D181" s="31" t="s">
        <v>4121</v>
      </c>
      <c r="E181" s="31" t="s">
        <v>4112</v>
      </c>
      <c r="F181" s="31" t="s">
        <v>4113</v>
      </c>
      <c r="G181" s="31" t="s">
        <v>4114</v>
      </c>
    </row>
    <row r="182" spans="1:7">
      <c r="A182" s="59">
        <v>179</v>
      </c>
      <c r="B182" s="59" t="s">
        <v>4109</v>
      </c>
      <c r="C182" s="31" t="s">
        <v>4110</v>
      </c>
      <c r="D182" s="31" t="s">
        <v>4081</v>
      </c>
      <c r="E182" s="31" t="s">
        <v>4112</v>
      </c>
      <c r="F182" s="31" t="s">
        <v>4113</v>
      </c>
      <c r="G182" s="31" t="s">
        <v>4114</v>
      </c>
    </row>
    <row r="183" spans="1:7">
      <c r="A183" s="59">
        <v>180</v>
      </c>
      <c r="B183" s="59" t="s">
        <v>4122</v>
      </c>
      <c r="C183" s="31" t="s">
        <v>4123</v>
      </c>
      <c r="D183" s="31" t="s">
        <v>1470</v>
      </c>
      <c r="E183" s="31" t="s">
        <v>4124</v>
      </c>
      <c r="F183" s="31" t="s">
        <v>4125</v>
      </c>
      <c r="G183" s="31" t="s">
        <v>4126</v>
      </c>
    </row>
    <row r="184" spans="1:7">
      <c r="A184" s="59">
        <v>181</v>
      </c>
      <c r="B184" s="59" t="s">
        <v>4122</v>
      </c>
      <c r="C184" s="31" t="s">
        <v>4123</v>
      </c>
      <c r="D184" s="31" t="s">
        <v>1477</v>
      </c>
      <c r="E184" s="31" t="s">
        <v>4124</v>
      </c>
      <c r="F184" s="31" t="s">
        <v>4125</v>
      </c>
      <c r="G184" s="31" t="s">
        <v>4126</v>
      </c>
    </row>
    <row r="185" spans="1:7">
      <c r="A185" s="59">
        <v>182</v>
      </c>
      <c r="B185" s="59" t="s">
        <v>4122</v>
      </c>
      <c r="C185" s="31" t="s">
        <v>4123</v>
      </c>
      <c r="D185" s="31" t="s">
        <v>1483</v>
      </c>
      <c r="E185" s="31" t="s">
        <v>4124</v>
      </c>
      <c r="F185" s="31" t="s">
        <v>4125</v>
      </c>
      <c r="G185" s="31" t="s">
        <v>4126</v>
      </c>
    </row>
    <row r="186" spans="1:7">
      <c r="A186" s="59">
        <v>183</v>
      </c>
      <c r="B186" s="59" t="s">
        <v>4122</v>
      </c>
      <c r="C186" s="31" t="s">
        <v>4123</v>
      </c>
      <c r="D186" s="31" t="s">
        <v>1489</v>
      </c>
      <c r="E186" s="31" t="s">
        <v>4124</v>
      </c>
      <c r="F186" s="31" t="s">
        <v>4125</v>
      </c>
      <c r="G186" s="31" t="s">
        <v>4126</v>
      </c>
    </row>
    <row r="187" spans="1:7">
      <c r="A187" s="59">
        <v>184</v>
      </c>
      <c r="B187" s="59" t="s">
        <v>4122</v>
      </c>
      <c r="C187" s="31" t="s">
        <v>4123</v>
      </c>
      <c r="D187" s="31" t="s">
        <v>1495</v>
      </c>
      <c r="E187" s="31" t="s">
        <v>4124</v>
      </c>
      <c r="F187" s="31" t="s">
        <v>4125</v>
      </c>
      <c r="G187" s="31" t="s">
        <v>4126</v>
      </c>
    </row>
    <row r="188" spans="1:7">
      <c r="A188" s="59">
        <v>185</v>
      </c>
      <c r="B188" s="59" t="s">
        <v>4122</v>
      </c>
      <c r="C188" s="31" t="s">
        <v>4123</v>
      </c>
      <c r="D188" s="31" t="s">
        <v>1501</v>
      </c>
      <c r="E188" s="31" t="s">
        <v>4124</v>
      </c>
      <c r="F188" s="31" t="s">
        <v>4125</v>
      </c>
      <c r="G188" s="31" t="s">
        <v>4126</v>
      </c>
    </row>
  </sheetData>
  <autoFilter ref="A3:G188"/>
  <mergeCells count="2">
    <mergeCell ref="A2:G2"/>
    <mergeCell ref="A1:G1"/>
  </mergeCells>
  <printOptions horizontalCentered="1"/>
  <pageMargins left="0.28" right="0.28" top="0.4" bottom="0.4" header="0.5" footer="0.5"/>
  <pageSetup paperSize="9" fitToWidth="1" fitToHeight="0" orientation="landscape"/>
</worksheet>
</file>

<file path=xl/worksheets/sheet8.xml><?xml version="1.0" encoding="utf-8"?>
<worksheet xmlns="http://schemas.openxmlformats.org/spreadsheetml/2006/main">
  <sheetPr>
    <tabColor rgb="FFC00000"/>
    <outlinePr summaryBelow="1" summaryRight="1"/>
    <pageSetUpPr fitToPage="1"/>
  </sheetPr>
  <dimension ref="L102"/>
  <sheetViews>
    <sheetView showGridLines="1" workbookViewId="0">
      <pane xSplit="3" ySplit="3" topLeftCell="D4" activePane="bottomRight" state="frozen"/>
    </sheetView>
  </sheetViews>
  <sheetFormatPr baseColWidth="8" defaultRowHeight="15"/>
  <cols>
    <col min="1" max="1" width="5" customWidth="1"/>
    <col min="2" max="2" width="22" customWidth="1"/>
    <col min="3" max="3" width="10" customWidth="1"/>
    <col min="4" max="4" width="42" customWidth="1"/>
    <col min="5" max="5" width="14" customWidth="1"/>
    <col min="6" max="6" width="14" customWidth="1"/>
    <col min="7" max="7" width="24" customWidth="1"/>
    <col min="8" max="8" width="14" customWidth="1"/>
    <col min="9" max="9" width="30" customWidth="1"/>
    <col min="10" max="10" width="30" customWidth="1"/>
    <col min="11" max="11" width="10" customWidth="1"/>
    <col min="12" max="12" width="70" customWidth="1"/>
  </cols>
  <sheetData>
    <row r="1" spans="1:1" ht="30" customHeight="1">
      <c r="A1" s="4" t="s">
        <v>4127</v>
      </c>
    </row>
    <row r="2" spans="1:1" ht="18" customHeight="1">
      <c r="A2" s="5" t="s">
        <v>4128</v>
      </c>
    </row>
    <row r="3" spans="1:12" ht="34" customHeight="1">
      <c r="A3" s="12" t="s">
        <v>308</v>
      </c>
      <c r="B3" s="12" t="s">
        <v>4129</v>
      </c>
      <c r="C3" s="12" t="s">
        <v>47</v>
      </c>
      <c r="D3" s="12" t="s">
        <v>4130</v>
      </c>
      <c r="E3" s="12" t="s">
        <v>4131</v>
      </c>
      <c r="F3" s="12" t="s">
        <v>4132</v>
      </c>
      <c r="G3" s="12" t="s">
        <v>4133</v>
      </c>
      <c r="H3" s="12" t="s">
        <v>4134</v>
      </c>
      <c r="I3" s="12" t="s">
        <v>4135</v>
      </c>
      <c r="J3" s="12" t="s">
        <v>3485</v>
      </c>
      <c r="K3" s="12" t="s">
        <v>4136</v>
      </c>
      <c r="L3" s="12" t="s">
        <v>4137</v>
      </c>
    </row>
    <row r="4" spans="1:12">
      <c r="A4" s="59">
        <v>1</v>
      </c>
      <c r="B4" s="31" t="s">
        <v>4138</v>
      </c>
      <c r="C4" s="59" t="s">
        <v>4139</v>
      </c>
      <c r="D4" s="31" t="s">
        <v>1048</v>
      </c>
      <c r="E4" s="59" t="s">
        <v>1052</v>
      </c>
      <c r="F4" s="31" t="s">
        <v>4140</v>
      </c>
      <c r="G4" s="31" t="s">
        <v>4141</v>
      </c>
      <c r="H4" s="59" t="s">
        <v>4142</v>
      </c>
      <c r="I4" s="31" t="s">
        <v>4143</v>
      </c>
      <c r="J4" s="60" t="s">
        <v>1047</v>
      </c>
      <c r="K4" s="59" t="s">
        <v>4144</v>
      </c>
      <c r="L4" s="31" t="s">
        <v>4145</v>
      </c>
    </row>
    <row r="5" spans="1:12">
      <c r="A5" s="59">
        <v>2</v>
      </c>
      <c r="B5" s="31" t="s">
        <v>4138</v>
      </c>
      <c r="C5" s="59" t="s">
        <v>4139</v>
      </c>
      <c r="D5" s="31" t="s">
        <v>1060</v>
      </c>
      <c r="E5" s="59" t="s">
        <v>1062</v>
      </c>
      <c r="F5" s="31" t="s">
        <v>4140</v>
      </c>
      <c r="G5" s="31" t="s">
        <v>4141</v>
      </c>
      <c r="H5" s="59" t="s">
        <v>4142</v>
      </c>
      <c r="I5" s="31" t="s">
        <v>314</v>
      </c>
      <c r="J5" s="60" t="s">
        <v>1059</v>
      </c>
      <c r="K5" s="59" t="s">
        <v>4144</v>
      </c>
      <c r="L5" s="31" t="s">
        <v>4146</v>
      </c>
    </row>
    <row r="6" spans="1:12">
      <c r="A6" s="59">
        <v>3</v>
      </c>
      <c r="B6" s="31" t="s">
        <v>4138</v>
      </c>
      <c r="C6" s="59" t="s">
        <v>4139</v>
      </c>
      <c r="D6" s="31" t="s">
        <v>1073</v>
      </c>
      <c r="E6" s="59" t="s">
        <v>4147</v>
      </c>
      <c r="F6" s="31" t="s">
        <v>4140</v>
      </c>
      <c r="G6" s="31" t="s">
        <v>4141</v>
      </c>
      <c r="H6" s="59" t="s">
        <v>4142</v>
      </c>
      <c r="I6" s="31" t="s">
        <v>314</v>
      </c>
      <c r="J6" s="60" t="s">
        <v>4148</v>
      </c>
      <c r="K6" s="59" t="s">
        <v>4144</v>
      </c>
      <c r="L6" s="31" t="s">
        <v>4149</v>
      </c>
    </row>
    <row r="7" spans="1:12">
      <c r="A7" s="59">
        <v>4</v>
      </c>
      <c r="B7" s="31" t="s">
        <v>4138</v>
      </c>
      <c r="C7" s="59" t="s">
        <v>4139</v>
      </c>
      <c r="D7" s="31" t="s">
        <v>4150</v>
      </c>
      <c r="E7" s="59" t="s">
        <v>4151</v>
      </c>
      <c r="F7" s="31" t="s">
        <v>4140</v>
      </c>
      <c r="G7" s="31" t="s">
        <v>4141</v>
      </c>
      <c r="H7" s="59" t="s">
        <v>4142</v>
      </c>
      <c r="I7" s="31" t="s">
        <v>314</v>
      </c>
      <c r="J7" s="60" t="s">
        <v>1078</v>
      </c>
      <c r="K7" s="59" t="s">
        <v>4144</v>
      </c>
      <c r="L7" s="31" t="s">
        <v>4152</v>
      </c>
    </row>
    <row r="8" spans="1:12">
      <c r="A8" s="59">
        <v>5</v>
      </c>
      <c r="B8" s="31" t="s">
        <v>4138</v>
      </c>
      <c r="C8" s="59" t="s">
        <v>4153</v>
      </c>
      <c r="D8" s="31" t="s">
        <v>4154</v>
      </c>
      <c r="E8" s="59" t="s">
        <v>4151</v>
      </c>
      <c r="F8" s="31" t="s">
        <v>4140</v>
      </c>
      <c r="G8" s="31" t="s">
        <v>4141</v>
      </c>
      <c r="H8" s="59" t="s">
        <v>904</v>
      </c>
      <c r="I8" s="31" t="s">
        <v>4155</v>
      </c>
      <c r="J8" s="60" t="s">
        <v>1085</v>
      </c>
      <c r="K8" s="59" t="s">
        <v>4144</v>
      </c>
      <c r="L8" s="31" t="s">
        <v>4156</v>
      </c>
    </row>
    <row r="9" spans="1:12">
      <c r="A9" s="59">
        <v>6</v>
      </c>
      <c r="B9" s="31" t="s">
        <v>4138</v>
      </c>
      <c r="C9" s="59" t="s">
        <v>4153</v>
      </c>
      <c r="D9" s="31" t="s">
        <v>1099</v>
      </c>
      <c r="E9" s="59" t="s">
        <v>885</v>
      </c>
      <c r="F9" s="31" t="s">
        <v>4157</v>
      </c>
      <c r="G9" s="31" t="s">
        <v>4158</v>
      </c>
      <c r="H9" s="59" t="s">
        <v>4159</v>
      </c>
      <c r="I9" s="31" t="s">
        <v>4160</v>
      </c>
      <c r="J9" s="60" t="s">
        <v>1098</v>
      </c>
      <c r="K9" s="59" t="s">
        <v>4144</v>
      </c>
      <c r="L9" s="31" t="s">
        <v>4161</v>
      </c>
    </row>
    <row r="10" spans="1:12">
      <c r="A10" s="59">
        <v>7</v>
      </c>
      <c r="B10" s="31" t="s">
        <v>4138</v>
      </c>
      <c r="C10" s="59" t="s">
        <v>4153</v>
      </c>
      <c r="D10" s="31" t="s">
        <v>1209</v>
      </c>
      <c r="E10" s="59" t="s">
        <v>885</v>
      </c>
      <c r="F10" s="31" t="s">
        <v>4157</v>
      </c>
      <c r="G10" s="31" t="s">
        <v>4158</v>
      </c>
      <c r="H10" s="59" t="s">
        <v>4159</v>
      </c>
      <c r="I10" s="31" t="s">
        <v>4160</v>
      </c>
      <c r="J10" s="60" t="s">
        <v>4162</v>
      </c>
      <c r="K10" s="59" t="s">
        <v>4144</v>
      </c>
      <c r="L10" s="31" t="s">
        <v>4163</v>
      </c>
    </row>
    <row r="11" spans="1:12">
      <c r="A11" s="59">
        <v>8</v>
      </c>
      <c r="B11" s="31" t="s">
        <v>4138</v>
      </c>
      <c r="C11" s="59" t="s">
        <v>4153</v>
      </c>
      <c r="D11" s="31" t="s">
        <v>1107</v>
      </c>
      <c r="E11" s="59" t="s">
        <v>885</v>
      </c>
      <c r="F11" s="31" t="s">
        <v>4157</v>
      </c>
      <c r="G11" s="31" t="s">
        <v>4158</v>
      </c>
      <c r="H11" s="59" t="s">
        <v>4159</v>
      </c>
      <c r="I11" s="31" t="s">
        <v>4160</v>
      </c>
      <c r="J11" s="60" t="s">
        <v>1106</v>
      </c>
      <c r="K11" s="59" t="s">
        <v>4144</v>
      </c>
      <c r="L11" s="31" t="s">
        <v>4164</v>
      </c>
    </row>
    <row r="12" spans="1:12">
      <c r="A12" s="59">
        <v>9</v>
      </c>
      <c r="B12" s="31" t="s">
        <v>4138</v>
      </c>
      <c r="C12" s="59" t="s">
        <v>4153</v>
      </c>
      <c r="D12" s="31" t="s">
        <v>1113</v>
      </c>
      <c r="E12" s="59" t="s">
        <v>885</v>
      </c>
      <c r="F12" s="31" t="s">
        <v>4157</v>
      </c>
      <c r="G12" s="31" t="s">
        <v>4158</v>
      </c>
      <c r="H12" s="59" t="s">
        <v>4159</v>
      </c>
      <c r="I12" s="31" t="s">
        <v>4160</v>
      </c>
      <c r="J12" s="60" t="s">
        <v>1112</v>
      </c>
      <c r="K12" s="59" t="s">
        <v>4144</v>
      </c>
      <c r="L12" s="31" t="s">
        <v>4165</v>
      </c>
    </row>
    <row r="13" spans="1:12">
      <c r="A13" s="59">
        <v>10</v>
      </c>
      <c r="B13" s="31" t="s">
        <v>4138</v>
      </c>
      <c r="C13" s="59" t="s">
        <v>4153</v>
      </c>
      <c r="D13" s="31" t="s">
        <v>1276</v>
      </c>
      <c r="E13" s="59" t="s">
        <v>738</v>
      </c>
      <c r="F13" s="31" t="s">
        <v>4166</v>
      </c>
      <c r="G13" s="31" t="s">
        <v>4158</v>
      </c>
      <c r="H13" s="59" t="s">
        <v>4159</v>
      </c>
      <c r="I13" s="31" t="s">
        <v>4167</v>
      </c>
      <c r="J13" s="60" t="s">
        <v>1275</v>
      </c>
      <c r="K13" s="59" t="s">
        <v>4144</v>
      </c>
      <c r="L13" s="31" t="s">
        <v>4168</v>
      </c>
    </row>
    <row r="14" spans="1:12">
      <c r="A14" s="59">
        <v>11</v>
      </c>
      <c r="B14" s="31" t="s">
        <v>4138</v>
      </c>
      <c r="C14" s="59" t="s">
        <v>4153</v>
      </c>
      <c r="D14" s="31" t="s">
        <v>1284</v>
      </c>
      <c r="E14" s="59" t="s">
        <v>738</v>
      </c>
      <c r="F14" s="31" t="s">
        <v>4166</v>
      </c>
      <c r="G14" s="31" t="s">
        <v>4158</v>
      </c>
      <c r="H14" s="59" t="s">
        <v>4159</v>
      </c>
      <c r="I14" s="31" t="s">
        <v>4167</v>
      </c>
      <c r="J14" s="60" t="s">
        <v>1283</v>
      </c>
      <c r="K14" s="59" t="s">
        <v>4144</v>
      </c>
      <c r="L14" s="31" t="s">
        <v>4168</v>
      </c>
    </row>
    <row r="15" spans="1:12">
      <c r="A15" s="59">
        <v>12</v>
      </c>
      <c r="B15" s="31" t="s">
        <v>4138</v>
      </c>
      <c r="C15" s="59" t="s">
        <v>4153</v>
      </c>
      <c r="D15" s="31" t="s">
        <v>1216</v>
      </c>
      <c r="E15" s="59" t="s">
        <v>885</v>
      </c>
      <c r="F15" s="31" t="s">
        <v>4157</v>
      </c>
      <c r="G15" s="31" t="s">
        <v>4158</v>
      </c>
      <c r="H15" s="59" t="s">
        <v>4159</v>
      </c>
      <c r="I15" s="31" t="s">
        <v>4160</v>
      </c>
      <c r="J15" s="60" t="s">
        <v>1215</v>
      </c>
      <c r="K15" s="59" t="s">
        <v>4144</v>
      </c>
      <c r="L15" s="31" t="s">
        <v>4169</v>
      </c>
    </row>
    <row r="16" spans="1:12">
      <c r="A16" s="59">
        <v>13</v>
      </c>
      <c r="B16" s="31" t="s">
        <v>4138</v>
      </c>
      <c r="C16" s="59" t="s">
        <v>4153</v>
      </c>
      <c r="D16" s="31" t="s">
        <v>1262</v>
      </c>
      <c r="E16" s="59" t="s">
        <v>885</v>
      </c>
      <c r="F16" s="31" t="s">
        <v>4157</v>
      </c>
      <c r="G16" s="31" t="s">
        <v>4141</v>
      </c>
      <c r="H16" s="59" t="s">
        <v>4170</v>
      </c>
      <c r="I16" s="31" t="s">
        <v>4160</v>
      </c>
      <c r="J16" s="60" t="s">
        <v>4171</v>
      </c>
      <c r="K16" s="59" t="s">
        <v>4144</v>
      </c>
      <c r="L16" s="31" t="s">
        <v>4172</v>
      </c>
    </row>
    <row r="17" spans="1:12">
      <c r="A17" s="59">
        <v>14</v>
      </c>
      <c r="B17" s="31" t="s">
        <v>4138</v>
      </c>
      <c r="C17" s="59" t="s">
        <v>4153</v>
      </c>
      <c r="D17" s="31" t="s">
        <v>1269</v>
      </c>
      <c r="E17" s="59" t="s">
        <v>547</v>
      </c>
      <c r="F17" s="31" t="s">
        <v>4140</v>
      </c>
      <c r="G17" s="31" t="s">
        <v>4141</v>
      </c>
      <c r="H17" s="59" t="s">
        <v>4170</v>
      </c>
      <c r="I17" s="31" t="s">
        <v>4160</v>
      </c>
      <c r="J17" s="60" t="s">
        <v>4173</v>
      </c>
      <c r="K17" s="59" t="s">
        <v>4144</v>
      </c>
      <c r="L17" s="31" t="s">
        <v>4174</v>
      </c>
    </row>
    <row r="18" spans="1:12">
      <c r="A18" s="59">
        <v>15</v>
      </c>
      <c r="B18" s="31" t="s">
        <v>4138</v>
      </c>
      <c r="C18" s="59" t="s">
        <v>4153</v>
      </c>
      <c r="D18" s="31" t="s">
        <v>1234</v>
      </c>
      <c r="E18" s="59" t="s">
        <v>442</v>
      </c>
      <c r="F18" s="31" t="s">
        <v>4157</v>
      </c>
      <c r="G18" s="31" t="s">
        <v>4158</v>
      </c>
      <c r="H18" s="59" t="s">
        <v>1007</v>
      </c>
      <c r="I18" s="31" t="s">
        <v>4175</v>
      </c>
      <c r="J18" s="60" t="s">
        <v>1233</v>
      </c>
      <c r="K18" s="59" t="s">
        <v>4144</v>
      </c>
      <c r="L18" s="31" t="s">
        <v>4176</v>
      </c>
    </row>
    <row r="19" spans="1:12">
      <c r="A19" s="59">
        <v>16</v>
      </c>
      <c r="B19" s="31" t="s">
        <v>4138</v>
      </c>
      <c r="C19" s="59" t="s">
        <v>4153</v>
      </c>
      <c r="D19" s="31" t="s">
        <v>1240</v>
      </c>
      <c r="E19" s="59" t="s">
        <v>442</v>
      </c>
      <c r="F19" s="31" t="s">
        <v>4157</v>
      </c>
      <c r="G19" s="31" t="s">
        <v>4158</v>
      </c>
      <c r="H19" s="59" t="s">
        <v>1007</v>
      </c>
      <c r="I19" s="31" t="s">
        <v>4175</v>
      </c>
      <c r="J19" s="60" t="s">
        <v>1239</v>
      </c>
      <c r="K19" s="59" t="s">
        <v>4144</v>
      </c>
      <c r="L19" s="31" t="s">
        <v>4168</v>
      </c>
    </row>
    <row r="20" spans="1:12">
      <c r="A20" s="59">
        <v>17</v>
      </c>
      <c r="B20" s="31" t="s">
        <v>4138</v>
      </c>
      <c r="C20" s="59" t="s">
        <v>4153</v>
      </c>
      <c r="D20" s="31" t="s">
        <v>1244</v>
      </c>
      <c r="E20" s="59" t="s">
        <v>442</v>
      </c>
      <c r="F20" s="31" t="s">
        <v>4157</v>
      </c>
      <c r="G20" s="31" t="s">
        <v>4158</v>
      </c>
      <c r="H20" s="59" t="s">
        <v>1007</v>
      </c>
      <c r="I20" s="31" t="s">
        <v>4175</v>
      </c>
      <c r="J20" s="60" t="s">
        <v>1243</v>
      </c>
      <c r="K20" s="59" t="s">
        <v>4144</v>
      </c>
      <c r="L20" s="31" t="s">
        <v>4168</v>
      </c>
    </row>
    <row r="21" spans="1:12">
      <c r="A21" s="59">
        <v>18</v>
      </c>
      <c r="B21" s="31" t="s">
        <v>4138</v>
      </c>
      <c r="C21" s="59" t="s">
        <v>4153</v>
      </c>
      <c r="D21" s="31" t="s">
        <v>1248</v>
      </c>
      <c r="E21" s="59" t="s">
        <v>442</v>
      </c>
      <c r="F21" s="31" t="s">
        <v>4157</v>
      </c>
      <c r="G21" s="31" t="s">
        <v>4158</v>
      </c>
      <c r="H21" s="59" t="s">
        <v>1007</v>
      </c>
      <c r="I21" s="31" t="s">
        <v>4175</v>
      </c>
      <c r="J21" s="60" t="s">
        <v>1247</v>
      </c>
      <c r="K21" s="59" t="s">
        <v>4144</v>
      </c>
      <c r="L21" s="31" t="s">
        <v>4168</v>
      </c>
    </row>
    <row r="22" spans="1:12">
      <c r="A22" s="59">
        <v>19</v>
      </c>
      <c r="B22" s="31" t="s">
        <v>4138</v>
      </c>
      <c r="C22" s="59" t="s">
        <v>4153</v>
      </c>
      <c r="D22" s="31" t="s">
        <v>1252</v>
      </c>
      <c r="E22" s="59" t="s">
        <v>442</v>
      </c>
      <c r="F22" s="31" t="s">
        <v>4157</v>
      </c>
      <c r="G22" s="31" t="s">
        <v>4158</v>
      </c>
      <c r="H22" s="59" t="s">
        <v>1007</v>
      </c>
      <c r="I22" s="31" t="s">
        <v>4175</v>
      </c>
      <c r="J22" s="60" t="s">
        <v>1251</v>
      </c>
      <c r="K22" s="59" t="s">
        <v>4144</v>
      </c>
      <c r="L22" s="31" t="s">
        <v>4168</v>
      </c>
    </row>
    <row r="23" spans="1:12">
      <c r="A23" s="59">
        <v>20</v>
      </c>
      <c r="B23" s="31" t="s">
        <v>4138</v>
      </c>
      <c r="C23" s="59" t="s">
        <v>4153</v>
      </c>
      <c r="D23" s="31" t="s">
        <v>1119</v>
      </c>
      <c r="E23" s="59" t="s">
        <v>901</v>
      </c>
      <c r="F23" s="31" t="s">
        <v>4140</v>
      </c>
      <c r="G23" s="31" t="s">
        <v>4158</v>
      </c>
      <c r="H23" s="59" t="s">
        <v>4159</v>
      </c>
      <c r="I23" s="31" t="s">
        <v>4175</v>
      </c>
      <c r="J23" s="60" t="s">
        <v>1118</v>
      </c>
      <c r="K23" s="59" t="s">
        <v>4144</v>
      </c>
      <c r="L23" s="31" t="s">
        <v>4177</v>
      </c>
    </row>
    <row r="24" spans="1:12">
      <c r="A24" s="59">
        <v>21</v>
      </c>
      <c r="B24" s="31" t="s">
        <v>4138</v>
      </c>
      <c r="C24" s="59" t="s">
        <v>4153</v>
      </c>
      <c r="D24" s="31" t="s">
        <v>1222</v>
      </c>
      <c r="E24" s="59" t="s">
        <v>901</v>
      </c>
      <c r="F24" s="31" t="s">
        <v>4140</v>
      </c>
      <c r="G24" s="31" t="s">
        <v>4158</v>
      </c>
      <c r="H24" s="59" t="s">
        <v>4159</v>
      </c>
      <c r="I24" s="31" t="s">
        <v>4175</v>
      </c>
      <c r="J24" s="60" t="s">
        <v>1221</v>
      </c>
      <c r="K24" s="59" t="s">
        <v>4144</v>
      </c>
      <c r="L24" s="31" t="s">
        <v>4168</v>
      </c>
    </row>
    <row r="25" spans="1:12">
      <c r="A25" s="59">
        <v>22</v>
      </c>
      <c r="B25" s="31" t="s">
        <v>4138</v>
      </c>
      <c r="C25" s="59" t="s">
        <v>4153</v>
      </c>
      <c r="D25" s="31" t="s">
        <v>1228</v>
      </c>
      <c r="E25" s="59" t="s">
        <v>901</v>
      </c>
      <c r="F25" s="31" t="s">
        <v>4140</v>
      </c>
      <c r="G25" s="31" t="s">
        <v>4158</v>
      </c>
      <c r="H25" s="59" t="s">
        <v>4159</v>
      </c>
      <c r="I25" s="31" t="s">
        <v>4175</v>
      </c>
      <c r="J25" s="60" t="s">
        <v>1227</v>
      </c>
      <c r="K25" s="59" t="s">
        <v>4144</v>
      </c>
      <c r="L25" s="31" t="s">
        <v>4168</v>
      </c>
    </row>
    <row r="26" spans="1:12">
      <c r="A26" s="59">
        <v>23</v>
      </c>
      <c r="B26" s="31" t="s">
        <v>4138</v>
      </c>
      <c r="C26" s="59" t="s">
        <v>4153</v>
      </c>
      <c r="D26" s="31" t="s">
        <v>4178</v>
      </c>
      <c r="E26" s="59" t="s">
        <v>901</v>
      </c>
      <c r="F26" s="31" t="s">
        <v>4140</v>
      </c>
      <c r="G26" s="31" t="s">
        <v>4158</v>
      </c>
      <c r="H26" s="59" t="s">
        <v>4159</v>
      </c>
      <c r="I26" s="31" t="s">
        <v>4175</v>
      </c>
      <c r="J26" s="60" t="s">
        <v>4179</v>
      </c>
      <c r="K26" s="59" t="s">
        <v>4144</v>
      </c>
      <c r="L26" s="31" t="s">
        <v>4180</v>
      </c>
    </row>
    <row r="27" spans="1:12">
      <c r="A27" s="59">
        <v>24</v>
      </c>
      <c r="B27" s="31" t="s">
        <v>4138</v>
      </c>
      <c r="C27" s="59" t="s">
        <v>4153</v>
      </c>
      <c r="D27" s="31" t="s">
        <v>1125</v>
      </c>
      <c r="E27" s="59" t="s">
        <v>442</v>
      </c>
      <c r="F27" s="31" t="s">
        <v>4140</v>
      </c>
      <c r="G27" s="31" t="s">
        <v>4158</v>
      </c>
      <c r="H27" s="59" t="s">
        <v>4159</v>
      </c>
      <c r="I27" s="31" t="s">
        <v>4175</v>
      </c>
      <c r="J27" s="60" t="s">
        <v>1124</v>
      </c>
      <c r="K27" s="59" t="s">
        <v>4144</v>
      </c>
      <c r="L27" s="31" t="s">
        <v>4168</v>
      </c>
    </row>
    <row r="28" spans="1:12">
      <c r="A28" s="59">
        <v>25</v>
      </c>
      <c r="B28" s="31" t="s">
        <v>4138</v>
      </c>
      <c r="C28" s="59" t="s">
        <v>4153</v>
      </c>
      <c r="D28" s="31" t="s">
        <v>1131</v>
      </c>
      <c r="E28" s="59" t="s">
        <v>442</v>
      </c>
      <c r="F28" s="31" t="s">
        <v>4140</v>
      </c>
      <c r="G28" s="31" t="s">
        <v>4158</v>
      </c>
      <c r="H28" s="59" t="s">
        <v>4159</v>
      </c>
      <c r="I28" s="31" t="s">
        <v>4175</v>
      </c>
      <c r="J28" s="60" t="s">
        <v>1130</v>
      </c>
      <c r="K28" s="59" t="s">
        <v>4144</v>
      </c>
      <c r="L28" s="31" t="s">
        <v>4168</v>
      </c>
    </row>
    <row r="29" spans="1:12">
      <c r="A29" s="59">
        <v>26</v>
      </c>
      <c r="B29" s="31" t="s">
        <v>4138</v>
      </c>
      <c r="C29" s="59" t="s">
        <v>4153</v>
      </c>
      <c r="D29" s="31" t="s">
        <v>4181</v>
      </c>
      <c r="E29" s="59" t="s">
        <v>984</v>
      </c>
      <c r="F29" s="31" t="s">
        <v>4140</v>
      </c>
      <c r="G29" s="31" t="s">
        <v>4158</v>
      </c>
      <c r="H29" s="59" t="s">
        <v>4159</v>
      </c>
      <c r="I29" s="31" t="s">
        <v>4175</v>
      </c>
      <c r="J29" s="60" t="s">
        <v>1148</v>
      </c>
      <c r="K29" s="59" t="s">
        <v>4144</v>
      </c>
      <c r="L29" s="31" t="s">
        <v>4168</v>
      </c>
    </row>
    <row r="30" spans="1:12">
      <c r="A30" s="59">
        <v>27</v>
      </c>
      <c r="B30" s="31" t="s">
        <v>4138</v>
      </c>
      <c r="C30" s="59" t="s">
        <v>4153</v>
      </c>
      <c r="D30" s="31" t="s">
        <v>4182</v>
      </c>
      <c r="E30" s="59" t="s">
        <v>4151</v>
      </c>
      <c r="F30" s="31" t="s">
        <v>4140</v>
      </c>
      <c r="G30" s="31" t="s">
        <v>4158</v>
      </c>
      <c r="H30" s="59" t="s">
        <v>4159</v>
      </c>
      <c r="I30" s="31" t="s">
        <v>4175</v>
      </c>
      <c r="J30" s="60" t="s">
        <v>1157</v>
      </c>
      <c r="K30" s="59" t="s">
        <v>4144</v>
      </c>
      <c r="L30" s="31" t="s">
        <v>4183</v>
      </c>
    </row>
    <row r="31" spans="1:12">
      <c r="A31" s="59">
        <v>28</v>
      </c>
      <c r="B31" s="31" t="s">
        <v>4138</v>
      </c>
      <c r="C31" s="59" t="s">
        <v>4153</v>
      </c>
      <c r="D31" s="31" t="s">
        <v>1290</v>
      </c>
      <c r="E31" s="59" t="s">
        <v>1292</v>
      </c>
      <c r="F31" s="31" t="s">
        <v>4140</v>
      </c>
      <c r="G31" s="31" t="s">
        <v>4158</v>
      </c>
      <c r="H31" s="59" t="s">
        <v>4159</v>
      </c>
      <c r="I31" s="31" t="s">
        <v>4175</v>
      </c>
      <c r="J31" s="60" t="s">
        <v>1289</v>
      </c>
      <c r="K31" s="59" t="s">
        <v>4144</v>
      </c>
      <c r="L31" s="31" t="s">
        <v>4184</v>
      </c>
    </row>
    <row r="32" spans="1:12">
      <c r="A32" s="59">
        <v>29</v>
      </c>
      <c r="B32" s="31" t="s">
        <v>4138</v>
      </c>
      <c r="C32" s="59" t="s">
        <v>4153</v>
      </c>
      <c r="D32" s="31" t="s">
        <v>1296</v>
      </c>
      <c r="E32" s="59" t="s">
        <v>901</v>
      </c>
      <c r="F32" s="31" t="s">
        <v>4185</v>
      </c>
      <c r="G32" s="31" t="s">
        <v>4158</v>
      </c>
      <c r="H32" s="59" t="s">
        <v>4159</v>
      </c>
      <c r="I32" s="31" t="s">
        <v>4175</v>
      </c>
      <c r="J32" s="60" t="s">
        <v>1295</v>
      </c>
      <c r="K32" s="59" t="s">
        <v>4144</v>
      </c>
      <c r="L32" s="31" t="s">
        <v>4186</v>
      </c>
    </row>
    <row r="33" spans="1:12">
      <c r="A33" s="59">
        <v>30</v>
      </c>
      <c r="B33" s="31" t="s">
        <v>4138</v>
      </c>
      <c r="C33" s="59" t="s">
        <v>4153</v>
      </c>
      <c r="D33" s="31" t="s">
        <v>1305</v>
      </c>
      <c r="E33" s="59" t="s">
        <v>442</v>
      </c>
      <c r="F33" s="31" t="s">
        <v>4185</v>
      </c>
      <c r="G33" s="31" t="s">
        <v>4158</v>
      </c>
      <c r="H33" s="59" t="s">
        <v>4159</v>
      </c>
      <c r="I33" s="31" t="s">
        <v>4175</v>
      </c>
      <c r="J33" s="60" t="s">
        <v>1304</v>
      </c>
      <c r="K33" s="59" t="s">
        <v>4144</v>
      </c>
      <c r="L33" s="31" t="s">
        <v>4168</v>
      </c>
    </row>
    <row r="34" spans="1:12">
      <c r="A34" s="59">
        <v>31</v>
      </c>
      <c r="B34" s="31" t="s">
        <v>4138</v>
      </c>
      <c r="C34" s="59" t="s">
        <v>4153</v>
      </c>
      <c r="D34" s="31" t="s">
        <v>1311</v>
      </c>
      <c r="E34" s="59" t="s">
        <v>442</v>
      </c>
      <c r="F34" s="31" t="s">
        <v>4185</v>
      </c>
      <c r="G34" s="31" t="s">
        <v>4158</v>
      </c>
      <c r="H34" s="59" t="s">
        <v>1007</v>
      </c>
      <c r="I34" s="31" t="s">
        <v>4175</v>
      </c>
      <c r="J34" s="60" t="s">
        <v>1310</v>
      </c>
      <c r="K34" s="59" t="s">
        <v>4144</v>
      </c>
      <c r="L34" s="31" t="s">
        <v>4168</v>
      </c>
    </row>
    <row r="35" spans="1:12">
      <c r="A35" s="59">
        <v>32</v>
      </c>
      <c r="B35" s="31" t="s">
        <v>4138</v>
      </c>
      <c r="C35" s="59" t="s">
        <v>4153</v>
      </c>
      <c r="D35" s="31" t="s">
        <v>1316</v>
      </c>
      <c r="E35" s="59" t="s">
        <v>442</v>
      </c>
      <c r="F35" s="31" t="s">
        <v>4185</v>
      </c>
      <c r="G35" s="31" t="s">
        <v>4158</v>
      </c>
      <c r="H35" s="59" t="s">
        <v>1007</v>
      </c>
      <c r="I35" s="31" t="s">
        <v>4175</v>
      </c>
      <c r="J35" s="60" t="s">
        <v>1315</v>
      </c>
      <c r="K35" s="59" t="s">
        <v>4144</v>
      </c>
      <c r="L35" s="31" t="s">
        <v>4168</v>
      </c>
    </row>
    <row r="36" spans="1:12">
      <c r="A36" s="59">
        <v>33</v>
      </c>
      <c r="B36" s="31" t="s">
        <v>4138</v>
      </c>
      <c r="C36" s="59" t="s">
        <v>4153</v>
      </c>
      <c r="D36" s="31" t="s">
        <v>1320</v>
      </c>
      <c r="E36" s="59" t="s">
        <v>442</v>
      </c>
      <c r="F36" s="31" t="s">
        <v>4185</v>
      </c>
      <c r="G36" s="31" t="s">
        <v>4158</v>
      </c>
      <c r="H36" s="59" t="s">
        <v>1007</v>
      </c>
      <c r="I36" s="31" t="s">
        <v>4175</v>
      </c>
      <c r="J36" s="60" t="s">
        <v>1319</v>
      </c>
      <c r="K36" s="59" t="s">
        <v>4144</v>
      </c>
      <c r="L36" s="31" t="s">
        <v>4168</v>
      </c>
    </row>
    <row r="37" spans="1:12">
      <c r="A37" s="59">
        <v>34</v>
      </c>
      <c r="B37" s="31" t="s">
        <v>4138</v>
      </c>
      <c r="C37" s="59" t="s">
        <v>4153</v>
      </c>
      <c r="D37" s="31" t="s">
        <v>1324</v>
      </c>
      <c r="E37" s="59" t="s">
        <v>442</v>
      </c>
      <c r="F37" s="31" t="s">
        <v>4185</v>
      </c>
      <c r="G37" s="31" t="s">
        <v>4158</v>
      </c>
      <c r="H37" s="59" t="s">
        <v>1007</v>
      </c>
      <c r="I37" s="31" t="s">
        <v>4175</v>
      </c>
      <c r="J37" s="60" t="s">
        <v>1323</v>
      </c>
      <c r="K37" s="59" t="s">
        <v>4144</v>
      </c>
      <c r="L37" s="31" t="s">
        <v>4168</v>
      </c>
    </row>
    <row r="38" spans="1:12">
      <c r="A38" s="59">
        <v>35</v>
      </c>
      <c r="B38" s="31" t="s">
        <v>4138</v>
      </c>
      <c r="C38" s="59" t="s">
        <v>4153</v>
      </c>
      <c r="D38" s="31" t="s">
        <v>1328</v>
      </c>
      <c r="E38" s="59" t="s">
        <v>442</v>
      </c>
      <c r="F38" s="31" t="s">
        <v>4185</v>
      </c>
      <c r="G38" s="31" t="s">
        <v>4158</v>
      </c>
      <c r="H38" s="59" t="s">
        <v>1007</v>
      </c>
      <c r="I38" s="31" t="s">
        <v>4175</v>
      </c>
      <c r="J38" s="60" t="s">
        <v>1327</v>
      </c>
      <c r="K38" s="59" t="s">
        <v>4144</v>
      </c>
      <c r="L38" s="31" t="s">
        <v>4168</v>
      </c>
    </row>
    <row r="39" spans="1:12">
      <c r="A39" s="59">
        <v>36</v>
      </c>
      <c r="B39" s="31" t="s">
        <v>4138</v>
      </c>
      <c r="C39" s="59" t="s">
        <v>4139</v>
      </c>
      <c r="D39" s="31" t="s">
        <v>1332</v>
      </c>
      <c r="E39" s="59" t="s">
        <v>901</v>
      </c>
      <c r="F39" s="31" t="s">
        <v>4185</v>
      </c>
      <c r="G39" s="31" t="s">
        <v>4141</v>
      </c>
      <c r="H39" s="59" t="s">
        <v>4151</v>
      </c>
      <c r="I39" s="31" t="s">
        <v>4175</v>
      </c>
      <c r="J39" s="60" t="s">
        <v>1331</v>
      </c>
      <c r="K39" s="59" t="s">
        <v>4144</v>
      </c>
      <c r="L39" s="31" t="s">
        <v>4187</v>
      </c>
    </row>
    <row r="40" spans="1:12">
      <c r="A40" s="59">
        <v>37</v>
      </c>
      <c r="B40" s="31" t="s">
        <v>4138</v>
      </c>
      <c r="C40" s="59" t="s">
        <v>4153</v>
      </c>
      <c r="D40" s="31" t="s">
        <v>1338</v>
      </c>
      <c r="E40" s="59" t="s">
        <v>1340</v>
      </c>
      <c r="F40" s="31" t="s">
        <v>4185</v>
      </c>
      <c r="G40" s="31" t="s">
        <v>4158</v>
      </c>
      <c r="H40" s="59" t="s">
        <v>4159</v>
      </c>
      <c r="I40" s="31" t="s">
        <v>4175</v>
      </c>
      <c r="J40" s="60" t="s">
        <v>1337</v>
      </c>
      <c r="K40" s="59" t="s">
        <v>4144</v>
      </c>
      <c r="L40" s="31" t="s">
        <v>4188</v>
      </c>
    </row>
    <row r="41" spans="1:12">
      <c r="A41" s="59">
        <v>38</v>
      </c>
      <c r="B41" s="31" t="s">
        <v>4138</v>
      </c>
      <c r="C41" s="59" t="s">
        <v>4153</v>
      </c>
      <c r="D41" s="31" t="s">
        <v>1344</v>
      </c>
      <c r="E41" s="59" t="s">
        <v>498</v>
      </c>
      <c r="F41" s="31" t="s">
        <v>4185</v>
      </c>
      <c r="G41" s="31" t="s">
        <v>4158</v>
      </c>
      <c r="H41" s="59" t="s">
        <v>4159</v>
      </c>
      <c r="I41" s="31" t="s">
        <v>4175</v>
      </c>
      <c r="J41" s="60" t="s">
        <v>1343</v>
      </c>
      <c r="K41" s="59" t="s">
        <v>4144</v>
      </c>
      <c r="L41" s="31" t="s">
        <v>4188</v>
      </c>
    </row>
    <row r="42" spans="1:12">
      <c r="A42" s="59">
        <v>39</v>
      </c>
      <c r="B42" s="31" t="s">
        <v>4138</v>
      </c>
      <c r="C42" s="59" t="s">
        <v>4153</v>
      </c>
      <c r="D42" s="31" t="s">
        <v>4189</v>
      </c>
      <c r="E42" s="59" t="s">
        <v>4151</v>
      </c>
      <c r="F42" s="31" t="s">
        <v>4119</v>
      </c>
      <c r="G42" s="31" t="s">
        <v>4158</v>
      </c>
      <c r="H42" s="59" t="s">
        <v>4159</v>
      </c>
      <c r="I42" s="31" t="s">
        <v>4175</v>
      </c>
      <c r="J42" s="60" t="s">
        <v>1349</v>
      </c>
      <c r="K42" s="59" t="s">
        <v>4144</v>
      </c>
      <c r="L42" s="31" t="s">
        <v>4190</v>
      </c>
    </row>
    <row r="43" spans="1:12">
      <c r="A43" s="59">
        <v>40</v>
      </c>
      <c r="B43" s="31" t="s">
        <v>4138</v>
      </c>
      <c r="C43" s="59" t="s">
        <v>4153</v>
      </c>
      <c r="D43" s="31" t="s">
        <v>1358</v>
      </c>
      <c r="E43" s="59" t="s">
        <v>1360</v>
      </c>
      <c r="F43" s="31" t="s">
        <v>4119</v>
      </c>
      <c r="G43" s="31" t="s">
        <v>4158</v>
      </c>
      <c r="H43" s="59" t="s">
        <v>4159</v>
      </c>
      <c r="I43" s="31" t="s">
        <v>4175</v>
      </c>
      <c r="J43" s="60" t="s">
        <v>1357</v>
      </c>
      <c r="K43" s="59" t="s">
        <v>4144</v>
      </c>
      <c r="L43" s="31" t="s">
        <v>4191</v>
      </c>
    </row>
    <row r="44" spans="1:12">
      <c r="A44" s="59">
        <v>41</v>
      </c>
      <c r="B44" s="31" t="s">
        <v>4138</v>
      </c>
      <c r="C44" s="59" t="s">
        <v>4153</v>
      </c>
      <c r="D44" s="31" t="s">
        <v>1366</v>
      </c>
      <c r="E44" s="59" t="s">
        <v>1360</v>
      </c>
      <c r="F44" s="31" t="s">
        <v>4119</v>
      </c>
      <c r="G44" s="31" t="s">
        <v>4158</v>
      </c>
      <c r="H44" s="59" t="s">
        <v>4159</v>
      </c>
      <c r="I44" s="31" t="s">
        <v>4175</v>
      </c>
      <c r="J44" s="60" t="s">
        <v>1365</v>
      </c>
      <c r="K44" s="59" t="s">
        <v>4144</v>
      </c>
      <c r="L44" s="31" t="s">
        <v>4168</v>
      </c>
    </row>
    <row r="45" spans="1:12">
      <c r="A45" s="59">
        <v>42</v>
      </c>
      <c r="B45" s="31" t="s">
        <v>4138</v>
      </c>
      <c r="C45" s="59" t="s">
        <v>4153</v>
      </c>
      <c r="D45" s="31" t="s">
        <v>1373</v>
      </c>
      <c r="E45" s="59" t="s">
        <v>508</v>
      </c>
      <c r="F45" s="31" t="s">
        <v>4119</v>
      </c>
      <c r="G45" s="31" t="s">
        <v>4158</v>
      </c>
      <c r="H45" s="59" t="s">
        <v>4159</v>
      </c>
      <c r="I45" s="31" t="s">
        <v>4175</v>
      </c>
      <c r="J45" s="60" t="s">
        <v>1372</v>
      </c>
      <c r="K45" s="59" t="s">
        <v>4144</v>
      </c>
      <c r="L45" s="31" t="s">
        <v>4168</v>
      </c>
    </row>
    <row r="46" spans="1:12">
      <c r="A46" s="59">
        <v>43</v>
      </c>
      <c r="B46" s="31" t="s">
        <v>4138</v>
      </c>
      <c r="C46" s="59" t="s">
        <v>4153</v>
      </c>
      <c r="D46" s="31" t="s">
        <v>1379</v>
      </c>
      <c r="E46" s="59" t="s">
        <v>442</v>
      </c>
      <c r="F46" s="31" t="s">
        <v>4119</v>
      </c>
      <c r="G46" s="31" t="s">
        <v>4158</v>
      </c>
      <c r="H46" s="59" t="s">
        <v>4159</v>
      </c>
      <c r="I46" s="31" t="s">
        <v>4175</v>
      </c>
      <c r="J46" s="60" t="s">
        <v>1378</v>
      </c>
      <c r="K46" s="59" t="s">
        <v>4144</v>
      </c>
      <c r="L46" s="31" t="s">
        <v>4168</v>
      </c>
    </row>
    <row r="47" spans="1:12">
      <c r="A47" s="59">
        <v>44</v>
      </c>
      <c r="B47" s="31" t="s">
        <v>4138</v>
      </c>
      <c r="C47" s="59" t="s">
        <v>4153</v>
      </c>
      <c r="D47" s="31" t="s">
        <v>1385</v>
      </c>
      <c r="E47" s="59" t="s">
        <v>4192</v>
      </c>
      <c r="F47" s="31" t="s">
        <v>4119</v>
      </c>
      <c r="G47" s="31" t="s">
        <v>4158</v>
      </c>
      <c r="H47" s="59" t="s">
        <v>4159</v>
      </c>
      <c r="I47" s="31" t="s">
        <v>4175</v>
      </c>
      <c r="J47" s="60" t="s">
        <v>1384</v>
      </c>
      <c r="K47" s="59" t="s">
        <v>4144</v>
      </c>
      <c r="L47" s="31" t="s">
        <v>4168</v>
      </c>
    </row>
    <row r="48" spans="1:12">
      <c r="A48" s="59">
        <v>45</v>
      </c>
      <c r="B48" s="31" t="s">
        <v>4138</v>
      </c>
      <c r="C48" s="59" t="s">
        <v>4153</v>
      </c>
      <c r="D48" s="31" t="s">
        <v>1399</v>
      </c>
      <c r="E48" s="59" t="s">
        <v>984</v>
      </c>
      <c r="F48" s="31" t="s">
        <v>4119</v>
      </c>
      <c r="G48" s="31" t="s">
        <v>4158</v>
      </c>
      <c r="H48" s="59" t="s">
        <v>4159</v>
      </c>
      <c r="I48" s="31" t="s">
        <v>4175</v>
      </c>
      <c r="J48" s="60" t="s">
        <v>1398</v>
      </c>
      <c r="K48" s="59" t="s">
        <v>4144</v>
      </c>
      <c r="L48" s="31" t="s">
        <v>4193</v>
      </c>
    </row>
    <row r="49" spans="1:12">
      <c r="A49" s="59">
        <v>46</v>
      </c>
      <c r="B49" s="31" t="s">
        <v>4138</v>
      </c>
      <c r="C49" s="59" t="s">
        <v>4153</v>
      </c>
      <c r="D49" s="31" t="s">
        <v>1405</v>
      </c>
      <c r="E49" s="59" t="s">
        <v>984</v>
      </c>
      <c r="F49" s="31" t="s">
        <v>4119</v>
      </c>
      <c r="G49" s="31" t="s">
        <v>4158</v>
      </c>
      <c r="H49" s="59" t="s">
        <v>4159</v>
      </c>
      <c r="I49" s="31" t="s">
        <v>4175</v>
      </c>
      <c r="J49" s="60" t="s">
        <v>1404</v>
      </c>
      <c r="K49" s="59" t="s">
        <v>4144</v>
      </c>
      <c r="L49" s="31" t="s">
        <v>4194</v>
      </c>
    </row>
    <row r="50" spans="1:12">
      <c r="A50" s="59">
        <v>47</v>
      </c>
      <c r="B50" s="31" t="s">
        <v>4138</v>
      </c>
      <c r="C50" s="59" t="s">
        <v>4153</v>
      </c>
      <c r="D50" s="31" t="s">
        <v>1393</v>
      </c>
      <c r="E50" s="59" t="s">
        <v>901</v>
      </c>
      <c r="F50" s="31" t="s">
        <v>4119</v>
      </c>
      <c r="G50" s="31" t="s">
        <v>4158</v>
      </c>
      <c r="H50" s="59" t="s">
        <v>4159</v>
      </c>
      <c r="I50" s="31" t="s">
        <v>4175</v>
      </c>
      <c r="J50" s="60" t="s">
        <v>1392</v>
      </c>
      <c r="K50" s="59" t="s">
        <v>4144</v>
      </c>
      <c r="L50" s="31" t="s">
        <v>4168</v>
      </c>
    </row>
    <row r="51" spans="1:12">
      <c r="A51" s="59">
        <v>48</v>
      </c>
      <c r="B51" s="31" t="s">
        <v>4138</v>
      </c>
      <c r="C51" s="59" t="s">
        <v>4153</v>
      </c>
      <c r="D51" s="31" t="s">
        <v>1411</v>
      </c>
      <c r="E51" s="59" t="s">
        <v>1413</v>
      </c>
      <c r="F51" s="31" t="s">
        <v>4119</v>
      </c>
      <c r="G51" s="31" t="s">
        <v>4141</v>
      </c>
      <c r="H51" s="59" t="s">
        <v>4159</v>
      </c>
      <c r="I51" s="31" t="s">
        <v>4175</v>
      </c>
      <c r="J51" s="60" t="s">
        <v>1410</v>
      </c>
      <c r="K51" s="59" t="s">
        <v>4144</v>
      </c>
      <c r="L51" s="31" t="s">
        <v>4195</v>
      </c>
    </row>
    <row r="52" spans="1:12">
      <c r="A52" s="59">
        <v>49</v>
      </c>
      <c r="B52" s="31" t="s">
        <v>4138</v>
      </c>
      <c r="C52" s="59" t="s">
        <v>4153</v>
      </c>
      <c r="D52" s="31" t="s">
        <v>4196</v>
      </c>
      <c r="E52" s="59" t="s">
        <v>4151</v>
      </c>
      <c r="F52" s="31" t="s">
        <v>4197</v>
      </c>
      <c r="G52" s="31" t="s">
        <v>4158</v>
      </c>
      <c r="H52" s="59" t="s">
        <v>4159</v>
      </c>
      <c r="I52" s="31" t="s">
        <v>4175</v>
      </c>
      <c r="J52" s="60" t="s">
        <v>1417</v>
      </c>
      <c r="K52" s="59" t="s">
        <v>4144</v>
      </c>
      <c r="L52" s="31" t="s">
        <v>4198</v>
      </c>
    </row>
    <row r="53" spans="1:12">
      <c r="A53" s="59">
        <v>50</v>
      </c>
      <c r="B53" s="31" t="s">
        <v>4138</v>
      </c>
      <c r="C53" s="59" t="s">
        <v>4153</v>
      </c>
      <c r="D53" s="31" t="s">
        <v>1423</v>
      </c>
      <c r="E53" s="59" t="s">
        <v>1360</v>
      </c>
      <c r="F53" s="31" t="s">
        <v>4197</v>
      </c>
      <c r="G53" s="31" t="s">
        <v>4158</v>
      </c>
      <c r="H53" s="59" t="s">
        <v>4159</v>
      </c>
      <c r="I53" s="31" t="s">
        <v>4175</v>
      </c>
      <c r="J53" s="60" t="s">
        <v>1422</v>
      </c>
      <c r="K53" s="59" t="s">
        <v>4144</v>
      </c>
      <c r="L53" s="31" t="s">
        <v>4168</v>
      </c>
    </row>
    <row r="54" spans="1:12">
      <c r="A54" s="59">
        <v>51</v>
      </c>
      <c r="B54" s="31" t="s">
        <v>4138</v>
      </c>
      <c r="C54" s="59" t="s">
        <v>4153</v>
      </c>
      <c r="D54" s="31" t="s">
        <v>1428</v>
      </c>
      <c r="E54" s="59" t="s">
        <v>1360</v>
      </c>
      <c r="F54" s="31" t="s">
        <v>4197</v>
      </c>
      <c r="G54" s="31" t="s">
        <v>4158</v>
      </c>
      <c r="H54" s="59" t="s">
        <v>4159</v>
      </c>
      <c r="I54" s="31" t="s">
        <v>4175</v>
      </c>
      <c r="J54" s="60" t="s">
        <v>1427</v>
      </c>
      <c r="K54" s="59" t="s">
        <v>4144</v>
      </c>
      <c r="L54" s="31" t="s">
        <v>4168</v>
      </c>
    </row>
    <row r="55" spans="1:12">
      <c r="A55" s="59">
        <v>52</v>
      </c>
      <c r="B55" s="31" t="s">
        <v>4138</v>
      </c>
      <c r="C55" s="59" t="s">
        <v>4153</v>
      </c>
      <c r="D55" s="31" t="s">
        <v>1433</v>
      </c>
      <c r="E55" s="59" t="s">
        <v>508</v>
      </c>
      <c r="F55" s="31" t="s">
        <v>4197</v>
      </c>
      <c r="G55" s="31" t="s">
        <v>4158</v>
      </c>
      <c r="H55" s="59" t="s">
        <v>4159</v>
      </c>
      <c r="I55" s="31" t="s">
        <v>4175</v>
      </c>
      <c r="J55" s="60" t="s">
        <v>1432</v>
      </c>
      <c r="K55" s="59" t="s">
        <v>4144</v>
      </c>
      <c r="L55" s="31" t="s">
        <v>4168</v>
      </c>
    </row>
    <row r="56" spans="1:12">
      <c r="A56" s="59">
        <v>53</v>
      </c>
      <c r="B56" s="31" t="s">
        <v>4138</v>
      </c>
      <c r="C56" s="59" t="s">
        <v>4153</v>
      </c>
      <c r="D56" s="31" t="s">
        <v>1439</v>
      </c>
      <c r="E56" s="59" t="s">
        <v>442</v>
      </c>
      <c r="F56" s="31" t="s">
        <v>4197</v>
      </c>
      <c r="G56" s="31" t="s">
        <v>4158</v>
      </c>
      <c r="H56" s="59" t="s">
        <v>4159</v>
      </c>
      <c r="I56" s="31" t="s">
        <v>4175</v>
      </c>
      <c r="J56" s="60" t="s">
        <v>1438</v>
      </c>
      <c r="K56" s="59" t="s">
        <v>4144</v>
      </c>
      <c r="L56" s="31" t="s">
        <v>4168</v>
      </c>
    </row>
    <row r="57" spans="1:12">
      <c r="A57" s="59">
        <v>54</v>
      </c>
      <c r="B57" s="31" t="s">
        <v>4138</v>
      </c>
      <c r="C57" s="59" t="s">
        <v>4153</v>
      </c>
      <c r="D57" s="31" t="s">
        <v>1444</v>
      </c>
      <c r="E57" s="59" t="s">
        <v>4192</v>
      </c>
      <c r="F57" s="31" t="s">
        <v>4197</v>
      </c>
      <c r="G57" s="31" t="s">
        <v>4158</v>
      </c>
      <c r="H57" s="59" t="s">
        <v>4159</v>
      </c>
      <c r="I57" s="31" t="s">
        <v>4175</v>
      </c>
      <c r="J57" s="60" t="s">
        <v>1443</v>
      </c>
      <c r="K57" s="59" t="s">
        <v>4144</v>
      </c>
      <c r="L57" s="31" t="s">
        <v>4168</v>
      </c>
    </row>
    <row r="58" spans="1:12">
      <c r="A58" s="59">
        <v>55</v>
      </c>
      <c r="B58" s="31" t="s">
        <v>4138</v>
      </c>
      <c r="C58" s="59" t="s">
        <v>4153</v>
      </c>
      <c r="D58" s="31" t="s">
        <v>1454</v>
      </c>
      <c r="E58" s="59" t="s">
        <v>984</v>
      </c>
      <c r="F58" s="31" t="s">
        <v>4197</v>
      </c>
      <c r="G58" s="31" t="s">
        <v>4158</v>
      </c>
      <c r="H58" s="59" t="s">
        <v>4159</v>
      </c>
      <c r="I58" s="31" t="s">
        <v>4175</v>
      </c>
      <c r="J58" s="60" t="s">
        <v>1453</v>
      </c>
      <c r="K58" s="59" t="s">
        <v>4144</v>
      </c>
      <c r="L58" s="31" t="s">
        <v>4168</v>
      </c>
    </row>
    <row r="59" spans="1:12">
      <c r="A59" s="59">
        <v>56</v>
      </c>
      <c r="B59" s="31" t="s">
        <v>4138</v>
      </c>
      <c r="C59" s="59" t="s">
        <v>4153</v>
      </c>
      <c r="D59" s="31" t="s">
        <v>1459</v>
      </c>
      <c r="E59" s="59" t="s">
        <v>984</v>
      </c>
      <c r="F59" s="31" t="s">
        <v>4197</v>
      </c>
      <c r="G59" s="31" t="s">
        <v>4158</v>
      </c>
      <c r="H59" s="59" t="s">
        <v>4159</v>
      </c>
      <c r="I59" s="31" t="s">
        <v>4175</v>
      </c>
      <c r="J59" s="60" t="s">
        <v>1458</v>
      </c>
      <c r="K59" s="59" t="s">
        <v>4144</v>
      </c>
      <c r="L59" s="31" t="s">
        <v>4194</v>
      </c>
    </row>
    <row r="60" spans="1:12">
      <c r="A60" s="59">
        <v>57</v>
      </c>
      <c r="B60" s="31" t="s">
        <v>4138</v>
      </c>
      <c r="C60" s="59" t="s">
        <v>4153</v>
      </c>
      <c r="D60" s="31" t="s">
        <v>1449</v>
      </c>
      <c r="E60" s="59" t="s">
        <v>901</v>
      </c>
      <c r="F60" s="31" t="s">
        <v>4197</v>
      </c>
      <c r="G60" s="31" t="s">
        <v>4158</v>
      </c>
      <c r="H60" s="59" t="s">
        <v>4159</v>
      </c>
      <c r="I60" s="31" t="s">
        <v>4175</v>
      </c>
      <c r="J60" s="60" t="s">
        <v>1448</v>
      </c>
      <c r="K60" s="59" t="s">
        <v>4144</v>
      </c>
      <c r="L60" s="31" t="s">
        <v>4168</v>
      </c>
    </row>
    <row r="61" spans="1:12">
      <c r="A61" s="59">
        <v>58</v>
      </c>
      <c r="B61" s="31" t="s">
        <v>4138</v>
      </c>
      <c r="C61" s="59" t="s">
        <v>4153</v>
      </c>
      <c r="D61" s="31" t="s">
        <v>1464</v>
      </c>
      <c r="E61" s="59" t="s">
        <v>1413</v>
      </c>
      <c r="F61" s="31" t="s">
        <v>4197</v>
      </c>
      <c r="G61" s="31" t="s">
        <v>4141</v>
      </c>
      <c r="H61" s="59" t="s">
        <v>4159</v>
      </c>
      <c r="I61" s="31" t="s">
        <v>4175</v>
      </c>
      <c r="J61" s="60" t="s">
        <v>1463</v>
      </c>
      <c r="K61" s="59" t="s">
        <v>4144</v>
      </c>
      <c r="L61" s="31" t="s">
        <v>4199</v>
      </c>
    </row>
    <row r="62" spans="1:12">
      <c r="A62" s="59">
        <v>59</v>
      </c>
      <c r="B62" s="31" t="s">
        <v>4138</v>
      </c>
      <c r="C62" s="59" t="s">
        <v>4153</v>
      </c>
      <c r="D62" s="31" t="s">
        <v>4200</v>
      </c>
      <c r="E62" s="59" t="s">
        <v>498</v>
      </c>
      <c r="F62" s="31" t="s">
        <v>2476</v>
      </c>
      <c r="G62" s="31" t="s">
        <v>4201</v>
      </c>
      <c r="H62" s="59" t="s">
        <v>4202</v>
      </c>
      <c r="I62" s="31" t="s">
        <v>4203</v>
      </c>
      <c r="J62" s="60" t="s">
        <v>644</v>
      </c>
      <c r="K62" s="59" t="s">
        <v>4144</v>
      </c>
      <c r="L62" s="31" t="s">
        <v>4204</v>
      </c>
    </row>
    <row r="63" spans="1:12">
      <c r="A63" s="59">
        <v>60</v>
      </c>
      <c r="B63" s="31" t="s">
        <v>4138</v>
      </c>
      <c r="C63" s="59" t="s">
        <v>4153</v>
      </c>
      <c r="D63" s="31" t="s">
        <v>4205</v>
      </c>
      <c r="E63" s="59" t="s">
        <v>488</v>
      </c>
      <c r="F63" s="31" t="s">
        <v>2476</v>
      </c>
      <c r="G63" s="31" t="s">
        <v>4206</v>
      </c>
      <c r="H63" s="59" t="s">
        <v>426</v>
      </c>
      <c r="I63" s="31" t="s">
        <v>4203</v>
      </c>
      <c r="J63" s="60" t="s">
        <v>484</v>
      </c>
      <c r="K63" s="59" t="s">
        <v>4144</v>
      </c>
      <c r="L63" s="31" t="s">
        <v>4207</v>
      </c>
    </row>
    <row r="64" spans="1:12">
      <c r="A64" s="59">
        <v>61</v>
      </c>
      <c r="B64" s="31" t="s">
        <v>4138</v>
      </c>
      <c r="C64" s="59" t="s">
        <v>4153</v>
      </c>
      <c r="D64" s="31" t="s">
        <v>1003</v>
      </c>
      <c r="E64" s="59" t="s">
        <v>498</v>
      </c>
      <c r="F64" s="31" t="s">
        <v>2476</v>
      </c>
      <c r="G64" s="31" t="s">
        <v>4201</v>
      </c>
      <c r="H64" s="59" t="s">
        <v>4202</v>
      </c>
      <c r="I64" s="31" t="s">
        <v>4203</v>
      </c>
      <c r="J64" s="60" t="s">
        <v>4208</v>
      </c>
      <c r="K64" s="59" t="s">
        <v>4144</v>
      </c>
      <c r="L64" s="31" t="s">
        <v>4209</v>
      </c>
    </row>
    <row r="65" spans="1:12">
      <c r="A65" s="59">
        <v>62</v>
      </c>
      <c r="B65" s="31" t="s">
        <v>4138</v>
      </c>
      <c r="C65" s="59" t="s">
        <v>4153</v>
      </c>
      <c r="D65" s="31" t="s">
        <v>4210</v>
      </c>
      <c r="E65" s="59" t="s">
        <v>1013</v>
      </c>
      <c r="F65" s="31" t="s">
        <v>2476</v>
      </c>
      <c r="G65" s="31" t="s">
        <v>4141</v>
      </c>
      <c r="H65" s="59" t="s">
        <v>426</v>
      </c>
      <c r="I65" s="31" t="s">
        <v>4203</v>
      </c>
      <c r="J65" s="60" t="s">
        <v>4211</v>
      </c>
      <c r="K65" s="59" t="s">
        <v>4144</v>
      </c>
      <c r="L65" s="31" t="s">
        <v>4212</v>
      </c>
    </row>
    <row r="66" spans="1:12">
      <c r="A66" s="59">
        <v>63</v>
      </c>
      <c r="B66" s="31" t="s">
        <v>4138</v>
      </c>
      <c r="C66" s="59" t="s">
        <v>4153</v>
      </c>
      <c r="D66" s="31" t="s">
        <v>4213</v>
      </c>
      <c r="E66" s="59" t="s">
        <v>498</v>
      </c>
      <c r="F66" s="31" t="s">
        <v>2476</v>
      </c>
      <c r="G66" s="31" t="s">
        <v>4141</v>
      </c>
      <c r="H66" s="59" t="s">
        <v>426</v>
      </c>
      <c r="I66" s="31" t="s">
        <v>4203</v>
      </c>
      <c r="J66" s="60" t="s">
        <v>4214</v>
      </c>
      <c r="K66" s="59" t="s">
        <v>4144</v>
      </c>
      <c r="L66" s="31" t="s">
        <v>4215</v>
      </c>
    </row>
    <row r="67" spans="1:12">
      <c r="A67" s="59">
        <v>64</v>
      </c>
      <c r="B67" s="31" t="s">
        <v>4138</v>
      </c>
      <c r="C67" s="59" t="s">
        <v>4153</v>
      </c>
      <c r="D67" s="31" t="s">
        <v>4216</v>
      </c>
      <c r="E67" s="59" t="s">
        <v>901</v>
      </c>
      <c r="F67" s="31" t="s">
        <v>2476</v>
      </c>
      <c r="G67" s="31" t="s">
        <v>4141</v>
      </c>
      <c r="H67" s="59" t="s">
        <v>4217</v>
      </c>
      <c r="I67" s="31" t="s">
        <v>4218</v>
      </c>
      <c r="J67" s="60" t="s">
        <v>4219</v>
      </c>
      <c r="K67" s="59" t="s">
        <v>4144</v>
      </c>
      <c r="L67" s="31" t="s">
        <v>4220</v>
      </c>
    </row>
    <row r="68" spans="1:12">
      <c r="A68" s="59">
        <v>65</v>
      </c>
      <c r="B68" s="31" t="s">
        <v>4138</v>
      </c>
      <c r="C68" s="59" t="s">
        <v>4153</v>
      </c>
      <c r="D68" s="31" t="s">
        <v>4221</v>
      </c>
      <c r="E68" s="59" t="s">
        <v>901</v>
      </c>
      <c r="F68" s="31" t="s">
        <v>2476</v>
      </c>
      <c r="G68" s="31" t="s">
        <v>4141</v>
      </c>
      <c r="H68" s="59" t="s">
        <v>314</v>
      </c>
      <c r="I68" s="31" t="s">
        <v>4218</v>
      </c>
      <c r="J68" s="60" t="s">
        <v>4222</v>
      </c>
      <c r="K68" s="59" t="s">
        <v>4144</v>
      </c>
      <c r="L68" s="31" t="s">
        <v>4223</v>
      </c>
    </row>
    <row r="69" spans="1:12">
      <c r="A69" s="59">
        <v>66</v>
      </c>
      <c r="B69" s="31" t="s">
        <v>4138</v>
      </c>
      <c r="C69" s="59" t="s">
        <v>4153</v>
      </c>
      <c r="D69" s="31" t="s">
        <v>4224</v>
      </c>
      <c r="E69" s="59" t="s">
        <v>738</v>
      </c>
      <c r="F69" s="31" t="s">
        <v>2476</v>
      </c>
      <c r="G69" s="31" t="s">
        <v>4141</v>
      </c>
      <c r="H69" s="59" t="s">
        <v>426</v>
      </c>
      <c r="I69" s="31" t="s">
        <v>4218</v>
      </c>
      <c r="J69" s="60" t="s">
        <v>733</v>
      </c>
      <c r="K69" s="59" t="s">
        <v>4144</v>
      </c>
      <c r="L69" s="31" t="s">
        <v>4225</v>
      </c>
    </row>
    <row r="70" spans="1:12">
      <c r="A70" s="59">
        <v>67</v>
      </c>
      <c r="B70" s="31" t="s">
        <v>4138</v>
      </c>
      <c r="C70" s="59" t="s">
        <v>4153</v>
      </c>
      <c r="D70" s="31" t="s">
        <v>4226</v>
      </c>
      <c r="E70" s="59" t="s">
        <v>738</v>
      </c>
      <c r="F70" s="31" t="s">
        <v>2476</v>
      </c>
      <c r="G70" s="31" t="s">
        <v>4227</v>
      </c>
      <c r="H70" s="59" t="s">
        <v>426</v>
      </c>
      <c r="I70" s="31" t="s">
        <v>4218</v>
      </c>
      <c r="J70" s="60" t="s">
        <v>744</v>
      </c>
      <c r="K70" s="59" t="s">
        <v>4144</v>
      </c>
      <c r="L70" s="31" t="s">
        <v>4228</v>
      </c>
    </row>
    <row r="71" spans="1:12">
      <c r="A71" s="59">
        <v>68</v>
      </c>
      <c r="B71" s="31" t="s">
        <v>4138</v>
      </c>
      <c r="C71" s="59" t="s">
        <v>4153</v>
      </c>
      <c r="D71" s="31" t="s">
        <v>1470</v>
      </c>
      <c r="E71" s="59" t="s">
        <v>738</v>
      </c>
      <c r="F71" s="31" t="s">
        <v>2476</v>
      </c>
      <c r="G71" s="31" t="s">
        <v>4141</v>
      </c>
      <c r="H71" s="59" t="s">
        <v>426</v>
      </c>
      <c r="I71" s="31" t="s">
        <v>4203</v>
      </c>
      <c r="J71" s="60" t="s">
        <v>1469</v>
      </c>
      <c r="K71" s="59" t="s">
        <v>4144</v>
      </c>
      <c r="L71" s="31" t="s">
        <v>4229</v>
      </c>
    </row>
    <row r="72" spans="1:12">
      <c r="A72" s="59">
        <v>69</v>
      </c>
      <c r="B72" s="31" t="s">
        <v>4138</v>
      </c>
      <c r="C72" s="59" t="s">
        <v>4153</v>
      </c>
      <c r="D72" s="31" t="s">
        <v>1477</v>
      </c>
      <c r="E72" s="59" t="s">
        <v>738</v>
      </c>
      <c r="F72" s="31" t="s">
        <v>2476</v>
      </c>
      <c r="G72" s="31" t="s">
        <v>4141</v>
      </c>
      <c r="H72" s="59" t="s">
        <v>426</v>
      </c>
      <c r="I72" s="31" t="s">
        <v>4203</v>
      </c>
      <c r="J72" s="60" t="s">
        <v>1476</v>
      </c>
      <c r="K72" s="59" t="s">
        <v>4144</v>
      </c>
      <c r="L72" s="31" t="s">
        <v>4230</v>
      </c>
    </row>
    <row r="73" spans="1:12">
      <c r="A73" s="59">
        <v>70</v>
      </c>
      <c r="B73" s="31" t="s">
        <v>4138</v>
      </c>
      <c r="C73" s="59" t="s">
        <v>4153</v>
      </c>
      <c r="D73" s="31" t="s">
        <v>1483</v>
      </c>
      <c r="E73" s="59" t="s">
        <v>738</v>
      </c>
      <c r="F73" s="31" t="s">
        <v>2476</v>
      </c>
      <c r="G73" s="31" t="s">
        <v>4141</v>
      </c>
      <c r="H73" s="59" t="s">
        <v>426</v>
      </c>
      <c r="I73" s="31" t="s">
        <v>4203</v>
      </c>
      <c r="J73" s="60" t="s">
        <v>1482</v>
      </c>
      <c r="K73" s="59" t="s">
        <v>4144</v>
      </c>
      <c r="L73" s="31" t="s">
        <v>4230</v>
      </c>
    </row>
    <row r="74" spans="1:12">
      <c r="A74" s="59">
        <v>71</v>
      </c>
      <c r="B74" s="31" t="s">
        <v>4138</v>
      </c>
      <c r="C74" s="59" t="s">
        <v>4153</v>
      </c>
      <c r="D74" s="31" t="s">
        <v>4231</v>
      </c>
      <c r="E74" s="59" t="s">
        <v>738</v>
      </c>
      <c r="F74" s="31" t="s">
        <v>2476</v>
      </c>
      <c r="G74" s="31" t="s">
        <v>4141</v>
      </c>
      <c r="H74" s="59" t="s">
        <v>426</v>
      </c>
      <c r="I74" s="31" t="s">
        <v>4203</v>
      </c>
      <c r="J74" s="60" t="s">
        <v>1488</v>
      </c>
      <c r="K74" s="59" t="s">
        <v>4144</v>
      </c>
      <c r="L74" s="31" t="s">
        <v>4230</v>
      </c>
    </row>
    <row r="75" spans="1:12">
      <c r="A75" s="59">
        <v>72</v>
      </c>
      <c r="B75" s="31" t="s">
        <v>4138</v>
      </c>
      <c r="C75" s="59" t="s">
        <v>4153</v>
      </c>
      <c r="D75" s="31" t="s">
        <v>1495</v>
      </c>
      <c r="E75" s="59" t="s">
        <v>738</v>
      </c>
      <c r="F75" s="31" t="s">
        <v>2476</v>
      </c>
      <c r="G75" s="31" t="s">
        <v>4141</v>
      </c>
      <c r="H75" s="59" t="s">
        <v>426</v>
      </c>
      <c r="I75" s="31" t="s">
        <v>4203</v>
      </c>
      <c r="J75" s="60" t="s">
        <v>1494</v>
      </c>
      <c r="K75" s="59" t="s">
        <v>4144</v>
      </c>
      <c r="L75" s="31" t="s">
        <v>4230</v>
      </c>
    </row>
    <row r="76" spans="1:12">
      <c r="A76" s="59">
        <v>73</v>
      </c>
      <c r="B76" s="31" t="s">
        <v>4138</v>
      </c>
      <c r="C76" s="59" t="s">
        <v>4153</v>
      </c>
      <c r="D76" s="31" t="s">
        <v>1501</v>
      </c>
      <c r="E76" s="59" t="s">
        <v>738</v>
      </c>
      <c r="F76" s="31" t="s">
        <v>3962</v>
      </c>
      <c r="G76" s="31" t="s">
        <v>4141</v>
      </c>
      <c r="H76" s="59" t="s">
        <v>314</v>
      </c>
      <c r="I76" s="31" t="s">
        <v>4203</v>
      </c>
      <c r="J76" s="60" t="s">
        <v>1500</v>
      </c>
      <c r="K76" s="59" t="s">
        <v>4144</v>
      </c>
      <c r="L76" s="31" t="s">
        <v>4232</v>
      </c>
    </row>
    <row r="77" spans="1:12">
      <c r="A77" s="59">
        <v>74</v>
      </c>
      <c r="B77" s="31" t="s">
        <v>4138</v>
      </c>
      <c r="C77" s="59" t="s">
        <v>4153</v>
      </c>
      <c r="D77" s="31" t="s">
        <v>4233</v>
      </c>
      <c r="E77" s="59" t="s">
        <v>4151</v>
      </c>
      <c r="F77" s="31" t="s">
        <v>3962</v>
      </c>
      <c r="G77" s="31" t="s">
        <v>702</v>
      </c>
      <c r="H77" s="59" t="s">
        <v>1007</v>
      </c>
      <c r="I77" s="31" t="s">
        <v>4175</v>
      </c>
      <c r="J77" s="60" t="s">
        <v>4234</v>
      </c>
      <c r="K77" s="59" t="s">
        <v>4144</v>
      </c>
      <c r="L77" s="31" t="s">
        <v>4235</v>
      </c>
    </row>
    <row r="78" spans="1:12">
      <c r="A78" s="59">
        <v>75</v>
      </c>
      <c r="B78" s="31" t="s">
        <v>4138</v>
      </c>
      <c r="C78" s="59" t="s">
        <v>4153</v>
      </c>
      <c r="D78" s="31" t="s">
        <v>1552</v>
      </c>
      <c r="E78" s="59" t="s">
        <v>4151</v>
      </c>
      <c r="F78" s="31" t="s">
        <v>3962</v>
      </c>
      <c r="G78" s="31" t="s">
        <v>4236</v>
      </c>
      <c r="H78" s="59" t="s">
        <v>4237</v>
      </c>
      <c r="I78" s="31" t="s">
        <v>4175</v>
      </c>
      <c r="J78" s="60" t="s">
        <v>4238</v>
      </c>
      <c r="K78" s="59" t="s">
        <v>4144</v>
      </c>
      <c r="L78" s="31" t="s">
        <v>4239</v>
      </c>
    </row>
    <row r="79" spans="1:12">
      <c r="A79" s="59">
        <v>76</v>
      </c>
      <c r="B79" s="31" t="s">
        <v>4138</v>
      </c>
      <c r="C79" s="59" t="s">
        <v>4153</v>
      </c>
      <c r="D79" s="31" t="s">
        <v>1544</v>
      </c>
      <c r="E79" s="59" t="s">
        <v>4151</v>
      </c>
      <c r="F79" s="31" t="s">
        <v>3962</v>
      </c>
      <c r="G79" s="31" t="s">
        <v>4158</v>
      </c>
      <c r="H79" s="59" t="s">
        <v>1007</v>
      </c>
      <c r="I79" s="31" t="s">
        <v>4203</v>
      </c>
      <c r="J79" s="60" t="s">
        <v>1543</v>
      </c>
      <c r="K79" s="59" t="s">
        <v>4144</v>
      </c>
      <c r="L79" s="31" t="s">
        <v>4240</v>
      </c>
    </row>
    <row r="80" spans="1:12">
      <c r="A80" s="59">
        <v>77</v>
      </c>
      <c r="B80" s="31" t="s">
        <v>4138</v>
      </c>
      <c r="C80" s="59" t="s">
        <v>4153</v>
      </c>
      <c r="D80" s="31" t="s">
        <v>1530</v>
      </c>
      <c r="E80" s="59" t="s">
        <v>4151</v>
      </c>
      <c r="F80" s="31" t="s">
        <v>2476</v>
      </c>
      <c r="G80" s="31" t="s">
        <v>4241</v>
      </c>
      <c r="H80" s="59" t="s">
        <v>426</v>
      </c>
      <c r="I80" s="31" t="s">
        <v>4218</v>
      </c>
      <c r="J80" s="60" t="s">
        <v>1047</v>
      </c>
      <c r="K80" s="59" t="s">
        <v>4144</v>
      </c>
      <c r="L80" s="31" t="s">
        <v>4145</v>
      </c>
    </row>
    <row r="81" spans="1:12">
      <c r="A81" s="59">
        <v>78</v>
      </c>
      <c r="B81" s="31" t="s">
        <v>4138</v>
      </c>
      <c r="C81" s="59" t="s">
        <v>4153</v>
      </c>
      <c r="D81" s="31" t="s">
        <v>1537</v>
      </c>
      <c r="E81" s="59" t="s">
        <v>4151</v>
      </c>
      <c r="F81" s="31" t="s">
        <v>2476</v>
      </c>
      <c r="G81" s="31" t="s">
        <v>4242</v>
      </c>
      <c r="H81" s="59" t="s">
        <v>426</v>
      </c>
      <c r="I81" s="31" t="s">
        <v>4218</v>
      </c>
      <c r="J81" s="60" t="s">
        <v>1059</v>
      </c>
      <c r="K81" s="59" t="s">
        <v>4144</v>
      </c>
      <c r="L81" s="31" t="s">
        <v>4146</v>
      </c>
    </row>
    <row r="82" spans="1:12">
      <c r="A82" s="59">
        <v>79</v>
      </c>
      <c r="B82" s="31" t="s">
        <v>4243</v>
      </c>
      <c r="C82" s="59" t="s">
        <v>4153</v>
      </c>
      <c r="D82" s="31" t="s">
        <v>1092</v>
      </c>
      <c r="E82" s="59" t="s">
        <v>314</v>
      </c>
      <c r="F82" s="31" t="s">
        <v>4140</v>
      </c>
      <c r="G82" s="31" t="s">
        <v>4158</v>
      </c>
      <c r="H82" s="59" t="s">
        <v>314</v>
      </c>
      <c r="I82" s="31" t="s">
        <v>4175</v>
      </c>
      <c r="J82" s="60" t="s">
        <v>1091</v>
      </c>
      <c r="K82" s="59" t="s">
        <v>4244</v>
      </c>
      <c r="L82" s="31" t="s">
        <v>4245</v>
      </c>
    </row>
    <row r="83" spans="1:12">
      <c r="A83" s="59">
        <v>80</v>
      </c>
      <c r="B83" s="31" t="s">
        <v>4243</v>
      </c>
      <c r="C83" s="59" t="s">
        <v>4153</v>
      </c>
      <c r="D83" s="31" t="s">
        <v>1165</v>
      </c>
      <c r="E83" s="59" t="s">
        <v>314</v>
      </c>
      <c r="F83" s="31" t="s">
        <v>4140</v>
      </c>
      <c r="G83" s="31" t="s">
        <v>4158</v>
      </c>
      <c r="H83" s="59" t="s">
        <v>314</v>
      </c>
      <c r="I83" s="31" t="s">
        <v>4175</v>
      </c>
      <c r="J83" s="60" t="s">
        <v>1164</v>
      </c>
      <c r="K83" s="59" t="s">
        <v>4244</v>
      </c>
      <c r="L83" s="31" t="s">
        <v>4246</v>
      </c>
    </row>
    <row r="84" spans="1:12">
      <c r="A84" s="59">
        <v>81</v>
      </c>
      <c r="B84" s="31" t="s">
        <v>4243</v>
      </c>
      <c r="C84" s="59" t="s">
        <v>4153</v>
      </c>
      <c r="D84" s="31" t="s">
        <v>1171</v>
      </c>
      <c r="E84" s="59" t="s">
        <v>314</v>
      </c>
      <c r="F84" s="31" t="s">
        <v>4140</v>
      </c>
      <c r="G84" s="31" t="s">
        <v>4158</v>
      </c>
      <c r="H84" s="59" t="s">
        <v>314</v>
      </c>
      <c r="I84" s="31" t="s">
        <v>4175</v>
      </c>
      <c r="J84" s="60" t="s">
        <v>1170</v>
      </c>
      <c r="K84" s="59" t="s">
        <v>4244</v>
      </c>
      <c r="L84" s="31" t="s">
        <v>4247</v>
      </c>
    </row>
    <row r="85" spans="1:12">
      <c r="A85" s="59">
        <v>82</v>
      </c>
      <c r="B85" s="31" t="s">
        <v>4243</v>
      </c>
      <c r="C85" s="59" t="s">
        <v>4153</v>
      </c>
      <c r="D85" s="31" t="s">
        <v>1175</v>
      </c>
      <c r="E85" s="59" t="s">
        <v>314</v>
      </c>
      <c r="F85" s="31" t="s">
        <v>4140</v>
      </c>
      <c r="G85" s="31" t="s">
        <v>4158</v>
      </c>
      <c r="H85" s="59" t="s">
        <v>314</v>
      </c>
      <c r="I85" s="31" t="s">
        <v>4175</v>
      </c>
      <c r="J85" s="60" t="s">
        <v>1174</v>
      </c>
      <c r="K85" s="59" t="s">
        <v>4244</v>
      </c>
      <c r="L85" s="31" t="s">
        <v>4247</v>
      </c>
    </row>
    <row r="86" spans="1:12">
      <c r="A86" s="59">
        <v>83</v>
      </c>
      <c r="B86" s="31" t="s">
        <v>4243</v>
      </c>
      <c r="C86" s="59" t="s">
        <v>4153</v>
      </c>
      <c r="D86" s="31" t="s">
        <v>1179</v>
      </c>
      <c r="E86" s="59" t="s">
        <v>314</v>
      </c>
      <c r="F86" s="31" t="s">
        <v>4140</v>
      </c>
      <c r="G86" s="31" t="s">
        <v>4158</v>
      </c>
      <c r="H86" s="59" t="s">
        <v>314</v>
      </c>
      <c r="I86" s="31" t="s">
        <v>4175</v>
      </c>
      <c r="J86" s="60" t="s">
        <v>1178</v>
      </c>
      <c r="K86" s="59" t="s">
        <v>4244</v>
      </c>
      <c r="L86" s="31" t="s">
        <v>4247</v>
      </c>
    </row>
    <row r="87" spans="1:12">
      <c r="A87" s="59">
        <v>84</v>
      </c>
      <c r="B87" s="31" t="s">
        <v>4243</v>
      </c>
      <c r="C87" s="59" t="s">
        <v>4153</v>
      </c>
      <c r="D87" s="31" t="s">
        <v>1183</v>
      </c>
      <c r="E87" s="59" t="s">
        <v>314</v>
      </c>
      <c r="F87" s="31" t="s">
        <v>4140</v>
      </c>
      <c r="G87" s="31" t="s">
        <v>4158</v>
      </c>
      <c r="H87" s="59" t="s">
        <v>314</v>
      </c>
      <c r="I87" s="31" t="s">
        <v>4175</v>
      </c>
      <c r="J87" s="60" t="s">
        <v>1182</v>
      </c>
      <c r="K87" s="59" t="s">
        <v>4244</v>
      </c>
      <c r="L87" s="31" t="s">
        <v>4247</v>
      </c>
    </row>
    <row r="88" spans="1:12">
      <c r="A88" s="59">
        <v>85</v>
      </c>
      <c r="B88" s="31" t="s">
        <v>4243</v>
      </c>
      <c r="C88" s="59" t="s">
        <v>4153</v>
      </c>
      <c r="D88" s="31" t="s">
        <v>1187</v>
      </c>
      <c r="E88" s="59" t="s">
        <v>314</v>
      </c>
      <c r="F88" s="31" t="s">
        <v>4140</v>
      </c>
      <c r="G88" s="31" t="s">
        <v>4158</v>
      </c>
      <c r="H88" s="59" t="s">
        <v>314</v>
      </c>
      <c r="I88" s="31" t="s">
        <v>4175</v>
      </c>
      <c r="J88" s="60" t="s">
        <v>1186</v>
      </c>
      <c r="K88" s="59" t="s">
        <v>4244</v>
      </c>
      <c r="L88" s="31" t="s">
        <v>4247</v>
      </c>
    </row>
    <row r="89" spans="1:12">
      <c r="A89" s="59">
        <v>86</v>
      </c>
      <c r="B89" s="31" t="s">
        <v>4243</v>
      </c>
      <c r="C89" s="59" t="s">
        <v>4153</v>
      </c>
      <c r="D89" s="31" t="s">
        <v>1193</v>
      </c>
      <c r="E89" s="59" t="s">
        <v>314</v>
      </c>
      <c r="F89" s="31" t="s">
        <v>4140</v>
      </c>
      <c r="G89" s="31" t="s">
        <v>4158</v>
      </c>
      <c r="H89" s="59" t="s">
        <v>314</v>
      </c>
      <c r="I89" s="31" t="s">
        <v>4175</v>
      </c>
      <c r="J89" s="60" t="s">
        <v>1192</v>
      </c>
      <c r="K89" s="59" t="s">
        <v>4244</v>
      </c>
      <c r="L89" s="31" t="s">
        <v>4247</v>
      </c>
    </row>
    <row r="90" spans="1:12">
      <c r="A90" s="59">
        <v>87</v>
      </c>
      <c r="B90" s="31" t="s">
        <v>4243</v>
      </c>
      <c r="C90" s="59" t="s">
        <v>4153</v>
      </c>
      <c r="D90" s="31" t="s">
        <v>1197</v>
      </c>
      <c r="E90" s="59" t="s">
        <v>314</v>
      </c>
      <c r="F90" s="31" t="s">
        <v>4140</v>
      </c>
      <c r="G90" s="31" t="s">
        <v>4158</v>
      </c>
      <c r="H90" s="59" t="s">
        <v>314</v>
      </c>
      <c r="I90" s="31" t="s">
        <v>4175</v>
      </c>
      <c r="J90" s="60" t="s">
        <v>1196</v>
      </c>
      <c r="K90" s="59" t="s">
        <v>4244</v>
      </c>
      <c r="L90" s="31" t="s">
        <v>4247</v>
      </c>
    </row>
    <row r="91" spans="1:12">
      <c r="A91" s="59">
        <v>88</v>
      </c>
      <c r="B91" s="31" t="s">
        <v>4243</v>
      </c>
      <c r="C91" s="59" t="s">
        <v>4153</v>
      </c>
      <c r="D91" s="31" t="s">
        <v>1201</v>
      </c>
      <c r="E91" s="59" t="s">
        <v>314</v>
      </c>
      <c r="F91" s="31" t="s">
        <v>4140</v>
      </c>
      <c r="G91" s="31" t="s">
        <v>4158</v>
      </c>
      <c r="H91" s="59" t="s">
        <v>314</v>
      </c>
      <c r="I91" s="31" t="s">
        <v>4175</v>
      </c>
      <c r="J91" s="60" t="s">
        <v>1200</v>
      </c>
      <c r="K91" s="59" t="s">
        <v>4244</v>
      </c>
      <c r="L91" s="31" t="s">
        <v>4247</v>
      </c>
    </row>
    <row r="92" spans="1:12">
      <c r="A92" s="59">
        <v>89</v>
      </c>
      <c r="B92" s="31" t="s">
        <v>4243</v>
      </c>
      <c r="C92" s="59" t="s">
        <v>4153</v>
      </c>
      <c r="D92" s="31" t="s">
        <v>1205</v>
      </c>
      <c r="E92" s="59" t="s">
        <v>314</v>
      </c>
      <c r="F92" s="31" t="s">
        <v>4140</v>
      </c>
      <c r="G92" s="31" t="s">
        <v>4158</v>
      </c>
      <c r="H92" s="59" t="s">
        <v>314</v>
      </c>
      <c r="I92" s="31" t="s">
        <v>4175</v>
      </c>
      <c r="J92" s="60" t="s">
        <v>1204</v>
      </c>
      <c r="K92" s="59" t="s">
        <v>4244</v>
      </c>
      <c r="L92" s="31" t="s">
        <v>4247</v>
      </c>
    </row>
    <row r="93" spans="1:12">
      <c r="A93" s="59">
        <v>90</v>
      </c>
      <c r="B93" s="31" t="s">
        <v>4243</v>
      </c>
      <c r="C93" s="59" t="s">
        <v>4153</v>
      </c>
      <c r="D93" s="31" t="s">
        <v>4248</v>
      </c>
      <c r="E93" s="59" t="s">
        <v>314</v>
      </c>
      <c r="F93" s="31" t="s">
        <v>4140</v>
      </c>
      <c r="G93" s="31" t="s">
        <v>4158</v>
      </c>
      <c r="H93" s="59" t="s">
        <v>314</v>
      </c>
      <c r="I93" s="31" t="s">
        <v>4175</v>
      </c>
      <c r="J93" s="60" t="s">
        <v>677</v>
      </c>
      <c r="K93" s="59" t="s">
        <v>4244</v>
      </c>
      <c r="L93" s="31" t="s">
        <v>4249</v>
      </c>
    </row>
    <row r="94" spans="1:12">
      <c r="A94" s="59">
        <v>91</v>
      </c>
      <c r="B94" s="31" t="s">
        <v>4243</v>
      </c>
      <c r="C94" s="59" t="s">
        <v>4153</v>
      </c>
      <c r="D94" s="31" t="s">
        <v>4250</v>
      </c>
      <c r="E94" s="59" t="s">
        <v>314</v>
      </c>
      <c r="F94" s="31" t="s">
        <v>4140</v>
      </c>
      <c r="G94" s="31" t="s">
        <v>4158</v>
      </c>
      <c r="H94" s="59" t="s">
        <v>314</v>
      </c>
      <c r="I94" s="31" t="s">
        <v>4175</v>
      </c>
      <c r="J94" s="60" t="s">
        <v>666</v>
      </c>
      <c r="K94" s="59" t="s">
        <v>4244</v>
      </c>
      <c r="L94" s="31" t="s">
        <v>4251</v>
      </c>
    </row>
    <row r="95" spans="1:12">
      <c r="A95" s="59">
        <v>92</v>
      </c>
      <c r="B95" s="31" t="s">
        <v>4243</v>
      </c>
      <c r="C95" s="59" t="s">
        <v>4153</v>
      </c>
      <c r="D95" s="31" t="s">
        <v>1523</v>
      </c>
      <c r="E95" s="59" t="s">
        <v>314</v>
      </c>
      <c r="F95" s="31" t="s">
        <v>4140</v>
      </c>
      <c r="G95" s="31" t="s">
        <v>4158</v>
      </c>
      <c r="H95" s="59" t="s">
        <v>314</v>
      </c>
      <c r="I95" s="31" t="s">
        <v>4175</v>
      </c>
      <c r="J95" s="60" t="s">
        <v>1522</v>
      </c>
      <c r="K95" s="59" t="s">
        <v>4244</v>
      </c>
      <c r="L95" s="31" t="s">
        <v>4252</v>
      </c>
    </row>
    <row r="96" spans="1:12">
      <c r="A96" s="59">
        <v>93</v>
      </c>
      <c r="B96" s="31" t="s">
        <v>4243</v>
      </c>
      <c r="C96" s="59" t="s">
        <v>4153</v>
      </c>
      <c r="D96" s="31" t="s">
        <v>4253</v>
      </c>
      <c r="E96" s="59" t="s">
        <v>314</v>
      </c>
      <c r="F96" s="31" t="s">
        <v>4140</v>
      </c>
      <c r="G96" s="31" t="s">
        <v>4158</v>
      </c>
      <c r="H96" s="59" t="s">
        <v>314</v>
      </c>
      <c r="I96" s="31" t="s">
        <v>4175</v>
      </c>
      <c r="J96" s="60" t="s">
        <v>4254</v>
      </c>
      <c r="K96" s="59" t="s">
        <v>4244</v>
      </c>
      <c r="L96" s="31" t="s">
        <v>4255</v>
      </c>
    </row>
    <row r="98" spans="1:5" ht="52" customHeight="1">
      <c r="A98" s="63" t="s">
        <v>4256</v>
      </c>
      <c r="C98" s="64" t="s">
        <v>4257</v>
      </c>
      <c r="E98" s="65" t="s">
        <v>4258</v>
      </c>
    </row>
    <row r="99" spans="1:5" ht="52" customHeight="1">
      <c r="A99" s="63" t="s">
        <v>4259</v>
      </c>
      <c r="C99" s="64" t="s">
        <v>4260</v>
      </c>
      <c r="E99" s="65" t="s">
        <v>4261</v>
      </c>
    </row>
    <row r="100" spans="1:5" ht="52" customHeight="1">
      <c r="A100" s="63" t="s">
        <v>818</v>
      </c>
      <c r="C100" s="64" t="s">
        <v>4262</v>
      </c>
      <c r="E100" s="65" t="s">
        <v>4263</v>
      </c>
    </row>
    <row r="101" spans="1:5" ht="52" customHeight="1">
      <c r="A101" s="63" t="s">
        <v>4264</v>
      </c>
      <c r="C101" s="64" t="s">
        <v>4265</v>
      </c>
      <c r="E101" s="65" t="s">
        <v>4266</v>
      </c>
    </row>
    <row r="102" spans="1:5" ht="52" customHeight="1">
      <c r="A102" s="63" t="s">
        <v>534</v>
      </c>
      <c r="C102" s="64" t="s">
        <v>4267</v>
      </c>
      <c r="E102" s="65" t="s">
        <v>4268</v>
      </c>
    </row>
  </sheetData>
  <autoFilter ref="A3:L96"/>
  <mergeCells count="17">
    <mergeCell ref="A100:B100"/>
    <mergeCell ref="A2:L2"/>
    <mergeCell ref="A101:B101"/>
    <mergeCell ref="C101:D101"/>
    <mergeCell ref="E101:L101"/>
    <mergeCell ref="C100:D100"/>
    <mergeCell ref="E100:L100"/>
    <mergeCell ref="A98:B98"/>
    <mergeCell ref="C98:D98"/>
    <mergeCell ref="A1:L1"/>
    <mergeCell ref="A99:B99"/>
    <mergeCell ref="E99:L99"/>
    <mergeCell ref="C99:D99"/>
    <mergeCell ref="A102:B102"/>
    <mergeCell ref="E98:L98"/>
    <mergeCell ref="C102:D102"/>
    <mergeCell ref="E102:L102"/>
  </mergeCells>
  <printOptions horizontalCentered="1"/>
  <pageMargins left="0.28" right="0.28" top="0.4" bottom="0.4" header="0.5" footer="0.5"/>
  <pageSetup paperSize="9" fitToWidth="1" fitToHeight="0" orientation="landscape"/>
</worksheet>
</file>

<file path=xl/worksheets/sheet9.xml><?xml version="1.0" encoding="utf-8"?>
<worksheet xmlns="http://schemas.openxmlformats.org/spreadsheetml/2006/main">
  <sheetPr>
    <tabColor rgb="FF0F7B6C"/>
    <outlinePr summaryBelow="1" summaryRight="1"/>
    <pageSetUpPr fitToPage="1"/>
  </sheetPr>
  <dimension ref="S230"/>
  <sheetViews>
    <sheetView showGridLines="1" workbookViewId="0">
      <pane xSplit="3" ySplit="3" topLeftCell="D4" activePane="bottomRight" state="frozen"/>
    </sheetView>
  </sheetViews>
  <sheetFormatPr baseColWidth="8" defaultRowHeight="15"/>
  <cols>
    <col min="1" max="1" width="5" customWidth="1"/>
    <col min="2" max="2" width="10" customWidth="1"/>
    <col min="3" max="3" width="30" customWidth="1"/>
    <col min="4" max="4" width="10" customWidth="1"/>
    <col min="5" max="5" width="13" customWidth="1"/>
    <col min="6" max="6" width="34" customWidth="1"/>
    <col min="7" max="7" width="13.4922" customWidth="1"/>
    <col min="8" max="8" width="10" customWidth="1"/>
    <col min="9" max="9" width="11" customWidth="1"/>
    <col min="10" max="10" width="38" customWidth="1"/>
    <col min="11" max="11" width="11" customWidth="1"/>
    <col min="12" max="12" width="12" customWidth="1"/>
    <col min="13" max="13" width="11" customWidth="1"/>
    <col min="14" max="14" width="15" customWidth="1"/>
    <col min="15" max="15" width="12" customWidth="1"/>
    <col min="16" max="16" width="26" customWidth="1"/>
    <col min="17" max="17" width="12" customWidth="1"/>
    <col min="18" max="18" width="20" customWidth="1"/>
    <col min="19" max="19" width="62" customWidth="1"/>
  </cols>
  <sheetData>
    <row r="1" spans="1:1" ht="30" customHeight="1">
      <c r="A1" s="4" t="s">
        <v>4269</v>
      </c>
    </row>
    <row r="2" spans="1:1" ht="18" customHeight="1">
      <c r="A2" s="5" t="s">
        <v>4270</v>
      </c>
    </row>
    <row r="3" spans="1:19" ht="34" customHeight="1">
      <c r="A3" s="12" t="s">
        <v>308</v>
      </c>
      <c r="B3" s="12" t="s">
        <v>72</v>
      </c>
      <c r="C3" s="12" t="s">
        <v>73</v>
      </c>
      <c r="D3" s="12" t="s">
        <v>74</v>
      </c>
      <c r="E3" s="12" t="s">
        <v>79</v>
      </c>
      <c r="F3" s="12" t="s">
        <v>77</v>
      </c>
      <c r="G3" s="12" t="s">
        <v>4271</v>
      </c>
      <c r="H3" s="12" t="s">
        <v>4272</v>
      </c>
      <c r="I3" s="12" t="s">
        <v>44</v>
      </c>
      <c r="J3" s="12" t="s">
        <v>45</v>
      </c>
      <c r="K3" s="12" t="s">
        <v>4273</v>
      </c>
      <c r="L3" s="12" t="s">
        <v>53</v>
      </c>
      <c r="M3" s="12" t="s">
        <v>51</v>
      </c>
      <c r="N3" s="12" t="s">
        <v>49</v>
      </c>
      <c r="O3" s="12" t="s">
        <v>50</v>
      </c>
      <c r="P3" s="12" t="s">
        <v>58</v>
      </c>
      <c r="Q3" s="12" t="s">
        <v>60</v>
      </c>
      <c r="R3" s="12" t="s">
        <v>63</v>
      </c>
      <c r="S3" s="12" t="s">
        <v>4274</v>
      </c>
    </row>
    <row r="4" spans="1:19">
      <c r="A4" s="66">
        <v>1</v>
      </c>
      <c r="B4" s="67" t="s">
        <v>866</v>
      </c>
      <c r="C4" s="68" t="s">
        <v>2459</v>
      </c>
      <c r="D4" s="66" t="s">
        <v>2956</v>
      </c>
      <c r="E4" s="66" t="s">
        <v>2464</v>
      </c>
      <c r="F4" s="69" t="s">
        <v>2958</v>
      </c>
      <c r="G4" s="70" t="s">
        <v>4275</v>
      </c>
      <c r="H4" s="66" t="s">
        <v>314</v>
      </c>
      <c r="I4" s="69" t="s">
        <v>314</v>
      </c>
      <c r="J4" s="68" t="s">
        <v>314</v>
      </c>
      <c r="K4" s="66" t="s">
        <v>4276</v>
      </c>
      <c r="L4" s="66" t="s">
        <v>314</v>
      </c>
      <c r="M4" s="66" t="s">
        <v>314</v>
      </c>
      <c r="N4" s="68" t="s">
        <v>314</v>
      </c>
      <c r="O4" s="68" t="s">
        <v>314</v>
      </c>
      <c r="P4" s="68" t="s">
        <v>314</v>
      </c>
      <c r="Q4" s="66" t="s">
        <v>314</v>
      </c>
      <c r="R4" s="68" t="s">
        <v>314</v>
      </c>
      <c r="S4" s="68" t="s">
        <v>2471</v>
      </c>
    </row>
    <row r="5" spans="1:19">
      <c r="A5" s="59">
        <v>2</v>
      </c>
      <c r="B5" s="58" t="s">
        <v>873</v>
      </c>
      <c r="C5" s="31" t="s">
        <v>2473</v>
      </c>
      <c r="D5" s="59" t="s">
        <v>2956</v>
      </c>
      <c r="E5" s="59" t="s">
        <v>984</v>
      </c>
      <c r="F5" s="60" t="s">
        <v>2965</v>
      </c>
      <c r="G5" s="19" t="s">
        <v>4275</v>
      </c>
      <c r="H5" s="59" t="s">
        <v>3491</v>
      </c>
      <c r="I5" s="60" t="s">
        <v>868</v>
      </c>
      <c r="J5" s="31" t="s">
        <v>869</v>
      </c>
      <c r="K5" s="59" t="s">
        <v>4277</v>
      </c>
      <c r="L5" s="59" t="s">
        <v>547</v>
      </c>
      <c r="M5" s="59" t="s">
        <v>132</v>
      </c>
      <c r="N5" s="31" t="s">
        <v>314</v>
      </c>
      <c r="O5" s="31" t="s">
        <v>314</v>
      </c>
      <c r="P5" s="31" t="s">
        <v>371</v>
      </c>
      <c r="Q5" s="59" t="s">
        <v>320</v>
      </c>
      <c r="R5" s="31" t="s">
        <v>338</v>
      </c>
      <c r="S5" s="31" t="s">
        <v>4278</v>
      </c>
    </row>
    <row r="6" spans="1:19">
      <c r="A6" s="59">
        <v>3</v>
      </c>
      <c r="B6" s="58" t="s">
        <v>873</v>
      </c>
      <c r="C6" s="31" t="s">
        <v>2473</v>
      </c>
      <c r="D6" s="59" t="s">
        <v>2956</v>
      </c>
      <c r="E6" s="59" t="s">
        <v>984</v>
      </c>
      <c r="F6" s="60" t="s">
        <v>2965</v>
      </c>
      <c r="G6" s="19" t="s">
        <v>4275</v>
      </c>
      <c r="H6" s="59" t="s">
        <v>3493</v>
      </c>
      <c r="I6" s="60" t="s">
        <v>876</v>
      </c>
      <c r="J6" s="31" t="s">
        <v>877</v>
      </c>
      <c r="K6" s="59" t="s">
        <v>4277</v>
      </c>
      <c r="L6" s="59" t="s">
        <v>547</v>
      </c>
      <c r="M6" s="59" t="s">
        <v>132</v>
      </c>
      <c r="N6" s="31" t="s">
        <v>314</v>
      </c>
      <c r="O6" s="31" t="s">
        <v>314</v>
      </c>
      <c r="P6" s="31" t="s">
        <v>382</v>
      </c>
      <c r="Q6" s="59" t="s">
        <v>320</v>
      </c>
      <c r="R6" s="31" t="s">
        <v>338</v>
      </c>
      <c r="S6" s="31" t="s">
        <v>4279</v>
      </c>
    </row>
    <row r="7" spans="1:19">
      <c r="A7" s="66">
        <v>4</v>
      </c>
      <c r="B7" s="67" t="s">
        <v>550</v>
      </c>
      <c r="C7" s="68" t="s">
        <v>533</v>
      </c>
      <c r="D7" s="66" t="s">
        <v>2956</v>
      </c>
      <c r="E7" s="66" t="s">
        <v>536</v>
      </c>
      <c r="F7" s="69" t="s">
        <v>2972</v>
      </c>
      <c r="G7" s="70" t="s">
        <v>4275</v>
      </c>
      <c r="H7" s="66" t="s">
        <v>4280</v>
      </c>
      <c r="I7" s="69" t="s">
        <v>543</v>
      </c>
      <c r="J7" s="68" t="s">
        <v>544</v>
      </c>
      <c r="K7" s="66" t="s">
        <v>4277</v>
      </c>
      <c r="L7" s="66" t="s">
        <v>547</v>
      </c>
      <c r="M7" s="66" t="s">
        <v>421</v>
      </c>
      <c r="N7" s="68" t="s">
        <v>314</v>
      </c>
      <c r="O7" s="68" t="s">
        <v>314</v>
      </c>
      <c r="P7" s="68" t="s">
        <v>395</v>
      </c>
      <c r="Q7" s="66" t="s">
        <v>510</v>
      </c>
      <c r="R7" s="68" t="s">
        <v>549</v>
      </c>
      <c r="S7" s="68" t="s">
        <v>4281</v>
      </c>
    </row>
    <row r="8" spans="1:19">
      <c r="A8" s="66">
        <v>5</v>
      </c>
      <c r="B8" s="67" t="s">
        <v>550</v>
      </c>
      <c r="C8" s="68" t="s">
        <v>533</v>
      </c>
      <c r="D8" s="66" t="s">
        <v>2956</v>
      </c>
      <c r="E8" s="66" t="s">
        <v>536</v>
      </c>
      <c r="F8" s="69" t="s">
        <v>2972</v>
      </c>
      <c r="G8" s="70" t="s">
        <v>4275</v>
      </c>
      <c r="H8" s="66" t="s">
        <v>4282</v>
      </c>
      <c r="I8" s="69" t="s">
        <v>553</v>
      </c>
      <c r="J8" s="68" t="s">
        <v>554</v>
      </c>
      <c r="K8" s="66" t="s">
        <v>4277</v>
      </c>
      <c r="L8" s="66" t="s">
        <v>557</v>
      </c>
      <c r="M8" s="66" t="s">
        <v>440</v>
      </c>
      <c r="N8" s="68" t="s">
        <v>314</v>
      </c>
      <c r="O8" s="68" t="s">
        <v>314</v>
      </c>
      <c r="P8" s="68" t="s">
        <v>395</v>
      </c>
      <c r="Q8" s="66" t="s">
        <v>559</v>
      </c>
      <c r="R8" s="68" t="s">
        <v>338</v>
      </c>
      <c r="S8" s="68" t="s">
        <v>4283</v>
      </c>
    </row>
    <row r="9" spans="1:19">
      <c r="A9" s="66">
        <v>6</v>
      </c>
      <c r="B9" s="67" t="s">
        <v>550</v>
      </c>
      <c r="C9" s="68" t="s">
        <v>533</v>
      </c>
      <c r="D9" s="66" t="s">
        <v>2956</v>
      </c>
      <c r="E9" s="66" t="s">
        <v>536</v>
      </c>
      <c r="F9" s="69" t="s">
        <v>2972</v>
      </c>
      <c r="G9" s="70" t="s">
        <v>4275</v>
      </c>
      <c r="H9" s="66" t="s">
        <v>4284</v>
      </c>
      <c r="I9" s="69" t="s">
        <v>562</v>
      </c>
      <c r="J9" s="68" t="s">
        <v>563</v>
      </c>
      <c r="K9" s="66" t="s">
        <v>4277</v>
      </c>
      <c r="L9" s="66" t="s">
        <v>567</v>
      </c>
      <c r="M9" s="66" t="s">
        <v>565</v>
      </c>
      <c r="N9" s="68" t="s">
        <v>314</v>
      </c>
      <c r="O9" s="68" t="s">
        <v>314</v>
      </c>
      <c r="P9" s="68" t="s">
        <v>572</v>
      </c>
      <c r="Q9" s="66" t="s">
        <v>574</v>
      </c>
      <c r="R9" s="68" t="s">
        <v>549</v>
      </c>
      <c r="S9" s="68" t="s">
        <v>4285</v>
      </c>
    </row>
    <row r="10" spans="1:19">
      <c r="A10" s="59">
        <v>7</v>
      </c>
      <c r="B10" s="58" t="s">
        <v>828</v>
      </c>
      <c r="C10" s="31" t="s">
        <v>2482</v>
      </c>
      <c r="D10" s="59" t="s">
        <v>2956</v>
      </c>
      <c r="E10" s="59" t="s">
        <v>820</v>
      </c>
      <c r="F10" s="60" t="s">
        <v>2978</v>
      </c>
      <c r="G10" s="19" t="s">
        <v>4275</v>
      </c>
      <c r="H10" s="59" t="s">
        <v>4286</v>
      </c>
      <c r="I10" s="60" t="s">
        <v>824</v>
      </c>
      <c r="J10" s="31" t="s">
        <v>825</v>
      </c>
      <c r="K10" s="59" t="s">
        <v>4277</v>
      </c>
      <c r="L10" s="59" t="s">
        <v>820</v>
      </c>
      <c r="M10" s="59" t="s">
        <v>132</v>
      </c>
      <c r="N10" s="31" t="s">
        <v>314</v>
      </c>
      <c r="O10" s="31" t="s">
        <v>314</v>
      </c>
      <c r="P10" s="31" t="s">
        <v>395</v>
      </c>
      <c r="Q10" s="59" t="s">
        <v>510</v>
      </c>
      <c r="R10" s="31" t="s">
        <v>549</v>
      </c>
      <c r="S10" s="31" t="s">
        <v>4287</v>
      </c>
    </row>
    <row r="11" spans="1:19">
      <c r="A11" s="59">
        <v>8</v>
      </c>
      <c r="B11" s="58" t="s">
        <v>828</v>
      </c>
      <c r="C11" s="31" t="s">
        <v>2482</v>
      </c>
      <c r="D11" s="59" t="s">
        <v>2956</v>
      </c>
      <c r="E11" s="59" t="s">
        <v>820</v>
      </c>
      <c r="F11" s="60" t="s">
        <v>2978</v>
      </c>
      <c r="G11" s="19" t="s">
        <v>4275</v>
      </c>
      <c r="H11" s="59" t="s">
        <v>4286</v>
      </c>
      <c r="I11" s="60" t="s">
        <v>830</v>
      </c>
      <c r="J11" s="31" t="s">
        <v>831</v>
      </c>
      <c r="K11" s="59" t="s">
        <v>4277</v>
      </c>
      <c r="L11" s="59" t="s">
        <v>820</v>
      </c>
      <c r="M11" s="59" t="s">
        <v>132</v>
      </c>
      <c r="N11" s="31" t="s">
        <v>314</v>
      </c>
      <c r="O11" s="31" t="s">
        <v>314</v>
      </c>
      <c r="P11" s="31" t="s">
        <v>395</v>
      </c>
      <c r="Q11" s="59" t="s">
        <v>510</v>
      </c>
      <c r="R11" s="31" t="s">
        <v>549</v>
      </c>
      <c r="S11" s="31" t="s">
        <v>4288</v>
      </c>
    </row>
    <row r="12" spans="1:19">
      <c r="A12" s="59">
        <v>9</v>
      </c>
      <c r="B12" s="58" t="s">
        <v>828</v>
      </c>
      <c r="C12" s="31" t="s">
        <v>2482</v>
      </c>
      <c r="D12" s="59" t="s">
        <v>2956</v>
      </c>
      <c r="E12" s="59" t="s">
        <v>820</v>
      </c>
      <c r="F12" s="60" t="s">
        <v>2978</v>
      </c>
      <c r="G12" s="19" t="s">
        <v>4275</v>
      </c>
      <c r="H12" s="59" t="s">
        <v>4286</v>
      </c>
      <c r="I12" s="60" t="s">
        <v>835</v>
      </c>
      <c r="J12" s="31" t="s">
        <v>836</v>
      </c>
      <c r="K12" s="59" t="s">
        <v>4277</v>
      </c>
      <c r="L12" s="59" t="s">
        <v>820</v>
      </c>
      <c r="M12" s="59" t="s">
        <v>132</v>
      </c>
      <c r="N12" s="31" t="s">
        <v>314</v>
      </c>
      <c r="O12" s="31" t="s">
        <v>314</v>
      </c>
      <c r="P12" s="31" t="s">
        <v>395</v>
      </c>
      <c r="Q12" s="59" t="s">
        <v>510</v>
      </c>
      <c r="R12" s="31" t="s">
        <v>549</v>
      </c>
      <c r="S12" s="31" t="s">
        <v>4289</v>
      </c>
    </row>
    <row r="13" spans="1:19">
      <c r="A13" s="59">
        <v>10</v>
      </c>
      <c r="B13" s="58" t="s">
        <v>828</v>
      </c>
      <c r="C13" s="31" t="s">
        <v>2482</v>
      </c>
      <c r="D13" s="59" t="s">
        <v>2956</v>
      </c>
      <c r="E13" s="59" t="s">
        <v>820</v>
      </c>
      <c r="F13" s="60" t="s">
        <v>2978</v>
      </c>
      <c r="G13" s="19" t="s">
        <v>4275</v>
      </c>
      <c r="H13" s="59" t="s">
        <v>4290</v>
      </c>
      <c r="I13" s="60" t="s">
        <v>840</v>
      </c>
      <c r="J13" s="31" t="s">
        <v>841</v>
      </c>
      <c r="K13" s="59" t="s">
        <v>4277</v>
      </c>
      <c r="L13" s="59" t="s">
        <v>820</v>
      </c>
      <c r="M13" s="59" t="s">
        <v>132</v>
      </c>
      <c r="N13" s="31" t="s">
        <v>314</v>
      </c>
      <c r="O13" s="31" t="s">
        <v>314</v>
      </c>
      <c r="P13" s="31" t="s">
        <v>395</v>
      </c>
      <c r="Q13" s="59" t="s">
        <v>510</v>
      </c>
      <c r="R13" s="31" t="s">
        <v>549</v>
      </c>
      <c r="S13" s="31" t="s">
        <v>4291</v>
      </c>
    </row>
    <row r="14" spans="1:19">
      <c r="A14" s="59">
        <v>11</v>
      </c>
      <c r="B14" s="58" t="s">
        <v>828</v>
      </c>
      <c r="C14" s="31" t="s">
        <v>2482</v>
      </c>
      <c r="D14" s="59" t="s">
        <v>2956</v>
      </c>
      <c r="E14" s="59" t="s">
        <v>820</v>
      </c>
      <c r="F14" s="60" t="s">
        <v>2978</v>
      </c>
      <c r="G14" s="19" t="s">
        <v>4275</v>
      </c>
      <c r="H14" s="59" t="s">
        <v>4286</v>
      </c>
      <c r="I14" s="60" t="s">
        <v>845</v>
      </c>
      <c r="J14" s="31" t="s">
        <v>846</v>
      </c>
      <c r="K14" s="59" t="s">
        <v>4277</v>
      </c>
      <c r="L14" s="59" t="s">
        <v>820</v>
      </c>
      <c r="M14" s="59" t="s">
        <v>132</v>
      </c>
      <c r="N14" s="31" t="s">
        <v>314</v>
      </c>
      <c r="O14" s="31" t="s">
        <v>314</v>
      </c>
      <c r="P14" s="31" t="s">
        <v>395</v>
      </c>
      <c r="Q14" s="59" t="s">
        <v>510</v>
      </c>
      <c r="R14" s="31" t="s">
        <v>549</v>
      </c>
      <c r="S14" s="31" t="s">
        <v>4292</v>
      </c>
    </row>
    <row r="15" spans="1:19">
      <c r="A15" s="59">
        <v>12</v>
      </c>
      <c r="B15" s="58" t="s">
        <v>828</v>
      </c>
      <c r="C15" s="31" t="s">
        <v>2482</v>
      </c>
      <c r="D15" s="59" t="s">
        <v>2956</v>
      </c>
      <c r="E15" s="59" t="s">
        <v>820</v>
      </c>
      <c r="F15" s="60" t="s">
        <v>2978</v>
      </c>
      <c r="G15" s="19" t="s">
        <v>4275</v>
      </c>
      <c r="H15" s="59" t="s">
        <v>4290</v>
      </c>
      <c r="I15" s="60" t="s">
        <v>850</v>
      </c>
      <c r="J15" s="31" t="s">
        <v>851</v>
      </c>
      <c r="K15" s="59" t="s">
        <v>4277</v>
      </c>
      <c r="L15" s="59" t="s">
        <v>820</v>
      </c>
      <c r="M15" s="59" t="s">
        <v>132</v>
      </c>
      <c r="N15" s="31" t="s">
        <v>314</v>
      </c>
      <c r="O15" s="31" t="s">
        <v>314</v>
      </c>
      <c r="P15" s="31" t="s">
        <v>395</v>
      </c>
      <c r="Q15" s="59" t="s">
        <v>510</v>
      </c>
      <c r="R15" s="31" t="s">
        <v>549</v>
      </c>
      <c r="S15" s="31" t="s">
        <v>4293</v>
      </c>
    </row>
    <row r="16" spans="1:19">
      <c r="A16" s="59">
        <v>13</v>
      </c>
      <c r="B16" s="58" t="s">
        <v>828</v>
      </c>
      <c r="C16" s="31" t="s">
        <v>2482</v>
      </c>
      <c r="D16" s="59" t="s">
        <v>2956</v>
      </c>
      <c r="E16" s="59" t="s">
        <v>820</v>
      </c>
      <c r="F16" s="60" t="s">
        <v>2978</v>
      </c>
      <c r="G16" s="19" t="s">
        <v>4275</v>
      </c>
      <c r="H16" s="59" t="s">
        <v>4290</v>
      </c>
      <c r="I16" s="60" t="s">
        <v>855</v>
      </c>
      <c r="J16" s="31" t="s">
        <v>856</v>
      </c>
      <c r="K16" s="59" t="s">
        <v>4277</v>
      </c>
      <c r="L16" s="59" t="s">
        <v>820</v>
      </c>
      <c r="M16" s="59" t="s">
        <v>132</v>
      </c>
      <c r="N16" s="31" t="s">
        <v>314</v>
      </c>
      <c r="O16" s="31" t="s">
        <v>314</v>
      </c>
      <c r="P16" s="31" t="s">
        <v>395</v>
      </c>
      <c r="Q16" s="59" t="s">
        <v>510</v>
      </c>
      <c r="R16" s="31" t="s">
        <v>549</v>
      </c>
      <c r="S16" s="31" t="s">
        <v>4294</v>
      </c>
    </row>
    <row r="17" spans="1:19">
      <c r="A17" s="66">
        <v>14</v>
      </c>
      <c r="B17" s="67" t="s">
        <v>931</v>
      </c>
      <c r="C17" s="68" t="s">
        <v>2486</v>
      </c>
      <c r="D17" s="66" t="s">
        <v>2956</v>
      </c>
      <c r="E17" s="66" t="s">
        <v>2488</v>
      </c>
      <c r="F17" s="69" t="s">
        <v>2983</v>
      </c>
      <c r="G17" s="70" t="s">
        <v>4275</v>
      </c>
      <c r="H17" s="66" t="s">
        <v>3491</v>
      </c>
      <c r="I17" s="69" t="s">
        <v>816</v>
      </c>
      <c r="J17" s="68" t="s">
        <v>817</v>
      </c>
      <c r="K17" s="66" t="s">
        <v>4277</v>
      </c>
      <c r="L17" s="66" t="s">
        <v>820</v>
      </c>
      <c r="M17" s="66" t="s">
        <v>132</v>
      </c>
      <c r="N17" s="68" t="s">
        <v>314</v>
      </c>
      <c r="O17" s="68" t="s">
        <v>314</v>
      </c>
      <c r="P17" s="68" t="s">
        <v>537</v>
      </c>
      <c r="Q17" s="66" t="s">
        <v>510</v>
      </c>
      <c r="R17" s="68" t="s">
        <v>549</v>
      </c>
      <c r="S17" s="68" t="s">
        <v>4295</v>
      </c>
    </row>
    <row r="18" spans="1:19">
      <c r="A18" s="66">
        <v>15</v>
      </c>
      <c r="B18" s="67" t="s">
        <v>931</v>
      </c>
      <c r="C18" s="68" t="s">
        <v>2486</v>
      </c>
      <c r="D18" s="66" t="s">
        <v>2956</v>
      </c>
      <c r="E18" s="66" t="s">
        <v>2488</v>
      </c>
      <c r="F18" s="69" t="s">
        <v>2983</v>
      </c>
      <c r="G18" s="70" t="s">
        <v>4275</v>
      </c>
      <c r="H18" s="66" t="s">
        <v>3493</v>
      </c>
      <c r="I18" s="69" t="s">
        <v>532</v>
      </c>
      <c r="J18" s="68" t="s">
        <v>533</v>
      </c>
      <c r="K18" s="66" t="s">
        <v>4277</v>
      </c>
      <c r="L18" s="66" t="s">
        <v>536</v>
      </c>
      <c r="M18" s="66" t="s">
        <v>440</v>
      </c>
      <c r="N18" s="68" t="s">
        <v>314</v>
      </c>
      <c r="O18" s="68" t="s">
        <v>314</v>
      </c>
      <c r="P18" s="68" t="s">
        <v>537</v>
      </c>
      <c r="Q18" s="66" t="s">
        <v>510</v>
      </c>
      <c r="R18" s="68" t="s">
        <v>539</v>
      </c>
      <c r="S18" s="68" t="s">
        <v>4296</v>
      </c>
    </row>
    <row r="19" spans="1:19">
      <c r="A19" s="59">
        <v>16</v>
      </c>
      <c r="B19" s="58" t="s">
        <v>473</v>
      </c>
      <c r="C19" s="31" t="s">
        <v>2491</v>
      </c>
      <c r="D19" s="59" t="s">
        <v>2956</v>
      </c>
      <c r="E19" s="59" t="s">
        <v>984</v>
      </c>
      <c r="F19" s="60" t="s">
        <v>2988</v>
      </c>
      <c r="G19" s="19" t="s">
        <v>4275</v>
      </c>
      <c r="H19" s="59" t="s">
        <v>3491</v>
      </c>
      <c r="I19" s="60" t="s">
        <v>591</v>
      </c>
      <c r="J19" s="31" t="s">
        <v>592</v>
      </c>
      <c r="K19" s="59" t="s">
        <v>4277</v>
      </c>
      <c r="L19" s="59" t="s">
        <v>536</v>
      </c>
      <c r="M19" s="59" t="s">
        <v>440</v>
      </c>
      <c r="N19" s="31" t="s">
        <v>314</v>
      </c>
      <c r="O19" s="31" t="s">
        <v>314</v>
      </c>
      <c r="P19" s="31" t="s">
        <v>395</v>
      </c>
      <c r="Q19" s="59" t="s">
        <v>510</v>
      </c>
      <c r="R19" s="31" t="s">
        <v>549</v>
      </c>
      <c r="S19" s="31" t="s">
        <v>4297</v>
      </c>
    </row>
    <row r="20" spans="1:19">
      <c r="A20" s="59">
        <v>17</v>
      </c>
      <c r="B20" s="58" t="s">
        <v>473</v>
      </c>
      <c r="C20" s="31" t="s">
        <v>2491</v>
      </c>
      <c r="D20" s="59" t="s">
        <v>2956</v>
      </c>
      <c r="E20" s="59" t="s">
        <v>984</v>
      </c>
      <c r="F20" s="60" t="s">
        <v>2988</v>
      </c>
      <c r="G20" s="19" t="s">
        <v>4275</v>
      </c>
      <c r="H20" s="59" t="s">
        <v>3493</v>
      </c>
      <c r="I20" s="60" t="s">
        <v>585</v>
      </c>
      <c r="J20" s="31" t="s">
        <v>586</v>
      </c>
      <c r="K20" s="59" t="s">
        <v>4277</v>
      </c>
      <c r="L20" s="59" t="s">
        <v>536</v>
      </c>
      <c r="M20" s="59" t="s">
        <v>440</v>
      </c>
      <c r="N20" s="31" t="s">
        <v>314</v>
      </c>
      <c r="O20" s="31" t="s">
        <v>314</v>
      </c>
      <c r="P20" s="31" t="s">
        <v>395</v>
      </c>
      <c r="Q20" s="59" t="s">
        <v>510</v>
      </c>
      <c r="R20" s="31" t="s">
        <v>549</v>
      </c>
      <c r="S20" s="31" t="s">
        <v>4298</v>
      </c>
    </row>
    <row r="21" spans="1:19">
      <c r="A21" s="66">
        <v>18</v>
      </c>
      <c r="B21" s="67" t="s">
        <v>482</v>
      </c>
      <c r="C21" s="68" t="s">
        <v>2495</v>
      </c>
      <c r="D21" s="66" t="s">
        <v>2956</v>
      </c>
      <c r="E21" s="66" t="s">
        <v>984</v>
      </c>
      <c r="F21" s="69" t="s">
        <v>2993</v>
      </c>
      <c r="G21" s="70" t="s">
        <v>4275</v>
      </c>
      <c r="H21" s="66" t="s">
        <v>3491</v>
      </c>
      <c r="I21" s="69" t="s">
        <v>476</v>
      </c>
      <c r="J21" s="68" t="s">
        <v>477</v>
      </c>
      <c r="K21" s="66" t="s">
        <v>4277</v>
      </c>
      <c r="L21" s="66" t="s">
        <v>442</v>
      </c>
      <c r="M21" s="66" t="s">
        <v>440</v>
      </c>
      <c r="N21" s="68" t="s">
        <v>314</v>
      </c>
      <c r="O21" s="68" t="s">
        <v>314</v>
      </c>
      <c r="P21" s="68" t="s">
        <v>395</v>
      </c>
      <c r="Q21" s="66" t="s">
        <v>481</v>
      </c>
      <c r="R21" s="68" t="s">
        <v>338</v>
      </c>
      <c r="S21" s="68" t="s">
        <v>4299</v>
      </c>
    </row>
    <row r="22" spans="1:19">
      <c r="A22" s="66">
        <v>19</v>
      </c>
      <c r="B22" s="67" t="s">
        <v>482</v>
      </c>
      <c r="C22" s="68" t="s">
        <v>2495</v>
      </c>
      <c r="D22" s="66" t="s">
        <v>2956</v>
      </c>
      <c r="E22" s="66" t="s">
        <v>984</v>
      </c>
      <c r="F22" s="69" t="s">
        <v>2993</v>
      </c>
      <c r="G22" s="70" t="s">
        <v>4275</v>
      </c>
      <c r="H22" s="66" t="s">
        <v>3493</v>
      </c>
      <c r="I22" s="69" t="s">
        <v>597</v>
      </c>
      <c r="J22" s="68" t="s">
        <v>598</v>
      </c>
      <c r="K22" s="66" t="s">
        <v>4277</v>
      </c>
      <c r="L22" s="66" t="s">
        <v>442</v>
      </c>
      <c r="M22" s="66" t="s">
        <v>440</v>
      </c>
      <c r="N22" s="68" t="s">
        <v>314</v>
      </c>
      <c r="O22" s="68" t="s">
        <v>314</v>
      </c>
      <c r="P22" s="68" t="s">
        <v>395</v>
      </c>
      <c r="Q22" s="66" t="s">
        <v>448</v>
      </c>
      <c r="R22" s="68" t="s">
        <v>338</v>
      </c>
      <c r="S22" s="68" t="s">
        <v>4300</v>
      </c>
    </row>
    <row r="23" spans="1:19">
      <c r="A23" s="59">
        <v>20</v>
      </c>
      <c r="B23" s="58" t="s">
        <v>742</v>
      </c>
      <c r="C23" s="31" t="s">
        <v>2499</v>
      </c>
      <c r="D23" s="59" t="s">
        <v>2956</v>
      </c>
      <c r="E23" s="59" t="s">
        <v>2501</v>
      </c>
      <c r="F23" s="60" t="s">
        <v>2998</v>
      </c>
      <c r="G23" s="19" t="s">
        <v>4275</v>
      </c>
      <c r="H23" s="59" t="s">
        <v>3491</v>
      </c>
      <c r="I23" s="60" t="s">
        <v>532</v>
      </c>
      <c r="J23" s="31" t="s">
        <v>533</v>
      </c>
      <c r="K23" s="59" t="s">
        <v>4277</v>
      </c>
      <c r="L23" s="59" t="s">
        <v>536</v>
      </c>
      <c r="M23" s="59" t="s">
        <v>440</v>
      </c>
      <c r="N23" s="31" t="s">
        <v>314</v>
      </c>
      <c r="O23" s="31" t="s">
        <v>314</v>
      </c>
      <c r="P23" s="31" t="s">
        <v>537</v>
      </c>
      <c r="Q23" s="59" t="s">
        <v>510</v>
      </c>
      <c r="R23" s="31" t="s">
        <v>539</v>
      </c>
      <c r="S23" s="31" t="s">
        <v>4296</v>
      </c>
    </row>
    <row r="24" spans="1:19">
      <c r="A24" s="59">
        <v>21</v>
      </c>
      <c r="B24" s="58" t="s">
        <v>742</v>
      </c>
      <c r="C24" s="31" t="s">
        <v>2499</v>
      </c>
      <c r="D24" s="59" t="s">
        <v>2956</v>
      </c>
      <c r="E24" s="59" t="s">
        <v>2501</v>
      </c>
      <c r="F24" s="60" t="s">
        <v>2998</v>
      </c>
      <c r="G24" s="19" t="s">
        <v>4275</v>
      </c>
      <c r="H24" s="59" t="s">
        <v>3493</v>
      </c>
      <c r="I24" s="60" t="s">
        <v>733</v>
      </c>
      <c r="J24" s="31" t="s">
        <v>734</v>
      </c>
      <c r="K24" s="59" t="s">
        <v>4277</v>
      </c>
      <c r="L24" s="59" t="s">
        <v>738</v>
      </c>
      <c r="M24" s="59" t="s">
        <v>736</v>
      </c>
      <c r="N24" s="31" t="s">
        <v>314</v>
      </c>
      <c r="O24" s="31" t="s">
        <v>314</v>
      </c>
      <c r="P24" s="31" t="s">
        <v>462</v>
      </c>
      <c r="Q24" s="59" t="s">
        <v>740</v>
      </c>
      <c r="R24" s="31" t="s">
        <v>338</v>
      </c>
      <c r="S24" s="31" t="s">
        <v>4301</v>
      </c>
    </row>
    <row r="25" spans="1:19">
      <c r="A25" s="66">
        <v>22</v>
      </c>
      <c r="B25" s="67" t="s">
        <v>905</v>
      </c>
      <c r="C25" s="68" t="s">
        <v>2504</v>
      </c>
      <c r="D25" s="66" t="s">
        <v>2956</v>
      </c>
      <c r="E25" s="66" t="s">
        <v>984</v>
      </c>
      <c r="F25" s="69" t="s">
        <v>3004</v>
      </c>
      <c r="G25" s="70" t="s">
        <v>4275</v>
      </c>
      <c r="H25" s="66" t="s">
        <v>3491</v>
      </c>
      <c r="I25" s="69" t="s">
        <v>895</v>
      </c>
      <c r="J25" s="68" t="s">
        <v>896</v>
      </c>
      <c r="K25" s="66" t="s">
        <v>4277</v>
      </c>
      <c r="L25" s="66" t="s">
        <v>901</v>
      </c>
      <c r="M25" s="66" t="s">
        <v>899</v>
      </c>
      <c r="N25" s="68" t="s">
        <v>314</v>
      </c>
      <c r="O25" s="68" t="s">
        <v>314</v>
      </c>
      <c r="P25" s="68" t="s">
        <v>462</v>
      </c>
      <c r="Q25" s="66" t="s">
        <v>903</v>
      </c>
      <c r="R25" s="68" t="s">
        <v>338</v>
      </c>
      <c r="S25" s="68" t="s">
        <v>4302</v>
      </c>
    </row>
    <row r="26" spans="1:19">
      <c r="A26" s="66">
        <v>23</v>
      </c>
      <c r="B26" s="67" t="s">
        <v>905</v>
      </c>
      <c r="C26" s="68" t="s">
        <v>2504</v>
      </c>
      <c r="D26" s="66" t="s">
        <v>2956</v>
      </c>
      <c r="E26" s="66" t="s">
        <v>984</v>
      </c>
      <c r="F26" s="69" t="s">
        <v>3004</v>
      </c>
      <c r="G26" s="70" t="s">
        <v>4275</v>
      </c>
      <c r="H26" s="66" t="s">
        <v>3493</v>
      </c>
      <c r="I26" s="69" t="s">
        <v>908</v>
      </c>
      <c r="J26" s="68" t="s">
        <v>909</v>
      </c>
      <c r="K26" s="66" t="s">
        <v>4277</v>
      </c>
      <c r="L26" s="66" t="s">
        <v>901</v>
      </c>
      <c r="M26" s="66" t="s">
        <v>899</v>
      </c>
      <c r="N26" s="68" t="s">
        <v>314</v>
      </c>
      <c r="O26" s="68" t="s">
        <v>314</v>
      </c>
      <c r="P26" s="68" t="s">
        <v>462</v>
      </c>
      <c r="Q26" s="66" t="s">
        <v>903</v>
      </c>
      <c r="R26" s="68" t="s">
        <v>338</v>
      </c>
      <c r="S26" s="68" t="s">
        <v>4303</v>
      </c>
    </row>
    <row r="27" spans="1:19">
      <c r="A27" s="59">
        <v>24</v>
      </c>
      <c r="B27" s="58" t="s">
        <v>751</v>
      </c>
      <c r="C27" s="31" t="s">
        <v>2508</v>
      </c>
      <c r="D27" s="59" t="s">
        <v>2956</v>
      </c>
      <c r="E27" s="59" t="s">
        <v>2501</v>
      </c>
      <c r="F27" s="60" t="s">
        <v>3010</v>
      </c>
      <c r="G27" s="19" t="s">
        <v>4275</v>
      </c>
      <c r="H27" s="59" t="s">
        <v>3491</v>
      </c>
      <c r="I27" s="60" t="s">
        <v>532</v>
      </c>
      <c r="J27" s="31" t="s">
        <v>533</v>
      </c>
      <c r="K27" s="59" t="s">
        <v>4277</v>
      </c>
      <c r="L27" s="59" t="s">
        <v>536</v>
      </c>
      <c r="M27" s="59" t="s">
        <v>440</v>
      </c>
      <c r="N27" s="31" t="s">
        <v>314</v>
      </c>
      <c r="O27" s="31" t="s">
        <v>314</v>
      </c>
      <c r="P27" s="31" t="s">
        <v>537</v>
      </c>
      <c r="Q27" s="59" t="s">
        <v>510</v>
      </c>
      <c r="R27" s="31" t="s">
        <v>539</v>
      </c>
      <c r="S27" s="31" t="s">
        <v>4296</v>
      </c>
    </row>
    <row r="28" spans="1:19">
      <c r="A28" s="59">
        <v>25</v>
      </c>
      <c r="B28" s="58" t="s">
        <v>751</v>
      </c>
      <c r="C28" s="31" t="s">
        <v>2508</v>
      </c>
      <c r="D28" s="59" t="s">
        <v>2956</v>
      </c>
      <c r="E28" s="59" t="s">
        <v>2501</v>
      </c>
      <c r="F28" s="60" t="s">
        <v>3010</v>
      </c>
      <c r="G28" s="19" t="s">
        <v>4275</v>
      </c>
      <c r="H28" s="59" t="s">
        <v>3493</v>
      </c>
      <c r="I28" s="60" t="s">
        <v>744</v>
      </c>
      <c r="J28" s="31" t="s">
        <v>745</v>
      </c>
      <c r="K28" s="59" t="s">
        <v>4277</v>
      </c>
      <c r="L28" s="59" t="s">
        <v>738</v>
      </c>
      <c r="M28" s="59" t="s">
        <v>736</v>
      </c>
      <c r="N28" s="31" t="s">
        <v>314</v>
      </c>
      <c r="O28" s="31" t="s">
        <v>314</v>
      </c>
      <c r="P28" s="31" t="s">
        <v>748</v>
      </c>
      <c r="Q28" s="59" t="s">
        <v>320</v>
      </c>
      <c r="R28" s="31" t="s">
        <v>338</v>
      </c>
      <c r="S28" s="31" t="s">
        <v>4304</v>
      </c>
    </row>
    <row r="29" spans="1:19">
      <c r="A29" s="66">
        <v>26</v>
      </c>
      <c r="B29" s="67" t="s">
        <v>657</v>
      </c>
      <c r="C29" s="68" t="s">
        <v>2513</v>
      </c>
      <c r="D29" s="66" t="s">
        <v>2956</v>
      </c>
      <c r="E29" s="66" t="s">
        <v>498</v>
      </c>
      <c r="F29" s="69" t="s">
        <v>644</v>
      </c>
      <c r="G29" s="70" t="s">
        <v>4275</v>
      </c>
      <c r="H29" s="66" t="s">
        <v>4305</v>
      </c>
      <c r="I29" s="69" t="s">
        <v>644</v>
      </c>
      <c r="J29" s="68" t="s">
        <v>645</v>
      </c>
      <c r="K29" s="66" t="s">
        <v>4277</v>
      </c>
      <c r="L29" s="66" t="s">
        <v>498</v>
      </c>
      <c r="M29" s="66" t="s">
        <v>440</v>
      </c>
      <c r="N29" s="68" t="s">
        <v>314</v>
      </c>
      <c r="O29" s="68" t="s">
        <v>314</v>
      </c>
      <c r="P29" s="68" t="s">
        <v>648</v>
      </c>
      <c r="Q29" s="66" t="s">
        <v>650</v>
      </c>
      <c r="R29" s="68" t="s">
        <v>338</v>
      </c>
      <c r="S29" s="68" t="s">
        <v>4306</v>
      </c>
    </row>
    <row r="30" spans="1:19">
      <c r="A30" s="59">
        <v>27</v>
      </c>
      <c r="B30" s="58" t="s">
        <v>635</v>
      </c>
      <c r="C30" s="31" t="s">
        <v>2517</v>
      </c>
      <c r="D30" s="59" t="s">
        <v>3019</v>
      </c>
      <c r="E30" s="59" t="s">
        <v>2521</v>
      </c>
      <c r="F30" s="60" t="s">
        <v>3020</v>
      </c>
      <c r="G30" s="19" t="s">
        <v>4275</v>
      </c>
      <c r="H30" s="59" t="s">
        <v>3491</v>
      </c>
      <c r="I30" s="60" t="s">
        <v>1571</v>
      </c>
      <c r="J30" s="31" t="s">
        <v>1572</v>
      </c>
      <c r="K30" s="59" t="s">
        <v>4307</v>
      </c>
      <c r="L30" s="59" t="s">
        <v>536</v>
      </c>
      <c r="M30" s="59" t="s">
        <v>440</v>
      </c>
      <c r="N30" s="31" t="s">
        <v>314</v>
      </c>
      <c r="O30" s="31" t="s">
        <v>314</v>
      </c>
      <c r="P30" s="31" t="s">
        <v>1574</v>
      </c>
      <c r="Q30" s="59" t="s">
        <v>510</v>
      </c>
      <c r="R30" s="31" t="s">
        <v>999</v>
      </c>
      <c r="S30" s="31" t="s">
        <v>4308</v>
      </c>
    </row>
    <row r="31" spans="1:19">
      <c r="A31" s="59">
        <v>28</v>
      </c>
      <c r="B31" s="58" t="s">
        <v>635</v>
      </c>
      <c r="C31" s="31" t="s">
        <v>2517</v>
      </c>
      <c r="D31" s="59" t="s">
        <v>3019</v>
      </c>
      <c r="E31" s="59" t="s">
        <v>2521</v>
      </c>
      <c r="F31" s="60" t="s">
        <v>3020</v>
      </c>
      <c r="G31" s="71" t="s">
        <v>4309</v>
      </c>
      <c r="H31" s="59" t="s">
        <v>4310</v>
      </c>
      <c r="I31" s="60" t="s">
        <v>1578</v>
      </c>
      <c r="J31" s="61" t="s">
        <v>4311</v>
      </c>
      <c r="K31" s="59" t="s">
        <v>4277</v>
      </c>
      <c r="L31" s="59" t="s">
        <v>442</v>
      </c>
      <c r="M31" s="59" t="s">
        <v>440</v>
      </c>
      <c r="N31" s="31" t="s">
        <v>314</v>
      </c>
      <c r="O31" s="31" t="s">
        <v>314</v>
      </c>
      <c r="P31" s="31" t="s">
        <v>1574</v>
      </c>
      <c r="Q31" s="59" t="s">
        <v>510</v>
      </c>
      <c r="R31" s="31" t="s">
        <v>999</v>
      </c>
      <c r="S31" s="31" t="s">
        <v>4312</v>
      </c>
    </row>
    <row r="32" spans="1:19">
      <c r="A32" s="59">
        <v>29</v>
      </c>
      <c r="B32" s="58" t="s">
        <v>635</v>
      </c>
      <c r="C32" s="31" t="s">
        <v>2517</v>
      </c>
      <c r="D32" s="59" t="s">
        <v>3019</v>
      </c>
      <c r="E32" s="59" t="s">
        <v>2521</v>
      </c>
      <c r="F32" s="60" t="s">
        <v>3020</v>
      </c>
      <c r="G32" s="71" t="s">
        <v>4309</v>
      </c>
      <c r="H32" s="59" t="s">
        <v>4310</v>
      </c>
      <c r="I32" s="60" t="s">
        <v>1583</v>
      </c>
      <c r="J32" s="61" t="s">
        <v>4313</v>
      </c>
      <c r="K32" s="59" t="s">
        <v>4277</v>
      </c>
      <c r="L32" s="59" t="s">
        <v>508</v>
      </c>
      <c r="M32" s="59" t="s">
        <v>440</v>
      </c>
      <c r="N32" s="31" t="s">
        <v>314</v>
      </c>
      <c r="O32" s="31" t="s">
        <v>314</v>
      </c>
      <c r="P32" s="31" t="s">
        <v>1574</v>
      </c>
      <c r="Q32" s="59" t="s">
        <v>510</v>
      </c>
      <c r="R32" s="31" t="s">
        <v>999</v>
      </c>
      <c r="S32" s="31" t="s">
        <v>4312</v>
      </c>
    </row>
    <row r="33" spans="1:19">
      <c r="A33" s="59">
        <v>30</v>
      </c>
      <c r="B33" s="58" t="s">
        <v>635</v>
      </c>
      <c r="C33" s="31" t="s">
        <v>2517</v>
      </c>
      <c r="D33" s="59" t="s">
        <v>3019</v>
      </c>
      <c r="E33" s="59" t="s">
        <v>2521</v>
      </c>
      <c r="F33" s="60" t="s">
        <v>3020</v>
      </c>
      <c r="G33" s="71" t="s">
        <v>4309</v>
      </c>
      <c r="H33" s="59" t="s">
        <v>4310</v>
      </c>
      <c r="I33" s="60" t="s">
        <v>1588</v>
      </c>
      <c r="J33" s="61" t="s">
        <v>4314</v>
      </c>
      <c r="K33" s="59" t="s">
        <v>4277</v>
      </c>
      <c r="L33" s="59" t="s">
        <v>488</v>
      </c>
      <c r="M33" s="59" t="s">
        <v>440</v>
      </c>
      <c r="N33" s="31" t="s">
        <v>314</v>
      </c>
      <c r="O33" s="31" t="s">
        <v>314</v>
      </c>
      <c r="P33" s="31" t="s">
        <v>1574</v>
      </c>
      <c r="Q33" s="59" t="s">
        <v>510</v>
      </c>
      <c r="R33" s="31" t="s">
        <v>999</v>
      </c>
      <c r="S33" s="31" t="s">
        <v>4312</v>
      </c>
    </row>
    <row r="34" spans="1:19">
      <c r="A34" s="59">
        <v>31</v>
      </c>
      <c r="B34" s="58" t="s">
        <v>635</v>
      </c>
      <c r="C34" s="31" t="s">
        <v>2517</v>
      </c>
      <c r="D34" s="59" t="s">
        <v>3019</v>
      </c>
      <c r="E34" s="59" t="s">
        <v>2521</v>
      </c>
      <c r="F34" s="60" t="s">
        <v>3020</v>
      </c>
      <c r="G34" s="19" t="s">
        <v>4275</v>
      </c>
      <c r="H34" s="59" t="s">
        <v>3493</v>
      </c>
      <c r="I34" s="60" t="s">
        <v>1558</v>
      </c>
      <c r="J34" s="31" t="s">
        <v>1559</v>
      </c>
      <c r="K34" s="59" t="s">
        <v>4277</v>
      </c>
      <c r="L34" s="59" t="s">
        <v>1562</v>
      </c>
      <c r="M34" s="59" t="s">
        <v>669</v>
      </c>
      <c r="N34" s="31" t="s">
        <v>314</v>
      </c>
      <c r="O34" s="31" t="s">
        <v>314</v>
      </c>
      <c r="P34" s="31" t="s">
        <v>1564</v>
      </c>
      <c r="Q34" s="59" t="s">
        <v>1566</v>
      </c>
      <c r="R34" s="31" t="s">
        <v>1512</v>
      </c>
      <c r="S34" s="31" t="s">
        <v>4315</v>
      </c>
    </row>
    <row r="35" spans="1:19">
      <c r="A35" s="66">
        <v>32</v>
      </c>
      <c r="B35" s="67" t="s">
        <v>2525</v>
      </c>
      <c r="C35" s="68" t="s">
        <v>2526</v>
      </c>
      <c r="D35" s="66" t="s">
        <v>3019</v>
      </c>
      <c r="E35" s="66" t="s">
        <v>2528</v>
      </c>
      <c r="F35" s="69" t="s">
        <v>3029</v>
      </c>
      <c r="G35" s="70" t="s">
        <v>4275</v>
      </c>
      <c r="H35" s="66" t="s">
        <v>3491</v>
      </c>
      <c r="I35" s="69" t="s">
        <v>1578</v>
      </c>
      <c r="J35" s="68" t="s">
        <v>1579</v>
      </c>
      <c r="K35" s="66" t="s">
        <v>4277</v>
      </c>
      <c r="L35" s="66" t="s">
        <v>442</v>
      </c>
      <c r="M35" s="66" t="s">
        <v>440</v>
      </c>
      <c r="N35" s="68" t="s">
        <v>314</v>
      </c>
      <c r="O35" s="68" t="s">
        <v>314</v>
      </c>
      <c r="P35" s="68" t="s">
        <v>1574</v>
      </c>
      <c r="Q35" s="66" t="s">
        <v>510</v>
      </c>
      <c r="R35" s="68" t="s">
        <v>999</v>
      </c>
      <c r="S35" s="68" t="s">
        <v>4316</v>
      </c>
    </row>
    <row r="36" spans="1:19">
      <c r="A36" s="66">
        <v>33</v>
      </c>
      <c r="B36" s="67" t="s">
        <v>2525</v>
      </c>
      <c r="C36" s="68" t="s">
        <v>2526</v>
      </c>
      <c r="D36" s="66" t="s">
        <v>3019</v>
      </c>
      <c r="E36" s="66" t="s">
        <v>2528</v>
      </c>
      <c r="F36" s="69" t="s">
        <v>3029</v>
      </c>
      <c r="G36" s="70" t="s">
        <v>4275</v>
      </c>
      <c r="H36" s="66" t="s">
        <v>3493</v>
      </c>
      <c r="I36" s="69" t="s">
        <v>1558</v>
      </c>
      <c r="J36" s="68" t="s">
        <v>1559</v>
      </c>
      <c r="K36" s="66" t="s">
        <v>4277</v>
      </c>
      <c r="L36" s="66" t="s">
        <v>1562</v>
      </c>
      <c r="M36" s="66" t="s">
        <v>669</v>
      </c>
      <c r="N36" s="68" t="s">
        <v>314</v>
      </c>
      <c r="O36" s="68" t="s">
        <v>314</v>
      </c>
      <c r="P36" s="68" t="s">
        <v>1564</v>
      </c>
      <c r="Q36" s="66" t="s">
        <v>1566</v>
      </c>
      <c r="R36" s="68" t="s">
        <v>1512</v>
      </c>
      <c r="S36" s="68" t="s">
        <v>4315</v>
      </c>
    </row>
    <row r="37" spans="1:19">
      <c r="A37" s="59">
        <v>34</v>
      </c>
      <c r="B37" s="58" t="s">
        <v>2532</v>
      </c>
      <c r="C37" s="31" t="s">
        <v>2533</v>
      </c>
      <c r="D37" s="59" t="s">
        <v>3019</v>
      </c>
      <c r="E37" s="59" t="s">
        <v>2535</v>
      </c>
      <c r="F37" s="60" t="s">
        <v>3034</v>
      </c>
      <c r="G37" s="19" t="s">
        <v>4275</v>
      </c>
      <c r="H37" s="59" t="s">
        <v>3491</v>
      </c>
      <c r="I37" s="60" t="s">
        <v>1583</v>
      </c>
      <c r="J37" s="31" t="s">
        <v>1584</v>
      </c>
      <c r="K37" s="59" t="s">
        <v>4277</v>
      </c>
      <c r="L37" s="59" t="s">
        <v>508</v>
      </c>
      <c r="M37" s="59" t="s">
        <v>440</v>
      </c>
      <c r="N37" s="31" t="s">
        <v>314</v>
      </c>
      <c r="O37" s="31" t="s">
        <v>314</v>
      </c>
      <c r="P37" s="31" t="s">
        <v>1574</v>
      </c>
      <c r="Q37" s="59" t="s">
        <v>510</v>
      </c>
      <c r="R37" s="31" t="s">
        <v>999</v>
      </c>
      <c r="S37" s="31" t="s">
        <v>4317</v>
      </c>
    </row>
    <row r="38" spans="1:19">
      <c r="A38" s="59">
        <v>35</v>
      </c>
      <c r="B38" s="58" t="s">
        <v>2532</v>
      </c>
      <c r="C38" s="31" t="s">
        <v>2533</v>
      </c>
      <c r="D38" s="59" t="s">
        <v>3019</v>
      </c>
      <c r="E38" s="59" t="s">
        <v>2535</v>
      </c>
      <c r="F38" s="60" t="s">
        <v>3034</v>
      </c>
      <c r="G38" s="19" t="s">
        <v>4275</v>
      </c>
      <c r="H38" s="59" t="s">
        <v>3493</v>
      </c>
      <c r="I38" s="60" t="s">
        <v>1558</v>
      </c>
      <c r="J38" s="31" t="s">
        <v>1559</v>
      </c>
      <c r="K38" s="59" t="s">
        <v>4277</v>
      </c>
      <c r="L38" s="59" t="s">
        <v>1562</v>
      </c>
      <c r="M38" s="59" t="s">
        <v>669</v>
      </c>
      <c r="N38" s="31" t="s">
        <v>314</v>
      </c>
      <c r="O38" s="31" t="s">
        <v>314</v>
      </c>
      <c r="P38" s="31" t="s">
        <v>1564</v>
      </c>
      <c r="Q38" s="59" t="s">
        <v>1566</v>
      </c>
      <c r="R38" s="31" t="s">
        <v>1512</v>
      </c>
      <c r="S38" s="31" t="s">
        <v>4315</v>
      </c>
    </row>
    <row r="39" spans="1:19">
      <c r="A39" s="66">
        <v>36</v>
      </c>
      <c r="B39" s="67" t="s">
        <v>628</v>
      </c>
      <c r="C39" s="68" t="s">
        <v>2538</v>
      </c>
      <c r="D39" s="66" t="s">
        <v>3019</v>
      </c>
      <c r="E39" s="66" t="s">
        <v>2540</v>
      </c>
      <c r="F39" s="69" t="s">
        <v>3039</v>
      </c>
      <c r="G39" s="70" t="s">
        <v>4275</v>
      </c>
      <c r="H39" s="66" t="s">
        <v>3491</v>
      </c>
      <c r="I39" s="69" t="s">
        <v>1588</v>
      </c>
      <c r="J39" s="68" t="s">
        <v>1589</v>
      </c>
      <c r="K39" s="66" t="s">
        <v>4277</v>
      </c>
      <c r="L39" s="66" t="s">
        <v>488</v>
      </c>
      <c r="M39" s="66" t="s">
        <v>440</v>
      </c>
      <c r="N39" s="68" t="s">
        <v>314</v>
      </c>
      <c r="O39" s="68" t="s">
        <v>314</v>
      </c>
      <c r="P39" s="68" t="s">
        <v>1574</v>
      </c>
      <c r="Q39" s="66" t="s">
        <v>510</v>
      </c>
      <c r="R39" s="68" t="s">
        <v>999</v>
      </c>
      <c r="S39" s="68" t="s">
        <v>4318</v>
      </c>
    </row>
    <row r="40" spans="1:19">
      <c r="A40" s="66">
        <v>37</v>
      </c>
      <c r="B40" s="67" t="s">
        <v>628</v>
      </c>
      <c r="C40" s="68" t="s">
        <v>2538</v>
      </c>
      <c r="D40" s="66" t="s">
        <v>3019</v>
      </c>
      <c r="E40" s="66" t="s">
        <v>2540</v>
      </c>
      <c r="F40" s="69" t="s">
        <v>3039</v>
      </c>
      <c r="G40" s="70" t="s">
        <v>4275</v>
      </c>
      <c r="H40" s="66" t="s">
        <v>3493</v>
      </c>
      <c r="I40" s="69" t="s">
        <v>1558</v>
      </c>
      <c r="J40" s="68" t="s">
        <v>1559</v>
      </c>
      <c r="K40" s="66" t="s">
        <v>4277</v>
      </c>
      <c r="L40" s="66" t="s">
        <v>1562</v>
      </c>
      <c r="M40" s="66" t="s">
        <v>669</v>
      </c>
      <c r="N40" s="68" t="s">
        <v>314</v>
      </c>
      <c r="O40" s="68" t="s">
        <v>314</v>
      </c>
      <c r="P40" s="68" t="s">
        <v>1564</v>
      </c>
      <c r="Q40" s="66" t="s">
        <v>1566</v>
      </c>
      <c r="R40" s="68" t="s">
        <v>1512</v>
      </c>
      <c r="S40" s="68" t="s">
        <v>4315</v>
      </c>
    </row>
    <row r="41" spans="1:19">
      <c r="A41" s="59">
        <v>38</v>
      </c>
      <c r="B41" s="58" t="s">
        <v>2543</v>
      </c>
      <c r="C41" s="31" t="s">
        <v>2544</v>
      </c>
      <c r="D41" s="59" t="s">
        <v>3019</v>
      </c>
      <c r="E41" s="59" t="s">
        <v>2546</v>
      </c>
      <c r="F41" s="60" t="s">
        <v>3044</v>
      </c>
      <c r="G41" s="19" t="s">
        <v>4275</v>
      </c>
      <c r="H41" s="59" t="s">
        <v>3491</v>
      </c>
      <c r="I41" s="60" t="s">
        <v>1593</v>
      </c>
      <c r="J41" s="31" t="s">
        <v>1594</v>
      </c>
      <c r="K41" s="59" t="s">
        <v>4277</v>
      </c>
      <c r="L41" s="59" t="s">
        <v>498</v>
      </c>
      <c r="M41" s="59" t="s">
        <v>440</v>
      </c>
      <c r="N41" s="31" t="s">
        <v>314</v>
      </c>
      <c r="O41" s="31" t="s">
        <v>314</v>
      </c>
      <c r="P41" s="31" t="s">
        <v>1596</v>
      </c>
      <c r="Q41" s="59" t="s">
        <v>510</v>
      </c>
      <c r="R41" s="31" t="s">
        <v>999</v>
      </c>
      <c r="S41" s="31" t="s">
        <v>4319</v>
      </c>
    </row>
    <row r="42" spans="1:19">
      <c r="A42" s="59">
        <v>39</v>
      </c>
      <c r="B42" s="58" t="s">
        <v>2543</v>
      </c>
      <c r="C42" s="31" t="s">
        <v>2544</v>
      </c>
      <c r="D42" s="59" t="s">
        <v>3019</v>
      </c>
      <c r="E42" s="59" t="s">
        <v>2546</v>
      </c>
      <c r="F42" s="60" t="s">
        <v>3044</v>
      </c>
      <c r="G42" s="19" t="s">
        <v>4275</v>
      </c>
      <c r="H42" s="59" t="s">
        <v>3493</v>
      </c>
      <c r="I42" s="60" t="s">
        <v>1558</v>
      </c>
      <c r="J42" s="31" t="s">
        <v>1559</v>
      </c>
      <c r="K42" s="59" t="s">
        <v>4277</v>
      </c>
      <c r="L42" s="59" t="s">
        <v>1562</v>
      </c>
      <c r="M42" s="59" t="s">
        <v>669</v>
      </c>
      <c r="N42" s="31" t="s">
        <v>314</v>
      </c>
      <c r="O42" s="31" t="s">
        <v>314</v>
      </c>
      <c r="P42" s="31" t="s">
        <v>1564</v>
      </c>
      <c r="Q42" s="59" t="s">
        <v>1566</v>
      </c>
      <c r="R42" s="31" t="s">
        <v>1512</v>
      </c>
      <c r="S42" s="31" t="s">
        <v>4315</v>
      </c>
    </row>
    <row r="43" spans="1:19">
      <c r="A43" s="66">
        <v>40</v>
      </c>
      <c r="B43" s="67" t="s">
        <v>71</v>
      </c>
      <c r="C43" s="68" t="s">
        <v>2549</v>
      </c>
      <c r="D43" s="66" t="s">
        <v>2554</v>
      </c>
      <c r="E43" s="66" t="s">
        <v>2553</v>
      </c>
      <c r="F43" s="69" t="s">
        <v>3049</v>
      </c>
      <c r="G43" s="70" t="s">
        <v>4275</v>
      </c>
      <c r="H43" s="66" t="s">
        <v>3491</v>
      </c>
      <c r="I43" s="69" t="s">
        <v>40</v>
      </c>
      <c r="J43" s="68" t="s">
        <v>1917</v>
      </c>
      <c r="K43" s="66" t="s">
        <v>4277</v>
      </c>
      <c r="L43" s="66" t="s">
        <v>442</v>
      </c>
      <c r="M43" s="66" t="s">
        <v>440</v>
      </c>
      <c r="N43" s="68" t="s">
        <v>1919</v>
      </c>
      <c r="O43" s="68" t="s">
        <v>1894</v>
      </c>
      <c r="P43" s="68" t="s">
        <v>1606</v>
      </c>
      <c r="Q43" s="66" t="s">
        <v>448</v>
      </c>
      <c r="R43" s="68" t="s">
        <v>999</v>
      </c>
      <c r="S43" s="68" t="s">
        <v>4320</v>
      </c>
    </row>
    <row r="44" spans="1:19">
      <c r="A44" s="66">
        <v>41</v>
      </c>
      <c r="B44" s="67" t="s">
        <v>71</v>
      </c>
      <c r="C44" s="68" t="s">
        <v>2549</v>
      </c>
      <c r="D44" s="66" t="s">
        <v>2554</v>
      </c>
      <c r="E44" s="66" t="s">
        <v>2553</v>
      </c>
      <c r="F44" s="69" t="s">
        <v>3049</v>
      </c>
      <c r="G44" s="70" t="s">
        <v>4275</v>
      </c>
      <c r="H44" s="66" t="s">
        <v>3493</v>
      </c>
      <c r="I44" s="69" t="s">
        <v>2290</v>
      </c>
      <c r="J44" s="68" t="s">
        <v>2291</v>
      </c>
      <c r="K44" s="66" t="s">
        <v>4277</v>
      </c>
      <c r="L44" s="66" t="s">
        <v>498</v>
      </c>
      <c r="M44" s="66" t="s">
        <v>669</v>
      </c>
      <c r="N44" s="68" t="s">
        <v>1919</v>
      </c>
      <c r="O44" s="68" t="s">
        <v>1894</v>
      </c>
      <c r="P44" s="68" t="s">
        <v>1564</v>
      </c>
      <c r="Q44" s="66" t="s">
        <v>1566</v>
      </c>
      <c r="R44" s="68" t="s">
        <v>1512</v>
      </c>
      <c r="S44" s="68" t="s">
        <v>4321</v>
      </c>
    </row>
    <row r="45" spans="1:19">
      <c r="A45" s="59">
        <v>42</v>
      </c>
      <c r="B45" s="58" t="s">
        <v>2557</v>
      </c>
      <c r="C45" s="31" t="s">
        <v>2558</v>
      </c>
      <c r="D45" s="59" t="s">
        <v>2554</v>
      </c>
      <c r="E45" s="59" t="s">
        <v>2553</v>
      </c>
      <c r="F45" s="60" t="s">
        <v>3058</v>
      </c>
      <c r="G45" s="19" t="s">
        <v>4275</v>
      </c>
      <c r="H45" s="59" t="s">
        <v>3491</v>
      </c>
      <c r="I45" s="60" t="s">
        <v>1923</v>
      </c>
      <c r="J45" s="31" t="s">
        <v>1924</v>
      </c>
      <c r="K45" s="59" t="s">
        <v>4277</v>
      </c>
      <c r="L45" s="59" t="s">
        <v>442</v>
      </c>
      <c r="M45" s="59" t="s">
        <v>440</v>
      </c>
      <c r="N45" s="31" t="s">
        <v>1919</v>
      </c>
      <c r="O45" s="31" t="s">
        <v>1894</v>
      </c>
      <c r="P45" s="31" t="s">
        <v>1606</v>
      </c>
      <c r="Q45" s="59" t="s">
        <v>448</v>
      </c>
      <c r="R45" s="31" t="s">
        <v>999</v>
      </c>
      <c r="S45" s="31" t="s">
        <v>4322</v>
      </c>
    </row>
    <row r="46" spans="1:19">
      <c r="A46" s="59">
        <v>43</v>
      </c>
      <c r="B46" s="58" t="s">
        <v>2557</v>
      </c>
      <c r="C46" s="31" t="s">
        <v>2558</v>
      </c>
      <c r="D46" s="59" t="s">
        <v>2554</v>
      </c>
      <c r="E46" s="59" t="s">
        <v>2553</v>
      </c>
      <c r="F46" s="60" t="s">
        <v>3058</v>
      </c>
      <c r="G46" s="19" t="s">
        <v>4275</v>
      </c>
      <c r="H46" s="59" t="s">
        <v>3493</v>
      </c>
      <c r="I46" s="60" t="s">
        <v>2295</v>
      </c>
      <c r="J46" s="31" t="s">
        <v>2296</v>
      </c>
      <c r="K46" s="59" t="s">
        <v>4277</v>
      </c>
      <c r="L46" s="59" t="s">
        <v>498</v>
      </c>
      <c r="M46" s="59" t="s">
        <v>669</v>
      </c>
      <c r="N46" s="31" t="s">
        <v>1919</v>
      </c>
      <c r="O46" s="31" t="s">
        <v>1894</v>
      </c>
      <c r="P46" s="31" t="s">
        <v>1564</v>
      </c>
      <c r="Q46" s="59" t="s">
        <v>1566</v>
      </c>
      <c r="R46" s="31" t="s">
        <v>1512</v>
      </c>
      <c r="S46" s="31" t="s">
        <v>4323</v>
      </c>
    </row>
    <row r="47" spans="1:19">
      <c r="A47" s="66">
        <v>44</v>
      </c>
      <c r="B47" s="67" t="s">
        <v>2562</v>
      </c>
      <c r="C47" s="68" t="s">
        <v>2563</v>
      </c>
      <c r="D47" s="66" t="s">
        <v>2554</v>
      </c>
      <c r="E47" s="66" t="s">
        <v>2553</v>
      </c>
      <c r="F47" s="69" t="s">
        <v>3064</v>
      </c>
      <c r="G47" s="70" t="s">
        <v>4275</v>
      </c>
      <c r="H47" s="66" t="s">
        <v>3491</v>
      </c>
      <c r="I47" s="69" t="s">
        <v>1929</v>
      </c>
      <c r="J47" s="68" t="s">
        <v>1930</v>
      </c>
      <c r="K47" s="66" t="s">
        <v>4277</v>
      </c>
      <c r="L47" s="66" t="s">
        <v>442</v>
      </c>
      <c r="M47" s="66" t="s">
        <v>440</v>
      </c>
      <c r="N47" s="68" t="s">
        <v>1932</v>
      </c>
      <c r="O47" s="68" t="s">
        <v>1894</v>
      </c>
      <c r="P47" s="68" t="s">
        <v>1606</v>
      </c>
      <c r="Q47" s="66" t="s">
        <v>448</v>
      </c>
      <c r="R47" s="68" t="s">
        <v>999</v>
      </c>
      <c r="S47" s="68" t="s">
        <v>4324</v>
      </c>
    </row>
    <row r="48" spans="1:19">
      <c r="A48" s="66">
        <v>45</v>
      </c>
      <c r="B48" s="67" t="s">
        <v>2562</v>
      </c>
      <c r="C48" s="68" t="s">
        <v>2563</v>
      </c>
      <c r="D48" s="66" t="s">
        <v>2554</v>
      </c>
      <c r="E48" s="66" t="s">
        <v>2553</v>
      </c>
      <c r="F48" s="69" t="s">
        <v>3064</v>
      </c>
      <c r="G48" s="70" t="s">
        <v>4275</v>
      </c>
      <c r="H48" s="66" t="s">
        <v>3493</v>
      </c>
      <c r="I48" s="69" t="s">
        <v>2300</v>
      </c>
      <c r="J48" s="68" t="s">
        <v>2301</v>
      </c>
      <c r="K48" s="66" t="s">
        <v>4277</v>
      </c>
      <c r="L48" s="66" t="s">
        <v>498</v>
      </c>
      <c r="M48" s="66" t="s">
        <v>669</v>
      </c>
      <c r="N48" s="68" t="s">
        <v>1932</v>
      </c>
      <c r="O48" s="68" t="s">
        <v>1894</v>
      </c>
      <c r="P48" s="68" t="s">
        <v>1564</v>
      </c>
      <c r="Q48" s="66" t="s">
        <v>1566</v>
      </c>
      <c r="R48" s="68" t="s">
        <v>1512</v>
      </c>
      <c r="S48" s="68" t="s">
        <v>4325</v>
      </c>
    </row>
    <row r="49" spans="1:19">
      <c r="A49" s="59">
        <v>46</v>
      </c>
      <c r="B49" s="58" t="s">
        <v>2567</v>
      </c>
      <c r="C49" s="31" t="s">
        <v>2568</v>
      </c>
      <c r="D49" s="59" t="s">
        <v>2554</v>
      </c>
      <c r="E49" s="59" t="s">
        <v>2553</v>
      </c>
      <c r="F49" s="60" t="s">
        <v>3070</v>
      </c>
      <c r="G49" s="19" t="s">
        <v>4275</v>
      </c>
      <c r="H49" s="59" t="s">
        <v>3491</v>
      </c>
      <c r="I49" s="60" t="s">
        <v>1936</v>
      </c>
      <c r="J49" s="31" t="s">
        <v>1937</v>
      </c>
      <c r="K49" s="59" t="s">
        <v>4277</v>
      </c>
      <c r="L49" s="59" t="s">
        <v>442</v>
      </c>
      <c r="M49" s="59" t="s">
        <v>440</v>
      </c>
      <c r="N49" s="31" t="s">
        <v>1932</v>
      </c>
      <c r="O49" s="31" t="s">
        <v>1894</v>
      </c>
      <c r="P49" s="31" t="s">
        <v>1606</v>
      </c>
      <c r="Q49" s="59" t="s">
        <v>448</v>
      </c>
      <c r="R49" s="31" t="s">
        <v>999</v>
      </c>
      <c r="S49" s="31" t="s">
        <v>4326</v>
      </c>
    </row>
    <row r="50" spans="1:19">
      <c r="A50" s="59">
        <v>47</v>
      </c>
      <c r="B50" s="58" t="s">
        <v>2567</v>
      </c>
      <c r="C50" s="31" t="s">
        <v>2568</v>
      </c>
      <c r="D50" s="59" t="s">
        <v>2554</v>
      </c>
      <c r="E50" s="59" t="s">
        <v>2553</v>
      </c>
      <c r="F50" s="60" t="s">
        <v>3070</v>
      </c>
      <c r="G50" s="19" t="s">
        <v>4275</v>
      </c>
      <c r="H50" s="59" t="s">
        <v>3493</v>
      </c>
      <c r="I50" s="60" t="s">
        <v>2305</v>
      </c>
      <c r="J50" s="31" t="s">
        <v>2306</v>
      </c>
      <c r="K50" s="59" t="s">
        <v>4277</v>
      </c>
      <c r="L50" s="59" t="s">
        <v>498</v>
      </c>
      <c r="M50" s="59" t="s">
        <v>669</v>
      </c>
      <c r="N50" s="31" t="s">
        <v>1932</v>
      </c>
      <c r="O50" s="31" t="s">
        <v>1894</v>
      </c>
      <c r="P50" s="31" t="s">
        <v>1564</v>
      </c>
      <c r="Q50" s="59" t="s">
        <v>1566</v>
      </c>
      <c r="R50" s="31" t="s">
        <v>1512</v>
      </c>
      <c r="S50" s="31" t="s">
        <v>4327</v>
      </c>
    </row>
    <row r="51" spans="1:19">
      <c r="A51" s="66">
        <v>48</v>
      </c>
      <c r="B51" s="67" t="s">
        <v>2572</v>
      </c>
      <c r="C51" s="68" t="s">
        <v>2573</v>
      </c>
      <c r="D51" s="66" t="s">
        <v>2554</v>
      </c>
      <c r="E51" s="66" t="s">
        <v>2553</v>
      </c>
      <c r="F51" s="69" t="s">
        <v>3075</v>
      </c>
      <c r="G51" s="70" t="s">
        <v>4275</v>
      </c>
      <c r="H51" s="66" t="s">
        <v>3491</v>
      </c>
      <c r="I51" s="69" t="s">
        <v>1988</v>
      </c>
      <c r="J51" s="68" t="s">
        <v>1989</v>
      </c>
      <c r="K51" s="66" t="s">
        <v>4277</v>
      </c>
      <c r="L51" s="66" t="s">
        <v>442</v>
      </c>
      <c r="M51" s="66" t="s">
        <v>440</v>
      </c>
      <c r="N51" s="68" t="s">
        <v>1984</v>
      </c>
      <c r="O51" s="68" t="s">
        <v>1894</v>
      </c>
      <c r="P51" s="68" t="s">
        <v>1606</v>
      </c>
      <c r="Q51" s="66" t="s">
        <v>448</v>
      </c>
      <c r="R51" s="68" t="s">
        <v>999</v>
      </c>
      <c r="S51" s="68" t="s">
        <v>4328</v>
      </c>
    </row>
    <row r="52" spans="1:19">
      <c r="A52" s="66">
        <v>49</v>
      </c>
      <c r="B52" s="67" t="s">
        <v>2572</v>
      </c>
      <c r="C52" s="68" t="s">
        <v>2573</v>
      </c>
      <c r="D52" s="66" t="s">
        <v>2554</v>
      </c>
      <c r="E52" s="66" t="s">
        <v>2553</v>
      </c>
      <c r="F52" s="69" t="s">
        <v>3075</v>
      </c>
      <c r="G52" s="70" t="s">
        <v>4275</v>
      </c>
      <c r="H52" s="66" t="s">
        <v>3493</v>
      </c>
      <c r="I52" s="69" t="s">
        <v>2345</v>
      </c>
      <c r="J52" s="68" t="s">
        <v>2346</v>
      </c>
      <c r="K52" s="66" t="s">
        <v>4277</v>
      </c>
      <c r="L52" s="66" t="s">
        <v>498</v>
      </c>
      <c r="M52" s="66" t="s">
        <v>669</v>
      </c>
      <c r="N52" s="68" t="s">
        <v>1984</v>
      </c>
      <c r="O52" s="68" t="s">
        <v>1894</v>
      </c>
      <c r="P52" s="68" t="s">
        <v>1564</v>
      </c>
      <c r="Q52" s="66" t="s">
        <v>1566</v>
      </c>
      <c r="R52" s="68" t="s">
        <v>1512</v>
      </c>
      <c r="S52" s="68" t="s">
        <v>4329</v>
      </c>
    </row>
    <row r="53" spans="1:19">
      <c r="A53" s="59">
        <v>50</v>
      </c>
      <c r="B53" s="58" t="s">
        <v>2577</v>
      </c>
      <c r="C53" s="31" t="s">
        <v>2578</v>
      </c>
      <c r="D53" s="59" t="s">
        <v>2554</v>
      </c>
      <c r="E53" s="59" t="s">
        <v>2553</v>
      </c>
      <c r="F53" s="60" t="s">
        <v>3081</v>
      </c>
      <c r="G53" s="19" t="s">
        <v>4275</v>
      </c>
      <c r="H53" s="59" t="s">
        <v>3491</v>
      </c>
      <c r="I53" s="60" t="s">
        <v>1994</v>
      </c>
      <c r="J53" s="31" t="s">
        <v>1995</v>
      </c>
      <c r="K53" s="59" t="s">
        <v>4277</v>
      </c>
      <c r="L53" s="59" t="s">
        <v>442</v>
      </c>
      <c r="M53" s="59" t="s">
        <v>440</v>
      </c>
      <c r="N53" s="31" t="s">
        <v>1984</v>
      </c>
      <c r="O53" s="31" t="s">
        <v>1894</v>
      </c>
      <c r="P53" s="31" t="s">
        <v>1606</v>
      </c>
      <c r="Q53" s="59" t="s">
        <v>448</v>
      </c>
      <c r="R53" s="31" t="s">
        <v>999</v>
      </c>
      <c r="S53" s="31" t="s">
        <v>4330</v>
      </c>
    </row>
    <row r="54" spans="1:19">
      <c r="A54" s="59">
        <v>51</v>
      </c>
      <c r="B54" s="58" t="s">
        <v>2577</v>
      </c>
      <c r="C54" s="31" t="s">
        <v>2578</v>
      </c>
      <c r="D54" s="59" t="s">
        <v>2554</v>
      </c>
      <c r="E54" s="59" t="s">
        <v>2553</v>
      </c>
      <c r="F54" s="60" t="s">
        <v>3081</v>
      </c>
      <c r="G54" s="19" t="s">
        <v>4275</v>
      </c>
      <c r="H54" s="59" t="s">
        <v>3493</v>
      </c>
      <c r="I54" s="60" t="s">
        <v>2350</v>
      </c>
      <c r="J54" s="31" t="s">
        <v>2351</v>
      </c>
      <c r="K54" s="59" t="s">
        <v>4277</v>
      </c>
      <c r="L54" s="59" t="s">
        <v>498</v>
      </c>
      <c r="M54" s="59" t="s">
        <v>669</v>
      </c>
      <c r="N54" s="31" t="s">
        <v>1984</v>
      </c>
      <c r="O54" s="31" t="s">
        <v>1894</v>
      </c>
      <c r="P54" s="31" t="s">
        <v>1564</v>
      </c>
      <c r="Q54" s="59" t="s">
        <v>1566</v>
      </c>
      <c r="R54" s="31" t="s">
        <v>1512</v>
      </c>
      <c r="S54" s="31" t="s">
        <v>4331</v>
      </c>
    </row>
    <row r="55" spans="1:19">
      <c r="A55" s="66">
        <v>52</v>
      </c>
      <c r="B55" s="67" t="s">
        <v>2582</v>
      </c>
      <c r="C55" s="68" t="s">
        <v>2583</v>
      </c>
      <c r="D55" s="66" t="s">
        <v>2554</v>
      </c>
      <c r="E55" s="66" t="s">
        <v>2585</v>
      </c>
      <c r="F55" s="69" t="s">
        <v>3086</v>
      </c>
      <c r="G55" s="70" t="s">
        <v>4275</v>
      </c>
      <c r="H55" s="66" t="s">
        <v>3491</v>
      </c>
      <c r="I55" s="69" t="s">
        <v>1981</v>
      </c>
      <c r="J55" s="68" t="s">
        <v>1982</v>
      </c>
      <c r="K55" s="66" t="s">
        <v>4277</v>
      </c>
      <c r="L55" s="66" t="s">
        <v>442</v>
      </c>
      <c r="M55" s="66" t="s">
        <v>440</v>
      </c>
      <c r="N55" s="68" t="s">
        <v>1984</v>
      </c>
      <c r="O55" s="68" t="s">
        <v>1887</v>
      </c>
      <c r="P55" s="68" t="s">
        <v>1606</v>
      </c>
      <c r="Q55" s="66" t="s">
        <v>448</v>
      </c>
      <c r="R55" s="68" t="s">
        <v>999</v>
      </c>
      <c r="S55" s="68" t="s">
        <v>4332</v>
      </c>
    </row>
    <row r="56" spans="1:19">
      <c r="A56" s="66">
        <v>53</v>
      </c>
      <c r="B56" s="67" t="s">
        <v>2582</v>
      </c>
      <c r="C56" s="68" t="s">
        <v>2583</v>
      </c>
      <c r="D56" s="66" t="s">
        <v>2554</v>
      </c>
      <c r="E56" s="66" t="s">
        <v>2585</v>
      </c>
      <c r="F56" s="69" t="s">
        <v>3086</v>
      </c>
      <c r="G56" s="70" t="s">
        <v>4275</v>
      </c>
      <c r="H56" s="66" t="s">
        <v>3493</v>
      </c>
      <c r="I56" s="69" t="s">
        <v>2340</v>
      </c>
      <c r="J56" s="68" t="s">
        <v>2341</v>
      </c>
      <c r="K56" s="66" t="s">
        <v>4277</v>
      </c>
      <c r="L56" s="66" t="s">
        <v>2268</v>
      </c>
      <c r="M56" s="66" t="s">
        <v>669</v>
      </c>
      <c r="N56" s="68" t="s">
        <v>1984</v>
      </c>
      <c r="O56" s="68" t="s">
        <v>1887</v>
      </c>
      <c r="P56" s="68" t="s">
        <v>1564</v>
      </c>
      <c r="Q56" s="66" t="s">
        <v>1566</v>
      </c>
      <c r="R56" s="68" t="s">
        <v>1512</v>
      </c>
      <c r="S56" s="68" t="s">
        <v>4333</v>
      </c>
    </row>
    <row r="57" spans="1:19">
      <c r="A57" s="59">
        <v>54</v>
      </c>
      <c r="B57" s="58" t="s">
        <v>2588</v>
      </c>
      <c r="C57" s="31" t="s">
        <v>2589</v>
      </c>
      <c r="D57" s="59" t="s">
        <v>2554</v>
      </c>
      <c r="E57" s="59" t="s">
        <v>2553</v>
      </c>
      <c r="F57" s="60" t="s">
        <v>3092</v>
      </c>
      <c r="G57" s="19" t="s">
        <v>4275</v>
      </c>
      <c r="H57" s="59" t="s">
        <v>3491</v>
      </c>
      <c r="I57" s="60" t="s">
        <v>1891</v>
      </c>
      <c r="J57" s="31" t="s">
        <v>1892</v>
      </c>
      <c r="K57" s="59" t="s">
        <v>4277</v>
      </c>
      <c r="L57" s="59" t="s">
        <v>442</v>
      </c>
      <c r="M57" s="59" t="s">
        <v>440</v>
      </c>
      <c r="N57" s="31" t="s">
        <v>1886</v>
      </c>
      <c r="O57" s="31" t="s">
        <v>1894</v>
      </c>
      <c r="P57" s="31" t="s">
        <v>1606</v>
      </c>
      <c r="Q57" s="59" t="s">
        <v>448</v>
      </c>
      <c r="R57" s="31" t="s">
        <v>999</v>
      </c>
      <c r="S57" s="31" t="s">
        <v>4334</v>
      </c>
    </row>
    <row r="58" spans="1:19">
      <c r="A58" s="59">
        <v>55</v>
      </c>
      <c r="B58" s="58" t="s">
        <v>2588</v>
      </c>
      <c r="C58" s="31" t="s">
        <v>2589</v>
      </c>
      <c r="D58" s="59" t="s">
        <v>2554</v>
      </c>
      <c r="E58" s="59" t="s">
        <v>2553</v>
      </c>
      <c r="F58" s="60" t="s">
        <v>3092</v>
      </c>
      <c r="G58" s="19" t="s">
        <v>4275</v>
      </c>
      <c r="H58" s="59" t="s">
        <v>3493</v>
      </c>
      <c r="I58" s="60" t="s">
        <v>2270</v>
      </c>
      <c r="J58" s="31" t="s">
        <v>2271</v>
      </c>
      <c r="K58" s="59" t="s">
        <v>4277</v>
      </c>
      <c r="L58" s="59" t="s">
        <v>498</v>
      </c>
      <c r="M58" s="59" t="s">
        <v>669</v>
      </c>
      <c r="N58" s="31" t="s">
        <v>1886</v>
      </c>
      <c r="O58" s="31" t="s">
        <v>1894</v>
      </c>
      <c r="P58" s="31" t="s">
        <v>1564</v>
      </c>
      <c r="Q58" s="59" t="s">
        <v>1566</v>
      </c>
      <c r="R58" s="31" t="s">
        <v>1512</v>
      </c>
      <c r="S58" s="31" t="s">
        <v>4335</v>
      </c>
    </row>
    <row r="59" spans="1:19">
      <c r="A59" s="66">
        <v>56</v>
      </c>
      <c r="B59" s="67" t="s">
        <v>2593</v>
      </c>
      <c r="C59" s="68" t="s">
        <v>2594</v>
      </c>
      <c r="D59" s="66" t="s">
        <v>2554</v>
      </c>
      <c r="E59" s="66" t="s">
        <v>2553</v>
      </c>
      <c r="F59" s="69" t="s">
        <v>3097</v>
      </c>
      <c r="G59" s="70" t="s">
        <v>4275</v>
      </c>
      <c r="H59" s="66" t="s">
        <v>3491</v>
      </c>
      <c r="I59" s="69" t="s">
        <v>1898</v>
      </c>
      <c r="J59" s="68" t="s">
        <v>1899</v>
      </c>
      <c r="K59" s="66" t="s">
        <v>4277</v>
      </c>
      <c r="L59" s="66" t="s">
        <v>442</v>
      </c>
      <c r="M59" s="66" t="s">
        <v>440</v>
      </c>
      <c r="N59" s="68" t="s">
        <v>1886</v>
      </c>
      <c r="O59" s="68" t="s">
        <v>1894</v>
      </c>
      <c r="P59" s="68" t="s">
        <v>1606</v>
      </c>
      <c r="Q59" s="66" t="s">
        <v>448</v>
      </c>
      <c r="R59" s="68" t="s">
        <v>999</v>
      </c>
      <c r="S59" s="68" t="s">
        <v>4336</v>
      </c>
    </row>
    <row r="60" spans="1:19">
      <c r="A60" s="66">
        <v>57</v>
      </c>
      <c r="B60" s="67" t="s">
        <v>2593</v>
      </c>
      <c r="C60" s="68" t="s">
        <v>2594</v>
      </c>
      <c r="D60" s="66" t="s">
        <v>2554</v>
      </c>
      <c r="E60" s="66" t="s">
        <v>2553</v>
      </c>
      <c r="F60" s="69" t="s">
        <v>3097</v>
      </c>
      <c r="G60" s="70" t="s">
        <v>4275</v>
      </c>
      <c r="H60" s="66" t="s">
        <v>3493</v>
      </c>
      <c r="I60" s="69" t="s">
        <v>2275</v>
      </c>
      <c r="J60" s="68" t="s">
        <v>2276</v>
      </c>
      <c r="K60" s="66" t="s">
        <v>4277</v>
      </c>
      <c r="L60" s="66" t="s">
        <v>498</v>
      </c>
      <c r="M60" s="66" t="s">
        <v>669</v>
      </c>
      <c r="N60" s="68" t="s">
        <v>1886</v>
      </c>
      <c r="O60" s="68" t="s">
        <v>1894</v>
      </c>
      <c r="P60" s="68" t="s">
        <v>1564</v>
      </c>
      <c r="Q60" s="66" t="s">
        <v>1566</v>
      </c>
      <c r="R60" s="68" t="s">
        <v>1512</v>
      </c>
      <c r="S60" s="68" t="s">
        <v>4337</v>
      </c>
    </row>
    <row r="61" spans="1:19">
      <c r="A61" s="59">
        <v>58</v>
      </c>
      <c r="B61" s="58" t="s">
        <v>2598</v>
      </c>
      <c r="C61" s="31" t="s">
        <v>2599</v>
      </c>
      <c r="D61" s="59" t="s">
        <v>2554</v>
      </c>
      <c r="E61" s="59" t="s">
        <v>2585</v>
      </c>
      <c r="F61" s="60" t="s">
        <v>3102</v>
      </c>
      <c r="G61" s="19" t="s">
        <v>4275</v>
      </c>
      <c r="H61" s="59" t="s">
        <v>3491</v>
      </c>
      <c r="I61" s="60" t="s">
        <v>1883</v>
      </c>
      <c r="J61" s="31" t="s">
        <v>1884</v>
      </c>
      <c r="K61" s="59" t="s">
        <v>4277</v>
      </c>
      <c r="L61" s="59" t="s">
        <v>442</v>
      </c>
      <c r="M61" s="59" t="s">
        <v>440</v>
      </c>
      <c r="N61" s="31" t="s">
        <v>1886</v>
      </c>
      <c r="O61" s="31" t="s">
        <v>1887</v>
      </c>
      <c r="P61" s="31" t="s">
        <v>1606</v>
      </c>
      <c r="Q61" s="59" t="s">
        <v>448</v>
      </c>
      <c r="R61" s="31" t="s">
        <v>999</v>
      </c>
      <c r="S61" s="31" t="s">
        <v>4338</v>
      </c>
    </row>
    <row r="62" spans="1:19">
      <c r="A62" s="59">
        <v>59</v>
      </c>
      <c r="B62" s="58" t="s">
        <v>2598</v>
      </c>
      <c r="C62" s="31" t="s">
        <v>2599</v>
      </c>
      <c r="D62" s="59" t="s">
        <v>2554</v>
      </c>
      <c r="E62" s="59" t="s">
        <v>2585</v>
      </c>
      <c r="F62" s="60" t="s">
        <v>3102</v>
      </c>
      <c r="G62" s="19" t="s">
        <v>4275</v>
      </c>
      <c r="H62" s="59" t="s">
        <v>3493</v>
      </c>
      <c r="I62" s="60" t="s">
        <v>2264</v>
      </c>
      <c r="J62" s="31" t="s">
        <v>2265</v>
      </c>
      <c r="K62" s="59" t="s">
        <v>4277</v>
      </c>
      <c r="L62" s="59" t="s">
        <v>2268</v>
      </c>
      <c r="M62" s="59" t="s">
        <v>669</v>
      </c>
      <c r="N62" s="31" t="s">
        <v>1886</v>
      </c>
      <c r="O62" s="31" t="s">
        <v>1887</v>
      </c>
      <c r="P62" s="31" t="s">
        <v>1564</v>
      </c>
      <c r="Q62" s="59" t="s">
        <v>1566</v>
      </c>
      <c r="R62" s="31" t="s">
        <v>1512</v>
      </c>
      <c r="S62" s="31" t="s">
        <v>4339</v>
      </c>
    </row>
    <row r="63" spans="1:19">
      <c r="A63" s="66">
        <v>60</v>
      </c>
      <c r="B63" s="67" t="s">
        <v>2603</v>
      </c>
      <c r="C63" s="68" t="s">
        <v>2604</v>
      </c>
      <c r="D63" s="66" t="s">
        <v>2554</v>
      </c>
      <c r="E63" s="66" t="s">
        <v>2553</v>
      </c>
      <c r="F63" s="69" t="s">
        <v>3108</v>
      </c>
      <c r="G63" s="70" t="s">
        <v>4275</v>
      </c>
      <c r="H63" s="66" t="s">
        <v>3491</v>
      </c>
      <c r="I63" s="69" t="s">
        <v>1904</v>
      </c>
      <c r="J63" s="68" t="s">
        <v>1905</v>
      </c>
      <c r="K63" s="66" t="s">
        <v>4277</v>
      </c>
      <c r="L63" s="66" t="s">
        <v>442</v>
      </c>
      <c r="M63" s="66" t="s">
        <v>440</v>
      </c>
      <c r="N63" s="68" t="s">
        <v>1907</v>
      </c>
      <c r="O63" s="68" t="s">
        <v>1894</v>
      </c>
      <c r="P63" s="68" t="s">
        <v>1606</v>
      </c>
      <c r="Q63" s="66" t="s">
        <v>448</v>
      </c>
      <c r="R63" s="68" t="s">
        <v>999</v>
      </c>
      <c r="S63" s="68" t="s">
        <v>4340</v>
      </c>
    </row>
    <row r="64" spans="1:19">
      <c r="A64" s="66">
        <v>61</v>
      </c>
      <c r="B64" s="67" t="s">
        <v>2603</v>
      </c>
      <c r="C64" s="68" t="s">
        <v>2604</v>
      </c>
      <c r="D64" s="66" t="s">
        <v>2554</v>
      </c>
      <c r="E64" s="66" t="s">
        <v>2553</v>
      </c>
      <c r="F64" s="69" t="s">
        <v>3108</v>
      </c>
      <c r="G64" s="70" t="s">
        <v>4275</v>
      </c>
      <c r="H64" s="66" t="s">
        <v>3493</v>
      </c>
      <c r="I64" s="69" t="s">
        <v>2280</v>
      </c>
      <c r="J64" s="68" t="s">
        <v>2281</v>
      </c>
      <c r="K64" s="66" t="s">
        <v>4277</v>
      </c>
      <c r="L64" s="66" t="s">
        <v>498</v>
      </c>
      <c r="M64" s="66" t="s">
        <v>669</v>
      </c>
      <c r="N64" s="68" t="s">
        <v>1907</v>
      </c>
      <c r="O64" s="68" t="s">
        <v>1894</v>
      </c>
      <c r="P64" s="68" t="s">
        <v>1564</v>
      </c>
      <c r="Q64" s="66" t="s">
        <v>1566</v>
      </c>
      <c r="R64" s="68" t="s">
        <v>1512</v>
      </c>
      <c r="S64" s="68" t="s">
        <v>4341</v>
      </c>
    </row>
    <row r="65" spans="1:19">
      <c r="A65" s="59">
        <v>62</v>
      </c>
      <c r="B65" s="58" t="s">
        <v>2608</v>
      </c>
      <c r="C65" s="31" t="s">
        <v>2609</v>
      </c>
      <c r="D65" s="59" t="s">
        <v>2554</v>
      </c>
      <c r="E65" s="59" t="s">
        <v>2553</v>
      </c>
      <c r="F65" s="60" t="s">
        <v>3113</v>
      </c>
      <c r="G65" s="19" t="s">
        <v>4275</v>
      </c>
      <c r="H65" s="59" t="s">
        <v>3491</v>
      </c>
      <c r="I65" s="60" t="s">
        <v>1911</v>
      </c>
      <c r="J65" s="31" t="s">
        <v>1912</v>
      </c>
      <c r="K65" s="59" t="s">
        <v>4277</v>
      </c>
      <c r="L65" s="59" t="s">
        <v>442</v>
      </c>
      <c r="M65" s="59" t="s">
        <v>440</v>
      </c>
      <c r="N65" s="31" t="s">
        <v>1907</v>
      </c>
      <c r="O65" s="31" t="s">
        <v>1894</v>
      </c>
      <c r="P65" s="31" t="s">
        <v>1606</v>
      </c>
      <c r="Q65" s="59" t="s">
        <v>448</v>
      </c>
      <c r="R65" s="31" t="s">
        <v>999</v>
      </c>
      <c r="S65" s="31" t="s">
        <v>4342</v>
      </c>
    </row>
    <row r="66" spans="1:19">
      <c r="A66" s="59">
        <v>63</v>
      </c>
      <c r="B66" s="58" t="s">
        <v>2608</v>
      </c>
      <c r="C66" s="31" t="s">
        <v>2609</v>
      </c>
      <c r="D66" s="59" t="s">
        <v>2554</v>
      </c>
      <c r="E66" s="59" t="s">
        <v>2553</v>
      </c>
      <c r="F66" s="60" t="s">
        <v>3113</v>
      </c>
      <c r="G66" s="19" t="s">
        <v>4275</v>
      </c>
      <c r="H66" s="59" t="s">
        <v>3493</v>
      </c>
      <c r="I66" s="60" t="s">
        <v>2285</v>
      </c>
      <c r="J66" s="31" t="s">
        <v>2286</v>
      </c>
      <c r="K66" s="59" t="s">
        <v>4277</v>
      </c>
      <c r="L66" s="59" t="s">
        <v>498</v>
      </c>
      <c r="M66" s="59" t="s">
        <v>669</v>
      </c>
      <c r="N66" s="31" t="s">
        <v>1907</v>
      </c>
      <c r="O66" s="31" t="s">
        <v>1894</v>
      </c>
      <c r="P66" s="31" t="s">
        <v>1564</v>
      </c>
      <c r="Q66" s="59" t="s">
        <v>1566</v>
      </c>
      <c r="R66" s="31" t="s">
        <v>1512</v>
      </c>
      <c r="S66" s="31" t="s">
        <v>4343</v>
      </c>
    </row>
    <row r="67" spans="1:19">
      <c r="A67" s="66">
        <v>64</v>
      </c>
      <c r="B67" s="67" t="s">
        <v>2613</v>
      </c>
      <c r="C67" s="68" t="s">
        <v>2614</v>
      </c>
      <c r="D67" s="66" t="s">
        <v>2554</v>
      </c>
      <c r="E67" s="66" t="s">
        <v>2553</v>
      </c>
      <c r="F67" s="69" t="s">
        <v>3118</v>
      </c>
      <c r="G67" s="70" t="s">
        <v>4275</v>
      </c>
      <c r="H67" s="66" t="s">
        <v>3491</v>
      </c>
      <c r="I67" s="69" t="s">
        <v>1955</v>
      </c>
      <c r="J67" s="68" t="s">
        <v>1956</v>
      </c>
      <c r="K67" s="66" t="s">
        <v>4277</v>
      </c>
      <c r="L67" s="66" t="s">
        <v>442</v>
      </c>
      <c r="M67" s="66" t="s">
        <v>440</v>
      </c>
      <c r="N67" s="68" t="s">
        <v>1958</v>
      </c>
      <c r="O67" s="68" t="s">
        <v>1894</v>
      </c>
      <c r="P67" s="68" t="s">
        <v>1606</v>
      </c>
      <c r="Q67" s="66" t="s">
        <v>448</v>
      </c>
      <c r="R67" s="68" t="s">
        <v>999</v>
      </c>
      <c r="S67" s="68" t="s">
        <v>4344</v>
      </c>
    </row>
    <row r="68" spans="1:19">
      <c r="A68" s="66">
        <v>65</v>
      </c>
      <c r="B68" s="67" t="s">
        <v>2613</v>
      </c>
      <c r="C68" s="68" t="s">
        <v>2614</v>
      </c>
      <c r="D68" s="66" t="s">
        <v>2554</v>
      </c>
      <c r="E68" s="66" t="s">
        <v>2553</v>
      </c>
      <c r="F68" s="69" t="s">
        <v>3118</v>
      </c>
      <c r="G68" s="70" t="s">
        <v>4275</v>
      </c>
      <c r="H68" s="66" t="s">
        <v>3493</v>
      </c>
      <c r="I68" s="69" t="s">
        <v>2320</v>
      </c>
      <c r="J68" s="68" t="s">
        <v>2321</v>
      </c>
      <c r="K68" s="66" t="s">
        <v>4277</v>
      </c>
      <c r="L68" s="66" t="s">
        <v>498</v>
      </c>
      <c r="M68" s="66" t="s">
        <v>669</v>
      </c>
      <c r="N68" s="68" t="s">
        <v>1958</v>
      </c>
      <c r="O68" s="68" t="s">
        <v>1894</v>
      </c>
      <c r="P68" s="68" t="s">
        <v>1564</v>
      </c>
      <c r="Q68" s="66" t="s">
        <v>1566</v>
      </c>
      <c r="R68" s="68" t="s">
        <v>1512</v>
      </c>
      <c r="S68" s="68" t="s">
        <v>4345</v>
      </c>
    </row>
    <row r="69" spans="1:19">
      <c r="A69" s="59">
        <v>66</v>
      </c>
      <c r="B69" s="58" t="s">
        <v>2618</v>
      </c>
      <c r="C69" s="31" t="s">
        <v>2619</v>
      </c>
      <c r="D69" s="59" t="s">
        <v>2554</v>
      </c>
      <c r="E69" s="59" t="s">
        <v>2553</v>
      </c>
      <c r="F69" s="60" t="s">
        <v>3123</v>
      </c>
      <c r="G69" s="19" t="s">
        <v>4275</v>
      </c>
      <c r="H69" s="59" t="s">
        <v>3491</v>
      </c>
      <c r="I69" s="60" t="s">
        <v>1962</v>
      </c>
      <c r="J69" s="31" t="s">
        <v>1963</v>
      </c>
      <c r="K69" s="59" t="s">
        <v>4277</v>
      </c>
      <c r="L69" s="59" t="s">
        <v>442</v>
      </c>
      <c r="M69" s="59" t="s">
        <v>440</v>
      </c>
      <c r="N69" s="31" t="s">
        <v>1958</v>
      </c>
      <c r="O69" s="31" t="s">
        <v>1894</v>
      </c>
      <c r="P69" s="31" t="s">
        <v>1606</v>
      </c>
      <c r="Q69" s="59" t="s">
        <v>448</v>
      </c>
      <c r="R69" s="31" t="s">
        <v>999</v>
      </c>
      <c r="S69" s="31" t="s">
        <v>4346</v>
      </c>
    </row>
    <row r="70" spans="1:19">
      <c r="A70" s="59">
        <v>67</v>
      </c>
      <c r="B70" s="58" t="s">
        <v>2618</v>
      </c>
      <c r="C70" s="31" t="s">
        <v>2619</v>
      </c>
      <c r="D70" s="59" t="s">
        <v>2554</v>
      </c>
      <c r="E70" s="59" t="s">
        <v>2553</v>
      </c>
      <c r="F70" s="60" t="s">
        <v>3123</v>
      </c>
      <c r="G70" s="19" t="s">
        <v>4275</v>
      </c>
      <c r="H70" s="59" t="s">
        <v>3493</v>
      </c>
      <c r="I70" s="60" t="s">
        <v>2325</v>
      </c>
      <c r="J70" s="31" t="s">
        <v>2326</v>
      </c>
      <c r="K70" s="59" t="s">
        <v>4277</v>
      </c>
      <c r="L70" s="59" t="s">
        <v>498</v>
      </c>
      <c r="M70" s="59" t="s">
        <v>669</v>
      </c>
      <c r="N70" s="31" t="s">
        <v>1958</v>
      </c>
      <c r="O70" s="31" t="s">
        <v>1894</v>
      </c>
      <c r="P70" s="31" t="s">
        <v>1564</v>
      </c>
      <c r="Q70" s="59" t="s">
        <v>1566</v>
      </c>
      <c r="R70" s="31" t="s">
        <v>1512</v>
      </c>
      <c r="S70" s="31" t="s">
        <v>4347</v>
      </c>
    </row>
    <row r="71" spans="1:19">
      <c r="A71" s="66">
        <v>68</v>
      </c>
      <c r="B71" s="67" t="s">
        <v>2623</v>
      </c>
      <c r="C71" s="68" t="s">
        <v>2624</v>
      </c>
      <c r="D71" s="66" t="s">
        <v>2554</v>
      </c>
      <c r="E71" s="66" t="s">
        <v>2553</v>
      </c>
      <c r="F71" s="69" t="s">
        <v>3128</v>
      </c>
      <c r="G71" s="70" t="s">
        <v>4275</v>
      </c>
      <c r="H71" s="66" t="s">
        <v>3491</v>
      </c>
      <c r="I71" s="69" t="s">
        <v>1968</v>
      </c>
      <c r="J71" s="68" t="s">
        <v>1969</v>
      </c>
      <c r="K71" s="66" t="s">
        <v>4277</v>
      </c>
      <c r="L71" s="66" t="s">
        <v>442</v>
      </c>
      <c r="M71" s="66" t="s">
        <v>440</v>
      </c>
      <c r="N71" s="68" t="s">
        <v>1971</v>
      </c>
      <c r="O71" s="68" t="s">
        <v>1894</v>
      </c>
      <c r="P71" s="68" t="s">
        <v>1606</v>
      </c>
      <c r="Q71" s="66" t="s">
        <v>448</v>
      </c>
      <c r="R71" s="68" t="s">
        <v>999</v>
      </c>
      <c r="S71" s="68" t="s">
        <v>4348</v>
      </c>
    </row>
    <row r="72" spans="1:19">
      <c r="A72" s="66">
        <v>69</v>
      </c>
      <c r="B72" s="67" t="s">
        <v>2623</v>
      </c>
      <c r="C72" s="68" t="s">
        <v>2624</v>
      </c>
      <c r="D72" s="66" t="s">
        <v>2554</v>
      </c>
      <c r="E72" s="66" t="s">
        <v>2553</v>
      </c>
      <c r="F72" s="69" t="s">
        <v>3128</v>
      </c>
      <c r="G72" s="70" t="s">
        <v>4275</v>
      </c>
      <c r="H72" s="66" t="s">
        <v>3493</v>
      </c>
      <c r="I72" s="69" t="s">
        <v>2330</v>
      </c>
      <c r="J72" s="68" t="s">
        <v>2331</v>
      </c>
      <c r="K72" s="66" t="s">
        <v>4277</v>
      </c>
      <c r="L72" s="66" t="s">
        <v>498</v>
      </c>
      <c r="M72" s="66" t="s">
        <v>669</v>
      </c>
      <c r="N72" s="68" t="s">
        <v>1971</v>
      </c>
      <c r="O72" s="68" t="s">
        <v>1894</v>
      </c>
      <c r="P72" s="68" t="s">
        <v>1564</v>
      </c>
      <c r="Q72" s="66" t="s">
        <v>1566</v>
      </c>
      <c r="R72" s="68" t="s">
        <v>1512</v>
      </c>
      <c r="S72" s="68" t="s">
        <v>4349</v>
      </c>
    </row>
    <row r="73" spans="1:19">
      <c r="A73" s="59">
        <v>70</v>
      </c>
      <c r="B73" s="58" t="s">
        <v>2628</v>
      </c>
      <c r="C73" s="31" t="s">
        <v>2629</v>
      </c>
      <c r="D73" s="59" t="s">
        <v>2554</v>
      </c>
      <c r="E73" s="59" t="s">
        <v>2553</v>
      </c>
      <c r="F73" s="60" t="s">
        <v>3133</v>
      </c>
      <c r="G73" s="19" t="s">
        <v>4275</v>
      </c>
      <c r="H73" s="59" t="s">
        <v>3491</v>
      </c>
      <c r="I73" s="60" t="s">
        <v>1975</v>
      </c>
      <c r="J73" s="31" t="s">
        <v>1976</v>
      </c>
      <c r="K73" s="59" t="s">
        <v>4277</v>
      </c>
      <c r="L73" s="59" t="s">
        <v>442</v>
      </c>
      <c r="M73" s="59" t="s">
        <v>440</v>
      </c>
      <c r="N73" s="31" t="s">
        <v>1971</v>
      </c>
      <c r="O73" s="31" t="s">
        <v>1894</v>
      </c>
      <c r="P73" s="31" t="s">
        <v>1606</v>
      </c>
      <c r="Q73" s="59" t="s">
        <v>448</v>
      </c>
      <c r="R73" s="31" t="s">
        <v>999</v>
      </c>
      <c r="S73" s="31" t="s">
        <v>4350</v>
      </c>
    </row>
    <row r="74" spans="1:19">
      <c r="A74" s="59">
        <v>71</v>
      </c>
      <c r="B74" s="58" t="s">
        <v>2628</v>
      </c>
      <c r="C74" s="31" t="s">
        <v>2629</v>
      </c>
      <c r="D74" s="59" t="s">
        <v>2554</v>
      </c>
      <c r="E74" s="59" t="s">
        <v>2553</v>
      </c>
      <c r="F74" s="60" t="s">
        <v>3133</v>
      </c>
      <c r="G74" s="19" t="s">
        <v>4275</v>
      </c>
      <c r="H74" s="59" t="s">
        <v>3493</v>
      </c>
      <c r="I74" s="60" t="s">
        <v>2335</v>
      </c>
      <c r="J74" s="31" t="s">
        <v>2336</v>
      </c>
      <c r="K74" s="59" t="s">
        <v>4277</v>
      </c>
      <c r="L74" s="59" t="s">
        <v>498</v>
      </c>
      <c r="M74" s="59" t="s">
        <v>669</v>
      </c>
      <c r="N74" s="31" t="s">
        <v>1971</v>
      </c>
      <c r="O74" s="31" t="s">
        <v>1894</v>
      </c>
      <c r="P74" s="31" t="s">
        <v>1564</v>
      </c>
      <c r="Q74" s="59" t="s">
        <v>1566</v>
      </c>
      <c r="R74" s="31" t="s">
        <v>1512</v>
      </c>
      <c r="S74" s="31" t="s">
        <v>4351</v>
      </c>
    </row>
    <row r="75" spans="1:19">
      <c r="A75" s="66">
        <v>72</v>
      </c>
      <c r="B75" s="67" t="s">
        <v>2633</v>
      </c>
      <c r="C75" s="68" t="s">
        <v>2634</v>
      </c>
      <c r="D75" s="66" t="s">
        <v>2554</v>
      </c>
      <c r="E75" s="66" t="s">
        <v>2553</v>
      </c>
      <c r="F75" s="69" t="s">
        <v>3138</v>
      </c>
      <c r="G75" s="70" t="s">
        <v>4275</v>
      </c>
      <c r="H75" s="66" t="s">
        <v>3491</v>
      </c>
      <c r="I75" s="69" t="s">
        <v>1942</v>
      </c>
      <c r="J75" s="68" t="s">
        <v>1943</v>
      </c>
      <c r="K75" s="66" t="s">
        <v>4277</v>
      </c>
      <c r="L75" s="66" t="s">
        <v>442</v>
      </c>
      <c r="M75" s="66" t="s">
        <v>440</v>
      </c>
      <c r="N75" s="68" t="s">
        <v>1945</v>
      </c>
      <c r="O75" s="68" t="s">
        <v>1894</v>
      </c>
      <c r="P75" s="68" t="s">
        <v>1606</v>
      </c>
      <c r="Q75" s="66" t="s">
        <v>448</v>
      </c>
      <c r="R75" s="68" t="s">
        <v>999</v>
      </c>
      <c r="S75" s="68" t="s">
        <v>4352</v>
      </c>
    </row>
    <row r="76" spans="1:19">
      <c r="A76" s="66">
        <v>73</v>
      </c>
      <c r="B76" s="67" t="s">
        <v>2633</v>
      </c>
      <c r="C76" s="68" t="s">
        <v>2634</v>
      </c>
      <c r="D76" s="66" t="s">
        <v>2554</v>
      </c>
      <c r="E76" s="66" t="s">
        <v>2553</v>
      </c>
      <c r="F76" s="69" t="s">
        <v>3138</v>
      </c>
      <c r="G76" s="70" t="s">
        <v>4275</v>
      </c>
      <c r="H76" s="66" t="s">
        <v>3493</v>
      </c>
      <c r="I76" s="69" t="s">
        <v>2310</v>
      </c>
      <c r="J76" s="68" t="s">
        <v>2311</v>
      </c>
      <c r="K76" s="66" t="s">
        <v>4277</v>
      </c>
      <c r="L76" s="66" t="s">
        <v>498</v>
      </c>
      <c r="M76" s="66" t="s">
        <v>669</v>
      </c>
      <c r="N76" s="68" t="s">
        <v>1945</v>
      </c>
      <c r="O76" s="68" t="s">
        <v>1894</v>
      </c>
      <c r="P76" s="68" t="s">
        <v>1564</v>
      </c>
      <c r="Q76" s="66" t="s">
        <v>1566</v>
      </c>
      <c r="R76" s="68" t="s">
        <v>1512</v>
      </c>
      <c r="S76" s="68" t="s">
        <v>4353</v>
      </c>
    </row>
    <row r="77" spans="1:19">
      <c r="A77" s="59">
        <v>74</v>
      </c>
      <c r="B77" s="58" t="s">
        <v>2638</v>
      </c>
      <c r="C77" s="31" t="s">
        <v>2639</v>
      </c>
      <c r="D77" s="59" t="s">
        <v>2554</v>
      </c>
      <c r="E77" s="59" t="s">
        <v>2553</v>
      </c>
      <c r="F77" s="60" t="s">
        <v>3143</v>
      </c>
      <c r="G77" s="19" t="s">
        <v>4275</v>
      </c>
      <c r="H77" s="59" t="s">
        <v>3491</v>
      </c>
      <c r="I77" s="60" t="s">
        <v>1949</v>
      </c>
      <c r="J77" s="31" t="s">
        <v>1950</v>
      </c>
      <c r="K77" s="59" t="s">
        <v>4277</v>
      </c>
      <c r="L77" s="59" t="s">
        <v>442</v>
      </c>
      <c r="M77" s="59" t="s">
        <v>440</v>
      </c>
      <c r="N77" s="31" t="s">
        <v>1945</v>
      </c>
      <c r="O77" s="31" t="s">
        <v>1894</v>
      </c>
      <c r="P77" s="31" t="s">
        <v>1606</v>
      </c>
      <c r="Q77" s="59" t="s">
        <v>448</v>
      </c>
      <c r="R77" s="31" t="s">
        <v>999</v>
      </c>
      <c r="S77" s="31" t="s">
        <v>4354</v>
      </c>
    </row>
    <row r="78" spans="1:19">
      <c r="A78" s="59">
        <v>75</v>
      </c>
      <c r="B78" s="58" t="s">
        <v>2638</v>
      </c>
      <c r="C78" s="31" t="s">
        <v>2639</v>
      </c>
      <c r="D78" s="59" t="s">
        <v>2554</v>
      </c>
      <c r="E78" s="59" t="s">
        <v>2553</v>
      </c>
      <c r="F78" s="60" t="s">
        <v>3143</v>
      </c>
      <c r="G78" s="19" t="s">
        <v>4275</v>
      </c>
      <c r="H78" s="59" t="s">
        <v>3493</v>
      </c>
      <c r="I78" s="60" t="s">
        <v>2315</v>
      </c>
      <c r="J78" s="31" t="s">
        <v>2316</v>
      </c>
      <c r="K78" s="59" t="s">
        <v>4277</v>
      </c>
      <c r="L78" s="59" t="s">
        <v>498</v>
      </c>
      <c r="M78" s="59" t="s">
        <v>669</v>
      </c>
      <c r="N78" s="31" t="s">
        <v>1945</v>
      </c>
      <c r="O78" s="31" t="s">
        <v>1894</v>
      </c>
      <c r="P78" s="31" t="s">
        <v>1564</v>
      </c>
      <c r="Q78" s="59" t="s">
        <v>1566</v>
      </c>
      <c r="R78" s="31" t="s">
        <v>1512</v>
      </c>
      <c r="S78" s="31" t="s">
        <v>4355</v>
      </c>
    </row>
    <row r="79" spans="1:19">
      <c r="A79" s="66">
        <v>76</v>
      </c>
      <c r="B79" s="67" t="s">
        <v>2643</v>
      </c>
      <c r="C79" s="68" t="s">
        <v>2644</v>
      </c>
      <c r="D79" s="66" t="s">
        <v>2554</v>
      </c>
      <c r="E79" s="66" t="s">
        <v>2646</v>
      </c>
      <c r="F79" s="69" t="s">
        <v>3148</v>
      </c>
      <c r="G79" s="70" t="s">
        <v>4275</v>
      </c>
      <c r="H79" s="66" t="s">
        <v>3491</v>
      </c>
      <c r="I79" s="69" t="s">
        <v>2045</v>
      </c>
      <c r="J79" s="68" t="s">
        <v>2046</v>
      </c>
      <c r="K79" s="66" t="s">
        <v>4307</v>
      </c>
      <c r="L79" s="66" t="s">
        <v>536</v>
      </c>
      <c r="M79" s="66" t="s">
        <v>440</v>
      </c>
      <c r="N79" s="68" t="s">
        <v>1709</v>
      </c>
      <c r="O79" s="68" t="s">
        <v>1710</v>
      </c>
      <c r="P79" s="68" t="s">
        <v>2039</v>
      </c>
      <c r="Q79" s="66" t="s">
        <v>510</v>
      </c>
      <c r="R79" s="68" t="s">
        <v>999</v>
      </c>
      <c r="S79" s="68" t="s">
        <v>4356</v>
      </c>
    </row>
    <row r="80" spans="1:19">
      <c r="A80" s="66">
        <v>77</v>
      </c>
      <c r="B80" s="67" t="s">
        <v>2643</v>
      </c>
      <c r="C80" s="68" t="s">
        <v>2644</v>
      </c>
      <c r="D80" s="66" t="s">
        <v>2554</v>
      </c>
      <c r="E80" s="66" t="s">
        <v>2646</v>
      </c>
      <c r="F80" s="69" t="s">
        <v>3148</v>
      </c>
      <c r="G80" s="72" t="s">
        <v>4309</v>
      </c>
      <c r="H80" s="66" t="s">
        <v>4310</v>
      </c>
      <c r="I80" s="69" t="s">
        <v>1706</v>
      </c>
      <c r="J80" s="73" t="s">
        <v>4357</v>
      </c>
      <c r="K80" s="66" t="s">
        <v>4277</v>
      </c>
      <c r="L80" s="66" t="s">
        <v>442</v>
      </c>
      <c r="M80" s="66" t="s">
        <v>440</v>
      </c>
      <c r="N80" s="68" t="s">
        <v>1709</v>
      </c>
      <c r="O80" s="68" t="s">
        <v>1710</v>
      </c>
      <c r="P80" s="68" t="s">
        <v>1606</v>
      </c>
      <c r="Q80" s="66" t="s">
        <v>448</v>
      </c>
      <c r="R80" s="68" t="s">
        <v>999</v>
      </c>
      <c r="S80" s="68" t="s">
        <v>4358</v>
      </c>
    </row>
    <row r="81" spans="1:19">
      <c r="A81" s="66">
        <v>78</v>
      </c>
      <c r="B81" s="67" t="s">
        <v>2643</v>
      </c>
      <c r="C81" s="68" t="s">
        <v>2644</v>
      </c>
      <c r="D81" s="66" t="s">
        <v>2554</v>
      </c>
      <c r="E81" s="66" t="s">
        <v>2646</v>
      </c>
      <c r="F81" s="69" t="s">
        <v>3148</v>
      </c>
      <c r="G81" s="72" t="s">
        <v>4309</v>
      </c>
      <c r="H81" s="66" t="s">
        <v>4310</v>
      </c>
      <c r="I81" s="69" t="s">
        <v>2017</v>
      </c>
      <c r="J81" s="73" t="s">
        <v>4359</v>
      </c>
      <c r="K81" s="66" t="s">
        <v>4277</v>
      </c>
      <c r="L81" s="66" t="s">
        <v>498</v>
      </c>
      <c r="M81" s="66" t="s">
        <v>440</v>
      </c>
      <c r="N81" s="68" t="s">
        <v>1709</v>
      </c>
      <c r="O81" s="68" t="s">
        <v>1710</v>
      </c>
      <c r="P81" s="68" t="s">
        <v>2012</v>
      </c>
      <c r="Q81" s="66" t="s">
        <v>448</v>
      </c>
      <c r="R81" s="68" t="s">
        <v>999</v>
      </c>
      <c r="S81" s="68" t="s">
        <v>4358</v>
      </c>
    </row>
    <row r="82" spans="1:19">
      <c r="A82" s="66">
        <v>79</v>
      </c>
      <c r="B82" s="67" t="s">
        <v>2643</v>
      </c>
      <c r="C82" s="68" t="s">
        <v>2644</v>
      </c>
      <c r="D82" s="66" t="s">
        <v>2554</v>
      </c>
      <c r="E82" s="66" t="s">
        <v>2646</v>
      </c>
      <c r="F82" s="69" t="s">
        <v>3148</v>
      </c>
      <c r="G82" s="70" t="s">
        <v>4275</v>
      </c>
      <c r="H82" s="66" t="s">
        <v>3493</v>
      </c>
      <c r="I82" s="69" t="s">
        <v>2143</v>
      </c>
      <c r="J82" s="68" t="s">
        <v>2144</v>
      </c>
      <c r="K82" s="66" t="s">
        <v>4277</v>
      </c>
      <c r="L82" s="66" t="s">
        <v>671</v>
      </c>
      <c r="M82" s="66" t="s">
        <v>669</v>
      </c>
      <c r="N82" s="68" t="s">
        <v>1709</v>
      </c>
      <c r="O82" s="68" t="s">
        <v>1710</v>
      </c>
      <c r="P82" s="68" t="s">
        <v>1564</v>
      </c>
      <c r="Q82" s="66" t="s">
        <v>1566</v>
      </c>
      <c r="R82" s="68" t="s">
        <v>1512</v>
      </c>
      <c r="S82" s="68" t="s">
        <v>4360</v>
      </c>
    </row>
    <row r="83" spans="1:19">
      <c r="A83" s="59">
        <v>80</v>
      </c>
      <c r="B83" s="58" t="s">
        <v>2649</v>
      </c>
      <c r="C83" s="31" t="s">
        <v>2650</v>
      </c>
      <c r="D83" s="59" t="s">
        <v>2554</v>
      </c>
      <c r="E83" s="59" t="s">
        <v>2652</v>
      </c>
      <c r="F83" s="60" t="s">
        <v>3155</v>
      </c>
      <c r="G83" s="19" t="s">
        <v>4275</v>
      </c>
      <c r="H83" s="59" t="s">
        <v>3491</v>
      </c>
      <c r="I83" s="60" t="s">
        <v>1706</v>
      </c>
      <c r="J83" s="31" t="s">
        <v>1707</v>
      </c>
      <c r="K83" s="59" t="s">
        <v>4277</v>
      </c>
      <c r="L83" s="59" t="s">
        <v>442</v>
      </c>
      <c r="M83" s="59" t="s">
        <v>440</v>
      </c>
      <c r="N83" s="31" t="s">
        <v>1709</v>
      </c>
      <c r="O83" s="31" t="s">
        <v>1710</v>
      </c>
      <c r="P83" s="31" t="s">
        <v>1606</v>
      </c>
      <c r="Q83" s="59" t="s">
        <v>448</v>
      </c>
      <c r="R83" s="31" t="s">
        <v>999</v>
      </c>
      <c r="S83" s="31" t="s">
        <v>4361</v>
      </c>
    </row>
    <row r="84" spans="1:19">
      <c r="A84" s="59">
        <v>81</v>
      </c>
      <c r="B84" s="58" t="s">
        <v>2649</v>
      </c>
      <c r="C84" s="31" t="s">
        <v>2650</v>
      </c>
      <c r="D84" s="59" t="s">
        <v>2554</v>
      </c>
      <c r="E84" s="59" t="s">
        <v>2652</v>
      </c>
      <c r="F84" s="60" t="s">
        <v>3155</v>
      </c>
      <c r="G84" s="19" t="s">
        <v>4275</v>
      </c>
      <c r="H84" s="59" t="s">
        <v>3493</v>
      </c>
      <c r="I84" s="60" t="s">
        <v>2143</v>
      </c>
      <c r="J84" s="31" t="s">
        <v>2144</v>
      </c>
      <c r="K84" s="59" t="s">
        <v>4277</v>
      </c>
      <c r="L84" s="59" t="s">
        <v>671</v>
      </c>
      <c r="M84" s="59" t="s">
        <v>669</v>
      </c>
      <c r="N84" s="31" t="s">
        <v>1709</v>
      </c>
      <c r="O84" s="31" t="s">
        <v>1710</v>
      </c>
      <c r="P84" s="31" t="s">
        <v>1564</v>
      </c>
      <c r="Q84" s="59" t="s">
        <v>1566</v>
      </c>
      <c r="R84" s="31" t="s">
        <v>1512</v>
      </c>
      <c r="S84" s="31" t="s">
        <v>4360</v>
      </c>
    </row>
    <row r="85" spans="1:19">
      <c r="A85" s="66">
        <v>82</v>
      </c>
      <c r="B85" s="67" t="s">
        <v>2655</v>
      </c>
      <c r="C85" s="68" t="s">
        <v>2656</v>
      </c>
      <c r="D85" s="66" t="s">
        <v>2554</v>
      </c>
      <c r="E85" s="66" t="s">
        <v>2658</v>
      </c>
      <c r="F85" s="69" t="s">
        <v>3160</v>
      </c>
      <c r="G85" s="70" t="s">
        <v>4275</v>
      </c>
      <c r="H85" s="66" t="s">
        <v>3491</v>
      </c>
      <c r="I85" s="69" t="s">
        <v>2017</v>
      </c>
      <c r="J85" s="68" t="s">
        <v>2018</v>
      </c>
      <c r="K85" s="66" t="s">
        <v>4277</v>
      </c>
      <c r="L85" s="66" t="s">
        <v>498</v>
      </c>
      <c r="M85" s="66" t="s">
        <v>440</v>
      </c>
      <c r="N85" s="68" t="s">
        <v>1709</v>
      </c>
      <c r="O85" s="68" t="s">
        <v>1710</v>
      </c>
      <c r="P85" s="68" t="s">
        <v>2012</v>
      </c>
      <c r="Q85" s="66" t="s">
        <v>448</v>
      </c>
      <c r="R85" s="68" t="s">
        <v>999</v>
      </c>
      <c r="S85" s="68" t="s">
        <v>4362</v>
      </c>
    </row>
    <row r="86" spans="1:19">
      <c r="A86" s="66">
        <v>83</v>
      </c>
      <c r="B86" s="67" t="s">
        <v>2655</v>
      </c>
      <c r="C86" s="68" t="s">
        <v>2656</v>
      </c>
      <c r="D86" s="66" t="s">
        <v>2554</v>
      </c>
      <c r="E86" s="66" t="s">
        <v>2658</v>
      </c>
      <c r="F86" s="69" t="s">
        <v>3160</v>
      </c>
      <c r="G86" s="70" t="s">
        <v>4275</v>
      </c>
      <c r="H86" s="66" t="s">
        <v>3493</v>
      </c>
      <c r="I86" s="69" t="s">
        <v>2143</v>
      </c>
      <c r="J86" s="68" t="s">
        <v>2144</v>
      </c>
      <c r="K86" s="66" t="s">
        <v>4277</v>
      </c>
      <c r="L86" s="66" t="s">
        <v>671</v>
      </c>
      <c r="M86" s="66" t="s">
        <v>669</v>
      </c>
      <c r="N86" s="68" t="s">
        <v>1709</v>
      </c>
      <c r="O86" s="68" t="s">
        <v>1710</v>
      </c>
      <c r="P86" s="68" t="s">
        <v>1564</v>
      </c>
      <c r="Q86" s="66" t="s">
        <v>1566</v>
      </c>
      <c r="R86" s="68" t="s">
        <v>1512</v>
      </c>
      <c r="S86" s="68" t="s">
        <v>4360</v>
      </c>
    </row>
    <row r="87" spans="1:19">
      <c r="A87" s="59">
        <v>84</v>
      </c>
      <c r="B87" s="58" t="s">
        <v>2661</v>
      </c>
      <c r="C87" s="31" t="s">
        <v>2662</v>
      </c>
      <c r="D87" s="59" t="s">
        <v>2554</v>
      </c>
      <c r="E87" s="59" t="s">
        <v>2646</v>
      </c>
      <c r="F87" s="60" t="s">
        <v>3165</v>
      </c>
      <c r="G87" s="19" t="s">
        <v>4275</v>
      </c>
      <c r="H87" s="59" t="s">
        <v>3491</v>
      </c>
      <c r="I87" s="60" t="s">
        <v>2052</v>
      </c>
      <c r="J87" s="31" t="s">
        <v>2053</v>
      </c>
      <c r="K87" s="59" t="s">
        <v>4307</v>
      </c>
      <c r="L87" s="59" t="s">
        <v>536</v>
      </c>
      <c r="M87" s="59" t="s">
        <v>440</v>
      </c>
      <c r="N87" s="31" t="s">
        <v>1709</v>
      </c>
      <c r="O87" s="31" t="s">
        <v>1702</v>
      </c>
      <c r="P87" s="31" t="s">
        <v>2039</v>
      </c>
      <c r="Q87" s="59" t="s">
        <v>510</v>
      </c>
      <c r="R87" s="31" t="s">
        <v>999</v>
      </c>
      <c r="S87" s="31" t="s">
        <v>4363</v>
      </c>
    </row>
    <row r="88" spans="1:19">
      <c r="A88" s="59">
        <v>85</v>
      </c>
      <c r="B88" s="58" t="s">
        <v>2661</v>
      </c>
      <c r="C88" s="31" t="s">
        <v>2662</v>
      </c>
      <c r="D88" s="59" t="s">
        <v>2554</v>
      </c>
      <c r="E88" s="59" t="s">
        <v>2646</v>
      </c>
      <c r="F88" s="60" t="s">
        <v>3165</v>
      </c>
      <c r="G88" s="71" t="s">
        <v>4309</v>
      </c>
      <c r="H88" s="59" t="s">
        <v>4310</v>
      </c>
      <c r="I88" s="60" t="s">
        <v>1714</v>
      </c>
      <c r="J88" s="61" t="s">
        <v>4364</v>
      </c>
      <c r="K88" s="59" t="s">
        <v>4277</v>
      </c>
      <c r="L88" s="59" t="s">
        <v>442</v>
      </c>
      <c r="M88" s="59" t="s">
        <v>440</v>
      </c>
      <c r="N88" s="31" t="s">
        <v>1709</v>
      </c>
      <c r="O88" s="31" t="s">
        <v>1702</v>
      </c>
      <c r="P88" s="31" t="s">
        <v>1606</v>
      </c>
      <c r="Q88" s="59" t="s">
        <v>448</v>
      </c>
      <c r="R88" s="31" t="s">
        <v>999</v>
      </c>
      <c r="S88" s="31" t="s">
        <v>4365</v>
      </c>
    </row>
    <row r="89" spans="1:19">
      <c r="A89" s="59">
        <v>86</v>
      </c>
      <c r="B89" s="58" t="s">
        <v>2661</v>
      </c>
      <c r="C89" s="31" t="s">
        <v>2662</v>
      </c>
      <c r="D89" s="59" t="s">
        <v>2554</v>
      </c>
      <c r="E89" s="59" t="s">
        <v>2646</v>
      </c>
      <c r="F89" s="60" t="s">
        <v>3165</v>
      </c>
      <c r="G89" s="19" t="s">
        <v>4275</v>
      </c>
      <c r="H89" s="59" t="s">
        <v>3493</v>
      </c>
      <c r="I89" s="60" t="s">
        <v>2151</v>
      </c>
      <c r="J89" s="31" t="s">
        <v>2152</v>
      </c>
      <c r="K89" s="59" t="s">
        <v>4277</v>
      </c>
      <c r="L89" s="59" t="s">
        <v>671</v>
      </c>
      <c r="M89" s="59" t="s">
        <v>669</v>
      </c>
      <c r="N89" s="31" t="s">
        <v>1709</v>
      </c>
      <c r="O89" s="31" t="s">
        <v>1702</v>
      </c>
      <c r="P89" s="31" t="s">
        <v>1564</v>
      </c>
      <c r="Q89" s="59" t="s">
        <v>1566</v>
      </c>
      <c r="R89" s="31" t="s">
        <v>1512</v>
      </c>
      <c r="S89" s="31" t="s">
        <v>4366</v>
      </c>
    </row>
    <row r="90" spans="1:19">
      <c r="A90" s="66">
        <v>87</v>
      </c>
      <c r="B90" s="67" t="s">
        <v>2666</v>
      </c>
      <c r="C90" s="68" t="s">
        <v>2667</v>
      </c>
      <c r="D90" s="66" t="s">
        <v>2554</v>
      </c>
      <c r="E90" s="66" t="s">
        <v>2652</v>
      </c>
      <c r="F90" s="69" t="s">
        <v>3171</v>
      </c>
      <c r="G90" s="70" t="s">
        <v>4275</v>
      </c>
      <c r="H90" s="66" t="s">
        <v>3491</v>
      </c>
      <c r="I90" s="69" t="s">
        <v>1714</v>
      </c>
      <c r="J90" s="68" t="s">
        <v>1715</v>
      </c>
      <c r="K90" s="66" t="s">
        <v>4277</v>
      </c>
      <c r="L90" s="66" t="s">
        <v>442</v>
      </c>
      <c r="M90" s="66" t="s">
        <v>440</v>
      </c>
      <c r="N90" s="68" t="s">
        <v>1709</v>
      </c>
      <c r="O90" s="68" t="s">
        <v>1702</v>
      </c>
      <c r="P90" s="68" t="s">
        <v>1606</v>
      </c>
      <c r="Q90" s="66" t="s">
        <v>448</v>
      </c>
      <c r="R90" s="68" t="s">
        <v>999</v>
      </c>
      <c r="S90" s="68" t="s">
        <v>4367</v>
      </c>
    </row>
    <row r="91" spans="1:19">
      <c r="A91" s="66">
        <v>88</v>
      </c>
      <c r="B91" s="67" t="s">
        <v>2666</v>
      </c>
      <c r="C91" s="68" t="s">
        <v>2667</v>
      </c>
      <c r="D91" s="66" t="s">
        <v>2554</v>
      </c>
      <c r="E91" s="66" t="s">
        <v>2652</v>
      </c>
      <c r="F91" s="69" t="s">
        <v>3171</v>
      </c>
      <c r="G91" s="70" t="s">
        <v>4275</v>
      </c>
      <c r="H91" s="66" t="s">
        <v>3493</v>
      </c>
      <c r="I91" s="69" t="s">
        <v>2151</v>
      </c>
      <c r="J91" s="68" t="s">
        <v>2152</v>
      </c>
      <c r="K91" s="66" t="s">
        <v>4277</v>
      </c>
      <c r="L91" s="66" t="s">
        <v>671</v>
      </c>
      <c r="M91" s="66" t="s">
        <v>669</v>
      </c>
      <c r="N91" s="68" t="s">
        <v>1709</v>
      </c>
      <c r="O91" s="68" t="s">
        <v>1702</v>
      </c>
      <c r="P91" s="68" t="s">
        <v>1564</v>
      </c>
      <c r="Q91" s="66" t="s">
        <v>1566</v>
      </c>
      <c r="R91" s="68" t="s">
        <v>1512</v>
      </c>
      <c r="S91" s="68" t="s">
        <v>4366</v>
      </c>
    </row>
    <row r="92" spans="1:19">
      <c r="A92" s="59">
        <v>89</v>
      </c>
      <c r="B92" s="58" t="s">
        <v>2671</v>
      </c>
      <c r="C92" s="31" t="s">
        <v>2672</v>
      </c>
      <c r="D92" s="59" t="s">
        <v>2554</v>
      </c>
      <c r="E92" s="59" t="s">
        <v>2646</v>
      </c>
      <c r="F92" s="60" t="s">
        <v>3175</v>
      </c>
      <c r="G92" s="19" t="s">
        <v>4275</v>
      </c>
      <c r="H92" s="59" t="s">
        <v>3491</v>
      </c>
      <c r="I92" s="60" t="s">
        <v>2059</v>
      </c>
      <c r="J92" s="31" t="s">
        <v>2060</v>
      </c>
      <c r="K92" s="59" t="s">
        <v>4307</v>
      </c>
      <c r="L92" s="59" t="s">
        <v>536</v>
      </c>
      <c r="M92" s="59" t="s">
        <v>440</v>
      </c>
      <c r="N92" s="31" t="s">
        <v>1723</v>
      </c>
      <c r="O92" s="31" t="s">
        <v>1710</v>
      </c>
      <c r="P92" s="31" t="s">
        <v>2039</v>
      </c>
      <c r="Q92" s="59" t="s">
        <v>510</v>
      </c>
      <c r="R92" s="31" t="s">
        <v>999</v>
      </c>
      <c r="S92" s="31" t="s">
        <v>4368</v>
      </c>
    </row>
    <row r="93" spans="1:19">
      <c r="A93" s="59">
        <v>90</v>
      </c>
      <c r="B93" s="58" t="s">
        <v>2671</v>
      </c>
      <c r="C93" s="31" t="s">
        <v>2672</v>
      </c>
      <c r="D93" s="59" t="s">
        <v>2554</v>
      </c>
      <c r="E93" s="59" t="s">
        <v>2646</v>
      </c>
      <c r="F93" s="60" t="s">
        <v>3175</v>
      </c>
      <c r="G93" s="71" t="s">
        <v>4309</v>
      </c>
      <c r="H93" s="59" t="s">
        <v>4310</v>
      </c>
      <c r="I93" s="60" t="s">
        <v>1720</v>
      </c>
      <c r="J93" s="61" t="s">
        <v>4369</v>
      </c>
      <c r="K93" s="59" t="s">
        <v>4277</v>
      </c>
      <c r="L93" s="59" t="s">
        <v>442</v>
      </c>
      <c r="M93" s="59" t="s">
        <v>440</v>
      </c>
      <c r="N93" s="31" t="s">
        <v>1723</v>
      </c>
      <c r="O93" s="31" t="s">
        <v>1710</v>
      </c>
      <c r="P93" s="31" t="s">
        <v>1606</v>
      </c>
      <c r="Q93" s="59" t="s">
        <v>448</v>
      </c>
      <c r="R93" s="31" t="s">
        <v>999</v>
      </c>
      <c r="S93" s="31" t="s">
        <v>4370</v>
      </c>
    </row>
    <row r="94" spans="1:19">
      <c r="A94" s="59">
        <v>91</v>
      </c>
      <c r="B94" s="58" t="s">
        <v>2671</v>
      </c>
      <c r="C94" s="31" t="s">
        <v>2672</v>
      </c>
      <c r="D94" s="59" t="s">
        <v>2554</v>
      </c>
      <c r="E94" s="59" t="s">
        <v>2646</v>
      </c>
      <c r="F94" s="60" t="s">
        <v>3175</v>
      </c>
      <c r="G94" s="71" t="s">
        <v>4309</v>
      </c>
      <c r="H94" s="59" t="s">
        <v>4310</v>
      </c>
      <c r="I94" s="60" t="s">
        <v>2023</v>
      </c>
      <c r="J94" s="61" t="s">
        <v>4371</v>
      </c>
      <c r="K94" s="59" t="s">
        <v>4277</v>
      </c>
      <c r="L94" s="59" t="s">
        <v>498</v>
      </c>
      <c r="M94" s="59" t="s">
        <v>440</v>
      </c>
      <c r="N94" s="31" t="s">
        <v>1723</v>
      </c>
      <c r="O94" s="31" t="s">
        <v>1710</v>
      </c>
      <c r="P94" s="31" t="s">
        <v>2012</v>
      </c>
      <c r="Q94" s="59" t="s">
        <v>448</v>
      </c>
      <c r="R94" s="31" t="s">
        <v>999</v>
      </c>
      <c r="S94" s="31" t="s">
        <v>4370</v>
      </c>
    </row>
    <row r="95" spans="1:19">
      <c r="A95" s="59">
        <v>92</v>
      </c>
      <c r="B95" s="58" t="s">
        <v>2671</v>
      </c>
      <c r="C95" s="31" t="s">
        <v>2672</v>
      </c>
      <c r="D95" s="59" t="s">
        <v>2554</v>
      </c>
      <c r="E95" s="59" t="s">
        <v>2646</v>
      </c>
      <c r="F95" s="60" t="s">
        <v>3175</v>
      </c>
      <c r="G95" s="19" t="s">
        <v>4275</v>
      </c>
      <c r="H95" s="59" t="s">
        <v>3493</v>
      </c>
      <c r="I95" s="60" t="s">
        <v>2157</v>
      </c>
      <c r="J95" s="31" t="s">
        <v>2158</v>
      </c>
      <c r="K95" s="59" t="s">
        <v>4277</v>
      </c>
      <c r="L95" s="59" t="s">
        <v>671</v>
      </c>
      <c r="M95" s="59" t="s">
        <v>669</v>
      </c>
      <c r="N95" s="31" t="s">
        <v>1723</v>
      </c>
      <c r="O95" s="31" t="s">
        <v>1710</v>
      </c>
      <c r="P95" s="31" t="s">
        <v>1564</v>
      </c>
      <c r="Q95" s="59" t="s">
        <v>1566</v>
      </c>
      <c r="R95" s="31" t="s">
        <v>1512</v>
      </c>
      <c r="S95" s="31" t="s">
        <v>4372</v>
      </c>
    </row>
    <row r="96" spans="1:19">
      <c r="A96" s="66">
        <v>93</v>
      </c>
      <c r="B96" s="67" t="s">
        <v>2676</v>
      </c>
      <c r="C96" s="68" t="s">
        <v>2677</v>
      </c>
      <c r="D96" s="66" t="s">
        <v>2554</v>
      </c>
      <c r="E96" s="66" t="s">
        <v>2652</v>
      </c>
      <c r="F96" s="69" t="s">
        <v>3181</v>
      </c>
      <c r="G96" s="70" t="s">
        <v>4275</v>
      </c>
      <c r="H96" s="66" t="s">
        <v>3491</v>
      </c>
      <c r="I96" s="69" t="s">
        <v>1720</v>
      </c>
      <c r="J96" s="68" t="s">
        <v>1721</v>
      </c>
      <c r="K96" s="66" t="s">
        <v>4277</v>
      </c>
      <c r="L96" s="66" t="s">
        <v>442</v>
      </c>
      <c r="M96" s="66" t="s">
        <v>440</v>
      </c>
      <c r="N96" s="68" t="s">
        <v>1723</v>
      </c>
      <c r="O96" s="68" t="s">
        <v>1710</v>
      </c>
      <c r="P96" s="68" t="s">
        <v>1606</v>
      </c>
      <c r="Q96" s="66" t="s">
        <v>448</v>
      </c>
      <c r="R96" s="68" t="s">
        <v>999</v>
      </c>
      <c r="S96" s="68" t="s">
        <v>4373</v>
      </c>
    </row>
    <row r="97" spans="1:19">
      <c r="A97" s="66">
        <v>94</v>
      </c>
      <c r="B97" s="67" t="s">
        <v>2676</v>
      </c>
      <c r="C97" s="68" t="s">
        <v>2677</v>
      </c>
      <c r="D97" s="66" t="s">
        <v>2554</v>
      </c>
      <c r="E97" s="66" t="s">
        <v>2652</v>
      </c>
      <c r="F97" s="69" t="s">
        <v>3181</v>
      </c>
      <c r="G97" s="70" t="s">
        <v>4275</v>
      </c>
      <c r="H97" s="66" t="s">
        <v>3493</v>
      </c>
      <c r="I97" s="69" t="s">
        <v>2157</v>
      </c>
      <c r="J97" s="68" t="s">
        <v>2158</v>
      </c>
      <c r="K97" s="66" t="s">
        <v>4277</v>
      </c>
      <c r="L97" s="66" t="s">
        <v>671</v>
      </c>
      <c r="M97" s="66" t="s">
        <v>669</v>
      </c>
      <c r="N97" s="68" t="s">
        <v>1723</v>
      </c>
      <c r="O97" s="68" t="s">
        <v>1710</v>
      </c>
      <c r="P97" s="68" t="s">
        <v>1564</v>
      </c>
      <c r="Q97" s="66" t="s">
        <v>1566</v>
      </c>
      <c r="R97" s="68" t="s">
        <v>1512</v>
      </c>
      <c r="S97" s="68" t="s">
        <v>4372</v>
      </c>
    </row>
    <row r="98" spans="1:19">
      <c r="A98" s="59">
        <v>95</v>
      </c>
      <c r="B98" s="58" t="s">
        <v>2681</v>
      </c>
      <c r="C98" s="31" t="s">
        <v>2682</v>
      </c>
      <c r="D98" s="59" t="s">
        <v>2554</v>
      </c>
      <c r="E98" s="59" t="s">
        <v>2658</v>
      </c>
      <c r="F98" s="60" t="s">
        <v>3186</v>
      </c>
      <c r="G98" s="19" t="s">
        <v>4275</v>
      </c>
      <c r="H98" s="59" t="s">
        <v>3491</v>
      </c>
      <c r="I98" s="60" t="s">
        <v>2023</v>
      </c>
      <c r="J98" s="31" t="s">
        <v>2024</v>
      </c>
      <c r="K98" s="59" t="s">
        <v>4277</v>
      </c>
      <c r="L98" s="59" t="s">
        <v>498</v>
      </c>
      <c r="M98" s="59" t="s">
        <v>440</v>
      </c>
      <c r="N98" s="31" t="s">
        <v>1723</v>
      </c>
      <c r="O98" s="31" t="s">
        <v>1710</v>
      </c>
      <c r="P98" s="31" t="s">
        <v>2012</v>
      </c>
      <c r="Q98" s="59" t="s">
        <v>448</v>
      </c>
      <c r="R98" s="31" t="s">
        <v>999</v>
      </c>
      <c r="S98" s="31" t="s">
        <v>4374</v>
      </c>
    </row>
    <row r="99" spans="1:19">
      <c r="A99" s="59">
        <v>96</v>
      </c>
      <c r="B99" s="58" t="s">
        <v>2681</v>
      </c>
      <c r="C99" s="31" t="s">
        <v>2682</v>
      </c>
      <c r="D99" s="59" t="s">
        <v>2554</v>
      </c>
      <c r="E99" s="59" t="s">
        <v>2658</v>
      </c>
      <c r="F99" s="60" t="s">
        <v>3186</v>
      </c>
      <c r="G99" s="19" t="s">
        <v>4275</v>
      </c>
      <c r="H99" s="59" t="s">
        <v>3493</v>
      </c>
      <c r="I99" s="60" t="s">
        <v>2157</v>
      </c>
      <c r="J99" s="31" t="s">
        <v>2158</v>
      </c>
      <c r="K99" s="59" t="s">
        <v>4277</v>
      </c>
      <c r="L99" s="59" t="s">
        <v>671</v>
      </c>
      <c r="M99" s="59" t="s">
        <v>669</v>
      </c>
      <c r="N99" s="31" t="s">
        <v>1723</v>
      </c>
      <c r="O99" s="31" t="s">
        <v>1710</v>
      </c>
      <c r="P99" s="31" t="s">
        <v>1564</v>
      </c>
      <c r="Q99" s="59" t="s">
        <v>1566</v>
      </c>
      <c r="R99" s="31" t="s">
        <v>1512</v>
      </c>
      <c r="S99" s="31" t="s">
        <v>4372</v>
      </c>
    </row>
    <row r="100" spans="1:19">
      <c r="A100" s="66">
        <v>97</v>
      </c>
      <c r="B100" s="67" t="s">
        <v>2686</v>
      </c>
      <c r="C100" s="68" t="s">
        <v>2687</v>
      </c>
      <c r="D100" s="66" t="s">
        <v>2554</v>
      </c>
      <c r="E100" s="66" t="s">
        <v>2646</v>
      </c>
      <c r="F100" s="69" t="s">
        <v>3191</v>
      </c>
      <c r="G100" s="70" t="s">
        <v>4275</v>
      </c>
      <c r="H100" s="66" t="s">
        <v>3491</v>
      </c>
      <c r="I100" s="69" t="s">
        <v>2066</v>
      </c>
      <c r="J100" s="68" t="s">
        <v>2067</v>
      </c>
      <c r="K100" s="66" t="s">
        <v>4307</v>
      </c>
      <c r="L100" s="66" t="s">
        <v>536</v>
      </c>
      <c r="M100" s="66" t="s">
        <v>440</v>
      </c>
      <c r="N100" s="68" t="s">
        <v>1723</v>
      </c>
      <c r="O100" s="68" t="s">
        <v>1702</v>
      </c>
      <c r="P100" s="68" t="s">
        <v>2039</v>
      </c>
      <c r="Q100" s="66" t="s">
        <v>510</v>
      </c>
      <c r="R100" s="68" t="s">
        <v>999</v>
      </c>
      <c r="S100" s="68" t="s">
        <v>4375</v>
      </c>
    </row>
    <row r="101" spans="1:19">
      <c r="A101" s="66">
        <v>98</v>
      </c>
      <c r="B101" s="67" t="s">
        <v>2686</v>
      </c>
      <c r="C101" s="68" t="s">
        <v>2687</v>
      </c>
      <c r="D101" s="66" t="s">
        <v>2554</v>
      </c>
      <c r="E101" s="66" t="s">
        <v>2646</v>
      </c>
      <c r="F101" s="69" t="s">
        <v>3191</v>
      </c>
      <c r="G101" s="72" t="s">
        <v>4309</v>
      </c>
      <c r="H101" s="66" t="s">
        <v>4310</v>
      </c>
      <c r="I101" s="69" t="s">
        <v>1727</v>
      </c>
      <c r="J101" s="73" t="s">
        <v>4376</v>
      </c>
      <c r="K101" s="66" t="s">
        <v>4277</v>
      </c>
      <c r="L101" s="66" t="s">
        <v>442</v>
      </c>
      <c r="M101" s="66" t="s">
        <v>440</v>
      </c>
      <c r="N101" s="68" t="s">
        <v>1723</v>
      </c>
      <c r="O101" s="68" t="s">
        <v>1702</v>
      </c>
      <c r="P101" s="68" t="s">
        <v>1606</v>
      </c>
      <c r="Q101" s="66" t="s">
        <v>448</v>
      </c>
      <c r="R101" s="68" t="s">
        <v>999</v>
      </c>
      <c r="S101" s="68" t="s">
        <v>4377</v>
      </c>
    </row>
    <row r="102" spans="1:19">
      <c r="A102" s="66">
        <v>99</v>
      </c>
      <c r="B102" s="67" t="s">
        <v>2686</v>
      </c>
      <c r="C102" s="68" t="s">
        <v>2687</v>
      </c>
      <c r="D102" s="66" t="s">
        <v>2554</v>
      </c>
      <c r="E102" s="66" t="s">
        <v>2646</v>
      </c>
      <c r="F102" s="69" t="s">
        <v>3191</v>
      </c>
      <c r="G102" s="70" t="s">
        <v>4275</v>
      </c>
      <c r="H102" s="66" t="s">
        <v>3493</v>
      </c>
      <c r="I102" s="69" t="s">
        <v>2163</v>
      </c>
      <c r="J102" s="68" t="s">
        <v>2164</v>
      </c>
      <c r="K102" s="66" t="s">
        <v>4277</v>
      </c>
      <c r="L102" s="66" t="s">
        <v>671</v>
      </c>
      <c r="M102" s="66" t="s">
        <v>669</v>
      </c>
      <c r="N102" s="68" t="s">
        <v>1723</v>
      </c>
      <c r="O102" s="68" t="s">
        <v>1702</v>
      </c>
      <c r="P102" s="68" t="s">
        <v>1564</v>
      </c>
      <c r="Q102" s="66" t="s">
        <v>1566</v>
      </c>
      <c r="R102" s="68" t="s">
        <v>1512</v>
      </c>
      <c r="S102" s="68" t="s">
        <v>4378</v>
      </c>
    </row>
    <row r="103" spans="1:19">
      <c r="A103" s="59">
        <v>100</v>
      </c>
      <c r="B103" s="58" t="s">
        <v>2691</v>
      </c>
      <c r="C103" s="31" t="s">
        <v>2692</v>
      </c>
      <c r="D103" s="59" t="s">
        <v>2554</v>
      </c>
      <c r="E103" s="59" t="s">
        <v>2652</v>
      </c>
      <c r="F103" s="60" t="s">
        <v>3196</v>
      </c>
      <c r="G103" s="19" t="s">
        <v>4275</v>
      </c>
      <c r="H103" s="59" t="s">
        <v>3491</v>
      </c>
      <c r="I103" s="60" t="s">
        <v>1727</v>
      </c>
      <c r="J103" s="31" t="s">
        <v>1728</v>
      </c>
      <c r="K103" s="59" t="s">
        <v>4277</v>
      </c>
      <c r="L103" s="59" t="s">
        <v>442</v>
      </c>
      <c r="M103" s="59" t="s">
        <v>440</v>
      </c>
      <c r="N103" s="31" t="s">
        <v>1723</v>
      </c>
      <c r="O103" s="31" t="s">
        <v>1702</v>
      </c>
      <c r="P103" s="31" t="s">
        <v>1606</v>
      </c>
      <c r="Q103" s="59" t="s">
        <v>448</v>
      </c>
      <c r="R103" s="31" t="s">
        <v>999</v>
      </c>
      <c r="S103" s="31" t="s">
        <v>4379</v>
      </c>
    </row>
    <row r="104" spans="1:19">
      <c r="A104" s="59">
        <v>101</v>
      </c>
      <c r="B104" s="58" t="s">
        <v>2691</v>
      </c>
      <c r="C104" s="31" t="s">
        <v>2692</v>
      </c>
      <c r="D104" s="59" t="s">
        <v>2554</v>
      </c>
      <c r="E104" s="59" t="s">
        <v>2652</v>
      </c>
      <c r="F104" s="60" t="s">
        <v>3196</v>
      </c>
      <c r="G104" s="19" t="s">
        <v>4275</v>
      </c>
      <c r="H104" s="59" t="s">
        <v>3493</v>
      </c>
      <c r="I104" s="60" t="s">
        <v>2163</v>
      </c>
      <c r="J104" s="31" t="s">
        <v>2164</v>
      </c>
      <c r="K104" s="59" t="s">
        <v>4277</v>
      </c>
      <c r="L104" s="59" t="s">
        <v>671</v>
      </c>
      <c r="M104" s="59" t="s">
        <v>669</v>
      </c>
      <c r="N104" s="31" t="s">
        <v>1723</v>
      </c>
      <c r="O104" s="31" t="s">
        <v>1702</v>
      </c>
      <c r="P104" s="31" t="s">
        <v>1564</v>
      </c>
      <c r="Q104" s="59" t="s">
        <v>1566</v>
      </c>
      <c r="R104" s="31" t="s">
        <v>1512</v>
      </c>
      <c r="S104" s="31" t="s">
        <v>4378</v>
      </c>
    </row>
    <row r="105" spans="1:19">
      <c r="A105" s="66">
        <v>102</v>
      </c>
      <c r="B105" s="67" t="s">
        <v>2696</v>
      </c>
      <c r="C105" s="68" t="s">
        <v>2697</v>
      </c>
      <c r="D105" s="66" t="s">
        <v>2554</v>
      </c>
      <c r="E105" s="66" t="s">
        <v>2646</v>
      </c>
      <c r="F105" s="69" t="s">
        <v>3200</v>
      </c>
      <c r="G105" s="70" t="s">
        <v>4275</v>
      </c>
      <c r="H105" s="66" t="s">
        <v>3491</v>
      </c>
      <c r="I105" s="69" t="s">
        <v>2129</v>
      </c>
      <c r="J105" s="68" t="s">
        <v>2130</v>
      </c>
      <c r="K105" s="66" t="s">
        <v>4307</v>
      </c>
      <c r="L105" s="66" t="s">
        <v>536</v>
      </c>
      <c r="M105" s="66" t="s">
        <v>440</v>
      </c>
      <c r="N105" s="68" t="s">
        <v>1789</v>
      </c>
      <c r="O105" s="68" t="s">
        <v>1710</v>
      </c>
      <c r="P105" s="68" t="s">
        <v>2039</v>
      </c>
      <c r="Q105" s="66" t="s">
        <v>510</v>
      </c>
      <c r="R105" s="68" t="s">
        <v>999</v>
      </c>
      <c r="S105" s="68" t="s">
        <v>4380</v>
      </c>
    </row>
    <row r="106" spans="1:19">
      <c r="A106" s="66">
        <v>103</v>
      </c>
      <c r="B106" s="67" t="s">
        <v>2696</v>
      </c>
      <c r="C106" s="68" t="s">
        <v>2697</v>
      </c>
      <c r="D106" s="66" t="s">
        <v>2554</v>
      </c>
      <c r="E106" s="66" t="s">
        <v>2646</v>
      </c>
      <c r="F106" s="69" t="s">
        <v>3200</v>
      </c>
      <c r="G106" s="72" t="s">
        <v>4309</v>
      </c>
      <c r="H106" s="66" t="s">
        <v>4310</v>
      </c>
      <c r="I106" s="69" t="s">
        <v>1786</v>
      </c>
      <c r="J106" s="73" t="s">
        <v>4381</v>
      </c>
      <c r="K106" s="66" t="s">
        <v>4277</v>
      </c>
      <c r="L106" s="66" t="s">
        <v>442</v>
      </c>
      <c r="M106" s="66" t="s">
        <v>440</v>
      </c>
      <c r="N106" s="68" t="s">
        <v>1789</v>
      </c>
      <c r="O106" s="68" t="s">
        <v>1710</v>
      </c>
      <c r="P106" s="68" t="s">
        <v>1606</v>
      </c>
      <c r="Q106" s="66" t="s">
        <v>448</v>
      </c>
      <c r="R106" s="68" t="s">
        <v>999</v>
      </c>
      <c r="S106" s="68" t="s">
        <v>4382</v>
      </c>
    </row>
    <row r="107" spans="1:19">
      <c r="A107" s="66">
        <v>104</v>
      </c>
      <c r="B107" s="67" t="s">
        <v>2696</v>
      </c>
      <c r="C107" s="68" t="s">
        <v>2697</v>
      </c>
      <c r="D107" s="66" t="s">
        <v>2554</v>
      </c>
      <c r="E107" s="66" t="s">
        <v>2646</v>
      </c>
      <c r="F107" s="69" t="s">
        <v>3200</v>
      </c>
      <c r="G107" s="72" t="s">
        <v>4309</v>
      </c>
      <c r="H107" s="66" t="s">
        <v>4310</v>
      </c>
      <c r="I107" s="69" t="s">
        <v>2029</v>
      </c>
      <c r="J107" s="73" t="s">
        <v>4383</v>
      </c>
      <c r="K107" s="66" t="s">
        <v>4277</v>
      </c>
      <c r="L107" s="66" t="s">
        <v>498</v>
      </c>
      <c r="M107" s="66" t="s">
        <v>440</v>
      </c>
      <c r="N107" s="68" t="s">
        <v>1789</v>
      </c>
      <c r="O107" s="68" t="s">
        <v>1710</v>
      </c>
      <c r="P107" s="68" t="s">
        <v>2012</v>
      </c>
      <c r="Q107" s="66" t="s">
        <v>448</v>
      </c>
      <c r="R107" s="68" t="s">
        <v>999</v>
      </c>
      <c r="S107" s="68" t="s">
        <v>4382</v>
      </c>
    </row>
    <row r="108" spans="1:19">
      <c r="A108" s="66">
        <v>105</v>
      </c>
      <c r="B108" s="67" t="s">
        <v>2696</v>
      </c>
      <c r="C108" s="68" t="s">
        <v>2697</v>
      </c>
      <c r="D108" s="66" t="s">
        <v>2554</v>
      </c>
      <c r="E108" s="66" t="s">
        <v>2646</v>
      </c>
      <c r="F108" s="69" t="s">
        <v>3200</v>
      </c>
      <c r="G108" s="70" t="s">
        <v>4275</v>
      </c>
      <c r="H108" s="66" t="s">
        <v>3493</v>
      </c>
      <c r="I108" s="69" t="s">
        <v>2217</v>
      </c>
      <c r="J108" s="68" t="s">
        <v>2218</v>
      </c>
      <c r="K108" s="66" t="s">
        <v>4277</v>
      </c>
      <c r="L108" s="66" t="s">
        <v>671</v>
      </c>
      <c r="M108" s="66" t="s">
        <v>669</v>
      </c>
      <c r="N108" s="68" t="s">
        <v>1789</v>
      </c>
      <c r="O108" s="68" t="s">
        <v>1710</v>
      </c>
      <c r="P108" s="68" t="s">
        <v>1564</v>
      </c>
      <c r="Q108" s="66" t="s">
        <v>1566</v>
      </c>
      <c r="R108" s="68" t="s">
        <v>1512</v>
      </c>
      <c r="S108" s="68" t="s">
        <v>4384</v>
      </c>
    </row>
    <row r="109" spans="1:19">
      <c r="A109" s="59">
        <v>106</v>
      </c>
      <c r="B109" s="58" t="s">
        <v>2701</v>
      </c>
      <c r="C109" s="31" t="s">
        <v>2702</v>
      </c>
      <c r="D109" s="59" t="s">
        <v>2554</v>
      </c>
      <c r="E109" s="59" t="s">
        <v>2652</v>
      </c>
      <c r="F109" s="60" t="s">
        <v>3206</v>
      </c>
      <c r="G109" s="19" t="s">
        <v>4275</v>
      </c>
      <c r="H109" s="59" t="s">
        <v>3491</v>
      </c>
      <c r="I109" s="60" t="s">
        <v>1786</v>
      </c>
      <c r="J109" s="31" t="s">
        <v>1787</v>
      </c>
      <c r="K109" s="59" t="s">
        <v>4277</v>
      </c>
      <c r="L109" s="59" t="s">
        <v>442</v>
      </c>
      <c r="M109" s="59" t="s">
        <v>440</v>
      </c>
      <c r="N109" s="31" t="s">
        <v>1789</v>
      </c>
      <c r="O109" s="31" t="s">
        <v>1710</v>
      </c>
      <c r="P109" s="31" t="s">
        <v>1606</v>
      </c>
      <c r="Q109" s="59" t="s">
        <v>448</v>
      </c>
      <c r="R109" s="31" t="s">
        <v>999</v>
      </c>
      <c r="S109" s="31" t="s">
        <v>4385</v>
      </c>
    </row>
    <row r="110" spans="1:19">
      <c r="A110" s="59">
        <v>107</v>
      </c>
      <c r="B110" s="58" t="s">
        <v>2701</v>
      </c>
      <c r="C110" s="31" t="s">
        <v>2702</v>
      </c>
      <c r="D110" s="59" t="s">
        <v>2554</v>
      </c>
      <c r="E110" s="59" t="s">
        <v>2652</v>
      </c>
      <c r="F110" s="60" t="s">
        <v>3206</v>
      </c>
      <c r="G110" s="19" t="s">
        <v>4275</v>
      </c>
      <c r="H110" s="59" t="s">
        <v>3493</v>
      </c>
      <c r="I110" s="60" t="s">
        <v>2217</v>
      </c>
      <c r="J110" s="31" t="s">
        <v>2218</v>
      </c>
      <c r="K110" s="59" t="s">
        <v>4277</v>
      </c>
      <c r="L110" s="59" t="s">
        <v>671</v>
      </c>
      <c r="M110" s="59" t="s">
        <v>669</v>
      </c>
      <c r="N110" s="31" t="s">
        <v>1789</v>
      </c>
      <c r="O110" s="31" t="s">
        <v>1710</v>
      </c>
      <c r="P110" s="31" t="s">
        <v>1564</v>
      </c>
      <c r="Q110" s="59" t="s">
        <v>1566</v>
      </c>
      <c r="R110" s="31" t="s">
        <v>1512</v>
      </c>
      <c r="S110" s="31" t="s">
        <v>4384</v>
      </c>
    </row>
    <row r="111" spans="1:19">
      <c r="A111" s="66">
        <v>108</v>
      </c>
      <c r="B111" s="67" t="s">
        <v>2706</v>
      </c>
      <c r="C111" s="68" t="s">
        <v>2707</v>
      </c>
      <c r="D111" s="66" t="s">
        <v>2554</v>
      </c>
      <c r="E111" s="66" t="s">
        <v>2658</v>
      </c>
      <c r="F111" s="69" t="s">
        <v>3211</v>
      </c>
      <c r="G111" s="70" t="s">
        <v>4275</v>
      </c>
      <c r="H111" s="66" t="s">
        <v>3491</v>
      </c>
      <c r="I111" s="69" t="s">
        <v>2029</v>
      </c>
      <c r="J111" s="68" t="s">
        <v>2030</v>
      </c>
      <c r="K111" s="66" t="s">
        <v>4277</v>
      </c>
      <c r="L111" s="66" t="s">
        <v>498</v>
      </c>
      <c r="M111" s="66" t="s">
        <v>440</v>
      </c>
      <c r="N111" s="68" t="s">
        <v>1789</v>
      </c>
      <c r="O111" s="68" t="s">
        <v>1710</v>
      </c>
      <c r="P111" s="68" t="s">
        <v>2012</v>
      </c>
      <c r="Q111" s="66" t="s">
        <v>448</v>
      </c>
      <c r="R111" s="68" t="s">
        <v>999</v>
      </c>
      <c r="S111" s="68" t="s">
        <v>4386</v>
      </c>
    </row>
    <row r="112" spans="1:19">
      <c r="A112" s="66">
        <v>109</v>
      </c>
      <c r="B112" s="67" t="s">
        <v>2706</v>
      </c>
      <c r="C112" s="68" t="s">
        <v>2707</v>
      </c>
      <c r="D112" s="66" t="s">
        <v>2554</v>
      </c>
      <c r="E112" s="66" t="s">
        <v>2658</v>
      </c>
      <c r="F112" s="69" t="s">
        <v>3211</v>
      </c>
      <c r="G112" s="70" t="s">
        <v>4275</v>
      </c>
      <c r="H112" s="66" t="s">
        <v>3493</v>
      </c>
      <c r="I112" s="69" t="s">
        <v>2217</v>
      </c>
      <c r="J112" s="68" t="s">
        <v>2218</v>
      </c>
      <c r="K112" s="66" t="s">
        <v>4277</v>
      </c>
      <c r="L112" s="66" t="s">
        <v>671</v>
      </c>
      <c r="M112" s="66" t="s">
        <v>669</v>
      </c>
      <c r="N112" s="68" t="s">
        <v>1789</v>
      </c>
      <c r="O112" s="68" t="s">
        <v>1710</v>
      </c>
      <c r="P112" s="68" t="s">
        <v>1564</v>
      </c>
      <c r="Q112" s="66" t="s">
        <v>1566</v>
      </c>
      <c r="R112" s="68" t="s">
        <v>1512</v>
      </c>
      <c r="S112" s="68" t="s">
        <v>4384</v>
      </c>
    </row>
    <row r="113" spans="1:19">
      <c r="A113" s="59">
        <v>110</v>
      </c>
      <c r="B113" s="58" t="s">
        <v>2711</v>
      </c>
      <c r="C113" s="31" t="s">
        <v>2712</v>
      </c>
      <c r="D113" s="59" t="s">
        <v>2554</v>
      </c>
      <c r="E113" s="59" t="s">
        <v>2646</v>
      </c>
      <c r="F113" s="60" t="s">
        <v>3216</v>
      </c>
      <c r="G113" s="19" t="s">
        <v>4275</v>
      </c>
      <c r="H113" s="59" t="s">
        <v>3491</v>
      </c>
      <c r="I113" s="60" t="s">
        <v>2136</v>
      </c>
      <c r="J113" s="31" t="s">
        <v>2137</v>
      </c>
      <c r="K113" s="59" t="s">
        <v>4307</v>
      </c>
      <c r="L113" s="59" t="s">
        <v>536</v>
      </c>
      <c r="M113" s="59" t="s">
        <v>440</v>
      </c>
      <c r="N113" s="31" t="s">
        <v>1789</v>
      </c>
      <c r="O113" s="31" t="s">
        <v>1702</v>
      </c>
      <c r="P113" s="31" t="s">
        <v>2039</v>
      </c>
      <c r="Q113" s="59" t="s">
        <v>510</v>
      </c>
      <c r="R113" s="31" t="s">
        <v>999</v>
      </c>
      <c r="S113" s="31" t="s">
        <v>4387</v>
      </c>
    </row>
    <row r="114" spans="1:19">
      <c r="A114" s="59">
        <v>111</v>
      </c>
      <c r="B114" s="58" t="s">
        <v>2711</v>
      </c>
      <c r="C114" s="31" t="s">
        <v>2712</v>
      </c>
      <c r="D114" s="59" t="s">
        <v>2554</v>
      </c>
      <c r="E114" s="59" t="s">
        <v>2646</v>
      </c>
      <c r="F114" s="60" t="s">
        <v>3216</v>
      </c>
      <c r="G114" s="71" t="s">
        <v>4309</v>
      </c>
      <c r="H114" s="59" t="s">
        <v>4310</v>
      </c>
      <c r="I114" s="60" t="s">
        <v>1793</v>
      </c>
      <c r="J114" s="61" t="s">
        <v>4388</v>
      </c>
      <c r="K114" s="59" t="s">
        <v>4277</v>
      </c>
      <c r="L114" s="59" t="s">
        <v>442</v>
      </c>
      <c r="M114" s="59" t="s">
        <v>440</v>
      </c>
      <c r="N114" s="31" t="s">
        <v>1789</v>
      </c>
      <c r="O114" s="31" t="s">
        <v>1702</v>
      </c>
      <c r="P114" s="31" t="s">
        <v>1606</v>
      </c>
      <c r="Q114" s="59" t="s">
        <v>448</v>
      </c>
      <c r="R114" s="31" t="s">
        <v>999</v>
      </c>
      <c r="S114" s="31" t="s">
        <v>4389</v>
      </c>
    </row>
    <row r="115" spans="1:19">
      <c r="A115" s="59">
        <v>112</v>
      </c>
      <c r="B115" s="58" t="s">
        <v>2711</v>
      </c>
      <c r="C115" s="31" t="s">
        <v>2712</v>
      </c>
      <c r="D115" s="59" t="s">
        <v>2554</v>
      </c>
      <c r="E115" s="59" t="s">
        <v>2646</v>
      </c>
      <c r="F115" s="60" t="s">
        <v>3216</v>
      </c>
      <c r="G115" s="19" t="s">
        <v>4275</v>
      </c>
      <c r="H115" s="59" t="s">
        <v>3493</v>
      </c>
      <c r="I115" s="60" t="s">
        <v>2223</v>
      </c>
      <c r="J115" s="31" t="s">
        <v>2224</v>
      </c>
      <c r="K115" s="59" t="s">
        <v>4277</v>
      </c>
      <c r="L115" s="59" t="s">
        <v>671</v>
      </c>
      <c r="M115" s="59" t="s">
        <v>669</v>
      </c>
      <c r="N115" s="31" t="s">
        <v>1789</v>
      </c>
      <c r="O115" s="31" t="s">
        <v>1702</v>
      </c>
      <c r="P115" s="31" t="s">
        <v>1564</v>
      </c>
      <c r="Q115" s="59" t="s">
        <v>1566</v>
      </c>
      <c r="R115" s="31" t="s">
        <v>1512</v>
      </c>
      <c r="S115" s="31" t="s">
        <v>4390</v>
      </c>
    </row>
    <row r="116" spans="1:19">
      <c r="A116" s="66">
        <v>113</v>
      </c>
      <c r="B116" s="67" t="s">
        <v>2716</v>
      </c>
      <c r="C116" s="68" t="s">
        <v>2717</v>
      </c>
      <c r="D116" s="66" t="s">
        <v>2554</v>
      </c>
      <c r="E116" s="66" t="s">
        <v>2652</v>
      </c>
      <c r="F116" s="69" t="s">
        <v>3221</v>
      </c>
      <c r="G116" s="70" t="s">
        <v>4275</v>
      </c>
      <c r="H116" s="66" t="s">
        <v>3491</v>
      </c>
      <c r="I116" s="69" t="s">
        <v>1793</v>
      </c>
      <c r="J116" s="68" t="s">
        <v>1794</v>
      </c>
      <c r="K116" s="66" t="s">
        <v>4277</v>
      </c>
      <c r="L116" s="66" t="s">
        <v>442</v>
      </c>
      <c r="M116" s="66" t="s">
        <v>440</v>
      </c>
      <c r="N116" s="68" t="s">
        <v>1789</v>
      </c>
      <c r="O116" s="68" t="s">
        <v>1702</v>
      </c>
      <c r="P116" s="68" t="s">
        <v>1606</v>
      </c>
      <c r="Q116" s="66" t="s">
        <v>448</v>
      </c>
      <c r="R116" s="68" t="s">
        <v>999</v>
      </c>
      <c r="S116" s="68" t="s">
        <v>4391</v>
      </c>
    </row>
    <row r="117" spans="1:19">
      <c r="A117" s="66">
        <v>114</v>
      </c>
      <c r="B117" s="67" t="s">
        <v>2716</v>
      </c>
      <c r="C117" s="68" t="s">
        <v>2717</v>
      </c>
      <c r="D117" s="66" t="s">
        <v>2554</v>
      </c>
      <c r="E117" s="66" t="s">
        <v>2652</v>
      </c>
      <c r="F117" s="69" t="s">
        <v>3221</v>
      </c>
      <c r="G117" s="70" t="s">
        <v>4275</v>
      </c>
      <c r="H117" s="66" t="s">
        <v>3493</v>
      </c>
      <c r="I117" s="69" t="s">
        <v>2223</v>
      </c>
      <c r="J117" s="68" t="s">
        <v>2224</v>
      </c>
      <c r="K117" s="66" t="s">
        <v>4277</v>
      </c>
      <c r="L117" s="66" t="s">
        <v>671</v>
      </c>
      <c r="M117" s="66" t="s">
        <v>669</v>
      </c>
      <c r="N117" s="68" t="s">
        <v>1789</v>
      </c>
      <c r="O117" s="68" t="s">
        <v>1702</v>
      </c>
      <c r="P117" s="68" t="s">
        <v>1564</v>
      </c>
      <c r="Q117" s="66" t="s">
        <v>1566</v>
      </c>
      <c r="R117" s="68" t="s">
        <v>1512</v>
      </c>
      <c r="S117" s="68" t="s">
        <v>4390</v>
      </c>
    </row>
    <row r="118" spans="1:19">
      <c r="A118" s="59">
        <v>115</v>
      </c>
      <c r="B118" s="58" t="s">
        <v>2721</v>
      </c>
      <c r="C118" s="31" t="s">
        <v>2722</v>
      </c>
      <c r="D118" s="59" t="s">
        <v>2554</v>
      </c>
      <c r="E118" s="59" t="s">
        <v>2646</v>
      </c>
      <c r="F118" s="60" t="s">
        <v>3225</v>
      </c>
      <c r="G118" s="19" t="s">
        <v>4275</v>
      </c>
      <c r="H118" s="59" t="s">
        <v>3491</v>
      </c>
      <c r="I118" s="60" t="s">
        <v>2115</v>
      </c>
      <c r="J118" s="31" t="s">
        <v>2116</v>
      </c>
      <c r="K118" s="59" t="s">
        <v>4307</v>
      </c>
      <c r="L118" s="59" t="s">
        <v>536</v>
      </c>
      <c r="M118" s="59" t="s">
        <v>440</v>
      </c>
      <c r="N118" s="31" t="s">
        <v>1776</v>
      </c>
      <c r="O118" s="31" t="s">
        <v>1710</v>
      </c>
      <c r="P118" s="31" t="s">
        <v>2039</v>
      </c>
      <c r="Q118" s="59" t="s">
        <v>510</v>
      </c>
      <c r="R118" s="31" t="s">
        <v>999</v>
      </c>
      <c r="S118" s="31" t="s">
        <v>4392</v>
      </c>
    </row>
    <row r="119" spans="1:19">
      <c r="A119" s="59">
        <v>116</v>
      </c>
      <c r="B119" s="58" t="s">
        <v>2721</v>
      </c>
      <c r="C119" s="31" t="s">
        <v>2722</v>
      </c>
      <c r="D119" s="59" t="s">
        <v>2554</v>
      </c>
      <c r="E119" s="59" t="s">
        <v>2646</v>
      </c>
      <c r="F119" s="60" t="s">
        <v>3225</v>
      </c>
      <c r="G119" s="71" t="s">
        <v>4309</v>
      </c>
      <c r="H119" s="59" t="s">
        <v>4310</v>
      </c>
      <c r="I119" s="60" t="s">
        <v>1773</v>
      </c>
      <c r="J119" s="61" t="s">
        <v>4393</v>
      </c>
      <c r="K119" s="59" t="s">
        <v>4277</v>
      </c>
      <c r="L119" s="59" t="s">
        <v>442</v>
      </c>
      <c r="M119" s="59" t="s">
        <v>440</v>
      </c>
      <c r="N119" s="31" t="s">
        <v>1776</v>
      </c>
      <c r="O119" s="31" t="s">
        <v>1710</v>
      </c>
      <c r="P119" s="31" t="s">
        <v>1606</v>
      </c>
      <c r="Q119" s="59" t="s">
        <v>448</v>
      </c>
      <c r="R119" s="31" t="s">
        <v>999</v>
      </c>
      <c r="S119" s="31" t="s">
        <v>4394</v>
      </c>
    </row>
    <row r="120" spans="1:19">
      <c r="A120" s="59">
        <v>117</v>
      </c>
      <c r="B120" s="58" t="s">
        <v>2721</v>
      </c>
      <c r="C120" s="31" t="s">
        <v>2722</v>
      </c>
      <c r="D120" s="59" t="s">
        <v>2554</v>
      </c>
      <c r="E120" s="59" t="s">
        <v>2646</v>
      </c>
      <c r="F120" s="60" t="s">
        <v>3225</v>
      </c>
      <c r="G120" s="19" t="s">
        <v>4275</v>
      </c>
      <c r="H120" s="59" t="s">
        <v>3493</v>
      </c>
      <c r="I120" s="60" t="s">
        <v>2205</v>
      </c>
      <c r="J120" s="31" t="s">
        <v>2206</v>
      </c>
      <c r="K120" s="59" t="s">
        <v>4277</v>
      </c>
      <c r="L120" s="59" t="s">
        <v>671</v>
      </c>
      <c r="M120" s="59" t="s">
        <v>669</v>
      </c>
      <c r="N120" s="31" t="s">
        <v>1776</v>
      </c>
      <c r="O120" s="31" t="s">
        <v>1710</v>
      </c>
      <c r="P120" s="31" t="s">
        <v>1564</v>
      </c>
      <c r="Q120" s="59" t="s">
        <v>1566</v>
      </c>
      <c r="R120" s="31" t="s">
        <v>1512</v>
      </c>
      <c r="S120" s="31" t="s">
        <v>4395</v>
      </c>
    </row>
    <row r="121" spans="1:19">
      <c r="A121" s="66">
        <v>118</v>
      </c>
      <c r="B121" s="67" t="s">
        <v>2726</v>
      </c>
      <c r="C121" s="68" t="s">
        <v>2727</v>
      </c>
      <c r="D121" s="66" t="s">
        <v>2554</v>
      </c>
      <c r="E121" s="66" t="s">
        <v>2652</v>
      </c>
      <c r="F121" s="69" t="s">
        <v>3232</v>
      </c>
      <c r="G121" s="70" t="s">
        <v>4275</v>
      </c>
      <c r="H121" s="66" t="s">
        <v>3491</v>
      </c>
      <c r="I121" s="69" t="s">
        <v>1773</v>
      </c>
      <c r="J121" s="68" t="s">
        <v>1774</v>
      </c>
      <c r="K121" s="66" t="s">
        <v>4277</v>
      </c>
      <c r="L121" s="66" t="s">
        <v>442</v>
      </c>
      <c r="M121" s="66" t="s">
        <v>440</v>
      </c>
      <c r="N121" s="68" t="s">
        <v>1776</v>
      </c>
      <c r="O121" s="68" t="s">
        <v>1710</v>
      </c>
      <c r="P121" s="68" t="s">
        <v>1606</v>
      </c>
      <c r="Q121" s="66" t="s">
        <v>448</v>
      </c>
      <c r="R121" s="68" t="s">
        <v>999</v>
      </c>
      <c r="S121" s="68" t="s">
        <v>4396</v>
      </c>
    </row>
    <row r="122" spans="1:19">
      <c r="A122" s="66">
        <v>119</v>
      </c>
      <c r="B122" s="67" t="s">
        <v>2726</v>
      </c>
      <c r="C122" s="68" t="s">
        <v>2727</v>
      </c>
      <c r="D122" s="66" t="s">
        <v>2554</v>
      </c>
      <c r="E122" s="66" t="s">
        <v>2652</v>
      </c>
      <c r="F122" s="69" t="s">
        <v>3232</v>
      </c>
      <c r="G122" s="70" t="s">
        <v>4275</v>
      </c>
      <c r="H122" s="66" t="s">
        <v>3493</v>
      </c>
      <c r="I122" s="69" t="s">
        <v>2205</v>
      </c>
      <c r="J122" s="68" t="s">
        <v>2206</v>
      </c>
      <c r="K122" s="66" t="s">
        <v>4277</v>
      </c>
      <c r="L122" s="66" t="s">
        <v>671</v>
      </c>
      <c r="M122" s="66" t="s">
        <v>669</v>
      </c>
      <c r="N122" s="68" t="s">
        <v>1776</v>
      </c>
      <c r="O122" s="68" t="s">
        <v>1710</v>
      </c>
      <c r="P122" s="68" t="s">
        <v>1564</v>
      </c>
      <c r="Q122" s="66" t="s">
        <v>1566</v>
      </c>
      <c r="R122" s="68" t="s">
        <v>1512</v>
      </c>
      <c r="S122" s="68" t="s">
        <v>4395</v>
      </c>
    </row>
    <row r="123" spans="1:19">
      <c r="A123" s="59">
        <v>120</v>
      </c>
      <c r="B123" s="58" t="s">
        <v>2731</v>
      </c>
      <c r="C123" s="31" t="s">
        <v>2732</v>
      </c>
      <c r="D123" s="59" t="s">
        <v>2554</v>
      </c>
      <c r="E123" s="59" t="s">
        <v>2646</v>
      </c>
      <c r="F123" s="60" t="s">
        <v>3236</v>
      </c>
      <c r="G123" s="19" t="s">
        <v>4275</v>
      </c>
      <c r="H123" s="59" t="s">
        <v>3491</v>
      </c>
      <c r="I123" s="60" t="s">
        <v>2122</v>
      </c>
      <c r="J123" s="31" t="s">
        <v>2123</v>
      </c>
      <c r="K123" s="59" t="s">
        <v>4307</v>
      </c>
      <c r="L123" s="59" t="s">
        <v>536</v>
      </c>
      <c r="M123" s="59" t="s">
        <v>440</v>
      </c>
      <c r="N123" s="31" t="s">
        <v>1776</v>
      </c>
      <c r="O123" s="31" t="s">
        <v>1702</v>
      </c>
      <c r="P123" s="31" t="s">
        <v>2039</v>
      </c>
      <c r="Q123" s="59" t="s">
        <v>510</v>
      </c>
      <c r="R123" s="31" t="s">
        <v>999</v>
      </c>
      <c r="S123" s="31" t="s">
        <v>4397</v>
      </c>
    </row>
    <row r="124" spans="1:19">
      <c r="A124" s="59">
        <v>121</v>
      </c>
      <c r="B124" s="58" t="s">
        <v>2731</v>
      </c>
      <c r="C124" s="31" t="s">
        <v>2732</v>
      </c>
      <c r="D124" s="59" t="s">
        <v>2554</v>
      </c>
      <c r="E124" s="59" t="s">
        <v>2646</v>
      </c>
      <c r="F124" s="60" t="s">
        <v>3236</v>
      </c>
      <c r="G124" s="71" t="s">
        <v>4309</v>
      </c>
      <c r="H124" s="59" t="s">
        <v>4310</v>
      </c>
      <c r="I124" s="60" t="s">
        <v>1780</v>
      </c>
      <c r="J124" s="61" t="s">
        <v>4398</v>
      </c>
      <c r="K124" s="59" t="s">
        <v>4277</v>
      </c>
      <c r="L124" s="59" t="s">
        <v>442</v>
      </c>
      <c r="M124" s="59" t="s">
        <v>440</v>
      </c>
      <c r="N124" s="31" t="s">
        <v>1776</v>
      </c>
      <c r="O124" s="31" t="s">
        <v>1702</v>
      </c>
      <c r="P124" s="31" t="s">
        <v>1606</v>
      </c>
      <c r="Q124" s="59" t="s">
        <v>448</v>
      </c>
      <c r="R124" s="31" t="s">
        <v>999</v>
      </c>
      <c r="S124" s="31" t="s">
        <v>4399</v>
      </c>
    </row>
    <row r="125" spans="1:19">
      <c r="A125" s="59">
        <v>122</v>
      </c>
      <c r="B125" s="58" t="s">
        <v>2731</v>
      </c>
      <c r="C125" s="31" t="s">
        <v>2732</v>
      </c>
      <c r="D125" s="59" t="s">
        <v>2554</v>
      </c>
      <c r="E125" s="59" t="s">
        <v>2646</v>
      </c>
      <c r="F125" s="60" t="s">
        <v>3236</v>
      </c>
      <c r="G125" s="19" t="s">
        <v>4275</v>
      </c>
      <c r="H125" s="59" t="s">
        <v>3493</v>
      </c>
      <c r="I125" s="60" t="s">
        <v>2211</v>
      </c>
      <c r="J125" s="31" t="s">
        <v>2212</v>
      </c>
      <c r="K125" s="59" t="s">
        <v>4277</v>
      </c>
      <c r="L125" s="59" t="s">
        <v>671</v>
      </c>
      <c r="M125" s="59" t="s">
        <v>669</v>
      </c>
      <c r="N125" s="31" t="s">
        <v>1776</v>
      </c>
      <c r="O125" s="31" t="s">
        <v>1702</v>
      </c>
      <c r="P125" s="31" t="s">
        <v>1564</v>
      </c>
      <c r="Q125" s="59" t="s">
        <v>1566</v>
      </c>
      <c r="R125" s="31" t="s">
        <v>1512</v>
      </c>
      <c r="S125" s="31" t="s">
        <v>4400</v>
      </c>
    </row>
    <row r="126" spans="1:19">
      <c r="A126" s="66">
        <v>123</v>
      </c>
      <c r="B126" s="67" t="s">
        <v>2736</v>
      </c>
      <c r="C126" s="68" t="s">
        <v>2737</v>
      </c>
      <c r="D126" s="66" t="s">
        <v>2554</v>
      </c>
      <c r="E126" s="66" t="s">
        <v>2652</v>
      </c>
      <c r="F126" s="69" t="s">
        <v>3241</v>
      </c>
      <c r="G126" s="70" t="s">
        <v>4275</v>
      </c>
      <c r="H126" s="66" t="s">
        <v>3491</v>
      </c>
      <c r="I126" s="69" t="s">
        <v>1780</v>
      </c>
      <c r="J126" s="68" t="s">
        <v>1781</v>
      </c>
      <c r="K126" s="66" t="s">
        <v>4277</v>
      </c>
      <c r="L126" s="66" t="s">
        <v>442</v>
      </c>
      <c r="M126" s="66" t="s">
        <v>440</v>
      </c>
      <c r="N126" s="68" t="s">
        <v>1776</v>
      </c>
      <c r="O126" s="68" t="s">
        <v>1702</v>
      </c>
      <c r="P126" s="68" t="s">
        <v>1606</v>
      </c>
      <c r="Q126" s="66" t="s">
        <v>448</v>
      </c>
      <c r="R126" s="68" t="s">
        <v>999</v>
      </c>
      <c r="S126" s="68" t="s">
        <v>4401</v>
      </c>
    </row>
    <row r="127" spans="1:19">
      <c r="A127" s="66">
        <v>124</v>
      </c>
      <c r="B127" s="67" t="s">
        <v>2736</v>
      </c>
      <c r="C127" s="68" t="s">
        <v>2737</v>
      </c>
      <c r="D127" s="66" t="s">
        <v>2554</v>
      </c>
      <c r="E127" s="66" t="s">
        <v>2652</v>
      </c>
      <c r="F127" s="69" t="s">
        <v>3241</v>
      </c>
      <c r="G127" s="70" t="s">
        <v>4275</v>
      </c>
      <c r="H127" s="66" t="s">
        <v>3493</v>
      </c>
      <c r="I127" s="69" t="s">
        <v>2211</v>
      </c>
      <c r="J127" s="68" t="s">
        <v>2212</v>
      </c>
      <c r="K127" s="66" t="s">
        <v>4277</v>
      </c>
      <c r="L127" s="66" t="s">
        <v>671</v>
      </c>
      <c r="M127" s="66" t="s">
        <v>669</v>
      </c>
      <c r="N127" s="68" t="s">
        <v>1776</v>
      </c>
      <c r="O127" s="68" t="s">
        <v>1702</v>
      </c>
      <c r="P127" s="68" t="s">
        <v>1564</v>
      </c>
      <c r="Q127" s="66" t="s">
        <v>1566</v>
      </c>
      <c r="R127" s="68" t="s">
        <v>1512</v>
      </c>
      <c r="S127" s="68" t="s">
        <v>4400</v>
      </c>
    </row>
    <row r="128" spans="1:19">
      <c r="A128" s="59">
        <v>125</v>
      </c>
      <c r="B128" s="58" t="s">
        <v>2741</v>
      </c>
      <c r="C128" s="31" t="s">
        <v>2742</v>
      </c>
      <c r="D128" s="59" t="s">
        <v>2554</v>
      </c>
      <c r="E128" s="59" t="s">
        <v>2646</v>
      </c>
      <c r="F128" s="60" t="s">
        <v>3245</v>
      </c>
      <c r="G128" s="19" t="s">
        <v>4275</v>
      </c>
      <c r="H128" s="59" t="s">
        <v>3491</v>
      </c>
      <c r="I128" s="60" t="s">
        <v>2073</v>
      </c>
      <c r="J128" s="31" t="s">
        <v>2074</v>
      </c>
      <c r="K128" s="59" t="s">
        <v>4307</v>
      </c>
      <c r="L128" s="59" t="s">
        <v>536</v>
      </c>
      <c r="M128" s="59" t="s">
        <v>440</v>
      </c>
      <c r="N128" s="31" t="s">
        <v>1736</v>
      </c>
      <c r="O128" s="31" t="s">
        <v>1710</v>
      </c>
      <c r="P128" s="31" t="s">
        <v>2039</v>
      </c>
      <c r="Q128" s="59" t="s">
        <v>510</v>
      </c>
      <c r="R128" s="31" t="s">
        <v>999</v>
      </c>
      <c r="S128" s="31" t="s">
        <v>4402</v>
      </c>
    </row>
    <row r="129" spans="1:19">
      <c r="A129" s="59">
        <v>126</v>
      </c>
      <c r="B129" s="58" t="s">
        <v>2741</v>
      </c>
      <c r="C129" s="31" t="s">
        <v>2742</v>
      </c>
      <c r="D129" s="59" t="s">
        <v>2554</v>
      </c>
      <c r="E129" s="59" t="s">
        <v>2646</v>
      </c>
      <c r="F129" s="60" t="s">
        <v>3245</v>
      </c>
      <c r="G129" s="71" t="s">
        <v>4309</v>
      </c>
      <c r="H129" s="59" t="s">
        <v>4310</v>
      </c>
      <c r="I129" s="60" t="s">
        <v>1733</v>
      </c>
      <c r="J129" s="61" t="s">
        <v>4403</v>
      </c>
      <c r="K129" s="59" t="s">
        <v>4277</v>
      </c>
      <c r="L129" s="59" t="s">
        <v>442</v>
      </c>
      <c r="M129" s="59" t="s">
        <v>440</v>
      </c>
      <c r="N129" s="31" t="s">
        <v>1736</v>
      </c>
      <c r="O129" s="31" t="s">
        <v>1710</v>
      </c>
      <c r="P129" s="31" t="s">
        <v>1606</v>
      </c>
      <c r="Q129" s="59" t="s">
        <v>448</v>
      </c>
      <c r="R129" s="31" t="s">
        <v>999</v>
      </c>
      <c r="S129" s="31" t="s">
        <v>4404</v>
      </c>
    </row>
    <row r="130" spans="1:19">
      <c r="A130" s="59">
        <v>127</v>
      </c>
      <c r="B130" s="58" t="s">
        <v>2741</v>
      </c>
      <c r="C130" s="31" t="s">
        <v>2742</v>
      </c>
      <c r="D130" s="59" t="s">
        <v>2554</v>
      </c>
      <c r="E130" s="59" t="s">
        <v>2646</v>
      </c>
      <c r="F130" s="60" t="s">
        <v>3245</v>
      </c>
      <c r="G130" s="19" t="s">
        <v>4275</v>
      </c>
      <c r="H130" s="59" t="s">
        <v>3493</v>
      </c>
      <c r="I130" s="60" t="s">
        <v>2169</v>
      </c>
      <c r="J130" s="31" t="s">
        <v>2170</v>
      </c>
      <c r="K130" s="59" t="s">
        <v>4277</v>
      </c>
      <c r="L130" s="59" t="s">
        <v>671</v>
      </c>
      <c r="M130" s="59" t="s">
        <v>669</v>
      </c>
      <c r="N130" s="31" t="s">
        <v>1736</v>
      </c>
      <c r="O130" s="31" t="s">
        <v>1710</v>
      </c>
      <c r="P130" s="31" t="s">
        <v>1564</v>
      </c>
      <c r="Q130" s="59" t="s">
        <v>1566</v>
      </c>
      <c r="R130" s="31" t="s">
        <v>1512</v>
      </c>
      <c r="S130" s="31" t="s">
        <v>4405</v>
      </c>
    </row>
    <row r="131" spans="1:19">
      <c r="A131" s="66">
        <v>128</v>
      </c>
      <c r="B131" s="67" t="s">
        <v>2746</v>
      </c>
      <c r="C131" s="68" t="s">
        <v>2747</v>
      </c>
      <c r="D131" s="66" t="s">
        <v>2554</v>
      </c>
      <c r="E131" s="66" t="s">
        <v>2652</v>
      </c>
      <c r="F131" s="69" t="s">
        <v>3251</v>
      </c>
      <c r="G131" s="70" t="s">
        <v>4275</v>
      </c>
      <c r="H131" s="66" t="s">
        <v>3491</v>
      </c>
      <c r="I131" s="69" t="s">
        <v>1733</v>
      </c>
      <c r="J131" s="68" t="s">
        <v>1734</v>
      </c>
      <c r="K131" s="66" t="s">
        <v>4277</v>
      </c>
      <c r="L131" s="66" t="s">
        <v>442</v>
      </c>
      <c r="M131" s="66" t="s">
        <v>440</v>
      </c>
      <c r="N131" s="68" t="s">
        <v>1736</v>
      </c>
      <c r="O131" s="68" t="s">
        <v>1710</v>
      </c>
      <c r="P131" s="68" t="s">
        <v>1606</v>
      </c>
      <c r="Q131" s="66" t="s">
        <v>448</v>
      </c>
      <c r="R131" s="68" t="s">
        <v>999</v>
      </c>
      <c r="S131" s="68" t="s">
        <v>4406</v>
      </c>
    </row>
    <row r="132" spans="1:19">
      <c r="A132" s="66">
        <v>129</v>
      </c>
      <c r="B132" s="67" t="s">
        <v>2746</v>
      </c>
      <c r="C132" s="68" t="s">
        <v>2747</v>
      </c>
      <c r="D132" s="66" t="s">
        <v>2554</v>
      </c>
      <c r="E132" s="66" t="s">
        <v>2652</v>
      </c>
      <c r="F132" s="69" t="s">
        <v>3251</v>
      </c>
      <c r="G132" s="70" t="s">
        <v>4275</v>
      </c>
      <c r="H132" s="66" t="s">
        <v>3493</v>
      </c>
      <c r="I132" s="69" t="s">
        <v>2169</v>
      </c>
      <c r="J132" s="68" t="s">
        <v>2170</v>
      </c>
      <c r="K132" s="66" t="s">
        <v>4277</v>
      </c>
      <c r="L132" s="66" t="s">
        <v>671</v>
      </c>
      <c r="M132" s="66" t="s">
        <v>669</v>
      </c>
      <c r="N132" s="68" t="s">
        <v>1736</v>
      </c>
      <c r="O132" s="68" t="s">
        <v>1710</v>
      </c>
      <c r="P132" s="68" t="s">
        <v>1564</v>
      </c>
      <c r="Q132" s="66" t="s">
        <v>1566</v>
      </c>
      <c r="R132" s="68" t="s">
        <v>1512</v>
      </c>
      <c r="S132" s="68" t="s">
        <v>4405</v>
      </c>
    </row>
    <row r="133" spans="1:19">
      <c r="A133" s="59">
        <v>130</v>
      </c>
      <c r="B133" s="58" t="s">
        <v>2751</v>
      </c>
      <c r="C133" s="31" t="s">
        <v>2752</v>
      </c>
      <c r="D133" s="59" t="s">
        <v>2554</v>
      </c>
      <c r="E133" s="59" t="s">
        <v>2646</v>
      </c>
      <c r="F133" s="60" t="s">
        <v>3255</v>
      </c>
      <c r="G133" s="19" t="s">
        <v>4275</v>
      </c>
      <c r="H133" s="59" t="s">
        <v>3491</v>
      </c>
      <c r="I133" s="60" t="s">
        <v>2080</v>
      </c>
      <c r="J133" s="31" t="s">
        <v>2081</v>
      </c>
      <c r="K133" s="59" t="s">
        <v>4307</v>
      </c>
      <c r="L133" s="59" t="s">
        <v>536</v>
      </c>
      <c r="M133" s="59" t="s">
        <v>440</v>
      </c>
      <c r="N133" s="31" t="s">
        <v>1736</v>
      </c>
      <c r="O133" s="31" t="s">
        <v>1702</v>
      </c>
      <c r="P133" s="31" t="s">
        <v>2039</v>
      </c>
      <c r="Q133" s="59" t="s">
        <v>510</v>
      </c>
      <c r="R133" s="31" t="s">
        <v>999</v>
      </c>
      <c r="S133" s="31" t="s">
        <v>4407</v>
      </c>
    </row>
    <row r="134" spans="1:19">
      <c r="A134" s="59">
        <v>131</v>
      </c>
      <c r="B134" s="58" t="s">
        <v>2751</v>
      </c>
      <c r="C134" s="31" t="s">
        <v>2752</v>
      </c>
      <c r="D134" s="59" t="s">
        <v>2554</v>
      </c>
      <c r="E134" s="59" t="s">
        <v>2646</v>
      </c>
      <c r="F134" s="60" t="s">
        <v>3255</v>
      </c>
      <c r="G134" s="71" t="s">
        <v>4309</v>
      </c>
      <c r="H134" s="59" t="s">
        <v>4310</v>
      </c>
      <c r="I134" s="60" t="s">
        <v>1740</v>
      </c>
      <c r="J134" s="61" t="s">
        <v>4408</v>
      </c>
      <c r="K134" s="59" t="s">
        <v>4277</v>
      </c>
      <c r="L134" s="59" t="s">
        <v>442</v>
      </c>
      <c r="M134" s="59" t="s">
        <v>440</v>
      </c>
      <c r="N134" s="31" t="s">
        <v>1736</v>
      </c>
      <c r="O134" s="31" t="s">
        <v>1702</v>
      </c>
      <c r="P134" s="31" t="s">
        <v>1606</v>
      </c>
      <c r="Q134" s="59" t="s">
        <v>448</v>
      </c>
      <c r="R134" s="31" t="s">
        <v>999</v>
      </c>
      <c r="S134" s="31" t="s">
        <v>4409</v>
      </c>
    </row>
    <row r="135" spans="1:19">
      <c r="A135" s="59">
        <v>132</v>
      </c>
      <c r="B135" s="58" t="s">
        <v>2751</v>
      </c>
      <c r="C135" s="31" t="s">
        <v>2752</v>
      </c>
      <c r="D135" s="59" t="s">
        <v>2554</v>
      </c>
      <c r="E135" s="59" t="s">
        <v>2646</v>
      </c>
      <c r="F135" s="60" t="s">
        <v>3255</v>
      </c>
      <c r="G135" s="19" t="s">
        <v>4275</v>
      </c>
      <c r="H135" s="59" t="s">
        <v>3493</v>
      </c>
      <c r="I135" s="60" t="s">
        <v>2175</v>
      </c>
      <c r="J135" s="31" t="s">
        <v>2176</v>
      </c>
      <c r="K135" s="59" t="s">
        <v>4277</v>
      </c>
      <c r="L135" s="59" t="s">
        <v>671</v>
      </c>
      <c r="M135" s="59" t="s">
        <v>669</v>
      </c>
      <c r="N135" s="31" t="s">
        <v>1736</v>
      </c>
      <c r="O135" s="31" t="s">
        <v>1702</v>
      </c>
      <c r="P135" s="31" t="s">
        <v>1564</v>
      </c>
      <c r="Q135" s="59" t="s">
        <v>1566</v>
      </c>
      <c r="R135" s="31" t="s">
        <v>1512</v>
      </c>
      <c r="S135" s="31" t="s">
        <v>4410</v>
      </c>
    </row>
    <row r="136" spans="1:19">
      <c r="A136" s="66">
        <v>133</v>
      </c>
      <c r="B136" s="67" t="s">
        <v>2756</v>
      </c>
      <c r="C136" s="68" t="s">
        <v>2757</v>
      </c>
      <c r="D136" s="66" t="s">
        <v>2554</v>
      </c>
      <c r="E136" s="66" t="s">
        <v>2652</v>
      </c>
      <c r="F136" s="69" t="s">
        <v>3260</v>
      </c>
      <c r="G136" s="70" t="s">
        <v>4275</v>
      </c>
      <c r="H136" s="66" t="s">
        <v>3491</v>
      </c>
      <c r="I136" s="69" t="s">
        <v>1740</v>
      </c>
      <c r="J136" s="68" t="s">
        <v>1741</v>
      </c>
      <c r="K136" s="66" t="s">
        <v>4277</v>
      </c>
      <c r="L136" s="66" t="s">
        <v>442</v>
      </c>
      <c r="M136" s="66" t="s">
        <v>440</v>
      </c>
      <c r="N136" s="68" t="s">
        <v>1736</v>
      </c>
      <c r="O136" s="68" t="s">
        <v>1702</v>
      </c>
      <c r="P136" s="68" t="s">
        <v>1606</v>
      </c>
      <c r="Q136" s="66" t="s">
        <v>448</v>
      </c>
      <c r="R136" s="68" t="s">
        <v>999</v>
      </c>
      <c r="S136" s="68" t="s">
        <v>4411</v>
      </c>
    </row>
    <row r="137" spans="1:19">
      <c r="A137" s="66">
        <v>134</v>
      </c>
      <c r="B137" s="67" t="s">
        <v>2756</v>
      </c>
      <c r="C137" s="68" t="s">
        <v>2757</v>
      </c>
      <c r="D137" s="66" t="s">
        <v>2554</v>
      </c>
      <c r="E137" s="66" t="s">
        <v>2652</v>
      </c>
      <c r="F137" s="69" t="s">
        <v>3260</v>
      </c>
      <c r="G137" s="70" t="s">
        <v>4275</v>
      </c>
      <c r="H137" s="66" t="s">
        <v>3493</v>
      </c>
      <c r="I137" s="69" t="s">
        <v>2175</v>
      </c>
      <c r="J137" s="68" t="s">
        <v>2176</v>
      </c>
      <c r="K137" s="66" t="s">
        <v>4277</v>
      </c>
      <c r="L137" s="66" t="s">
        <v>671</v>
      </c>
      <c r="M137" s="66" t="s">
        <v>669</v>
      </c>
      <c r="N137" s="68" t="s">
        <v>1736</v>
      </c>
      <c r="O137" s="68" t="s">
        <v>1702</v>
      </c>
      <c r="P137" s="68" t="s">
        <v>1564</v>
      </c>
      <c r="Q137" s="66" t="s">
        <v>1566</v>
      </c>
      <c r="R137" s="68" t="s">
        <v>1512</v>
      </c>
      <c r="S137" s="68" t="s">
        <v>4410</v>
      </c>
    </row>
    <row r="138" spans="1:19">
      <c r="A138" s="59">
        <v>135</v>
      </c>
      <c r="B138" s="58" t="s">
        <v>2761</v>
      </c>
      <c r="C138" s="31" t="s">
        <v>2762</v>
      </c>
      <c r="D138" s="59" t="s">
        <v>2554</v>
      </c>
      <c r="E138" s="59" t="s">
        <v>2646</v>
      </c>
      <c r="F138" s="60" t="s">
        <v>3264</v>
      </c>
      <c r="G138" s="19" t="s">
        <v>4275</v>
      </c>
      <c r="H138" s="59" t="s">
        <v>3491</v>
      </c>
      <c r="I138" s="60" t="s">
        <v>2101</v>
      </c>
      <c r="J138" s="31" t="s">
        <v>2102</v>
      </c>
      <c r="K138" s="59" t="s">
        <v>4307</v>
      </c>
      <c r="L138" s="59" t="s">
        <v>536</v>
      </c>
      <c r="M138" s="59" t="s">
        <v>440</v>
      </c>
      <c r="N138" s="31" t="s">
        <v>1763</v>
      </c>
      <c r="O138" s="31" t="s">
        <v>1710</v>
      </c>
      <c r="P138" s="31" t="s">
        <v>2039</v>
      </c>
      <c r="Q138" s="59" t="s">
        <v>510</v>
      </c>
      <c r="R138" s="31" t="s">
        <v>999</v>
      </c>
      <c r="S138" s="31" t="s">
        <v>4412</v>
      </c>
    </row>
    <row r="139" spans="1:19">
      <c r="A139" s="59">
        <v>136</v>
      </c>
      <c r="B139" s="58" t="s">
        <v>2761</v>
      </c>
      <c r="C139" s="31" t="s">
        <v>2762</v>
      </c>
      <c r="D139" s="59" t="s">
        <v>2554</v>
      </c>
      <c r="E139" s="59" t="s">
        <v>2646</v>
      </c>
      <c r="F139" s="60" t="s">
        <v>3264</v>
      </c>
      <c r="G139" s="71" t="s">
        <v>4309</v>
      </c>
      <c r="H139" s="59" t="s">
        <v>4310</v>
      </c>
      <c r="I139" s="60" t="s">
        <v>1760</v>
      </c>
      <c r="J139" s="61" t="s">
        <v>4413</v>
      </c>
      <c r="K139" s="59" t="s">
        <v>4277</v>
      </c>
      <c r="L139" s="59" t="s">
        <v>442</v>
      </c>
      <c r="M139" s="59" t="s">
        <v>440</v>
      </c>
      <c r="N139" s="31" t="s">
        <v>1763</v>
      </c>
      <c r="O139" s="31" t="s">
        <v>1710</v>
      </c>
      <c r="P139" s="31" t="s">
        <v>1606</v>
      </c>
      <c r="Q139" s="59" t="s">
        <v>448</v>
      </c>
      <c r="R139" s="31" t="s">
        <v>999</v>
      </c>
      <c r="S139" s="31" t="s">
        <v>4414</v>
      </c>
    </row>
    <row r="140" spans="1:19">
      <c r="A140" s="59">
        <v>137</v>
      </c>
      <c r="B140" s="58" t="s">
        <v>2761</v>
      </c>
      <c r="C140" s="31" t="s">
        <v>2762</v>
      </c>
      <c r="D140" s="59" t="s">
        <v>2554</v>
      </c>
      <c r="E140" s="59" t="s">
        <v>2646</v>
      </c>
      <c r="F140" s="60" t="s">
        <v>3264</v>
      </c>
      <c r="G140" s="19" t="s">
        <v>4275</v>
      </c>
      <c r="H140" s="59" t="s">
        <v>3493</v>
      </c>
      <c r="I140" s="60" t="s">
        <v>2193</v>
      </c>
      <c r="J140" s="31" t="s">
        <v>2194</v>
      </c>
      <c r="K140" s="59" t="s">
        <v>4277</v>
      </c>
      <c r="L140" s="59" t="s">
        <v>671</v>
      </c>
      <c r="M140" s="59" t="s">
        <v>669</v>
      </c>
      <c r="N140" s="31" t="s">
        <v>1763</v>
      </c>
      <c r="O140" s="31" t="s">
        <v>1710</v>
      </c>
      <c r="P140" s="31" t="s">
        <v>1564</v>
      </c>
      <c r="Q140" s="59" t="s">
        <v>1566</v>
      </c>
      <c r="R140" s="31" t="s">
        <v>1512</v>
      </c>
      <c r="S140" s="31" t="s">
        <v>4415</v>
      </c>
    </row>
    <row r="141" spans="1:19">
      <c r="A141" s="66">
        <v>138</v>
      </c>
      <c r="B141" s="67" t="s">
        <v>2766</v>
      </c>
      <c r="C141" s="68" t="s">
        <v>2767</v>
      </c>
      <c r="D141" s="66" t="s">
        <v>2554</v>
      </c>
      <c r="E141" s="66" t="s">
        <v>2652</v>
      </c>
      <c r="F141" s="69" t="s">
        <v>3270</v>
      </c>
      <c r="G141" s="70" t="s">
        <v>4275</v>
      </c>
      <c r="H141" s="66" t="s">
        <v>3491</v>
      </c>
      <c r="I141" s="69" t="s">
        <v>1760</v>
      </c>
      <c r="J141" s="68" t="s">
        <v>1761</v>
      </c>
      <c r="K141" s="66" t="s">
        <v>4277</v>
      </c>
      <c r="L141" s="66" t="s">
        <v>442</v>
      </c>
      <c r="M141" s="66" t="s">
        <v>440</v>
      </c>
      <c r="N141" s="68" t="s">
        <v>1763</v>
      </c>
      <c r="O141" s="68" t="s">
        <v>1710</v>
      </c>
      <c r="P141" s="68" t="s">
        <v>1606</v>
      </c>
      <c r="Q141" s="66" t="s">
        <v>448</v>
      </c>
      <c r="R141" s="68" t="s">
        <v>999</v>
      </c>
      <c r="S141" s="68" t="s">
        <v>4416</v>
      </c>
    </row>
    <row r="142" spans="1:19">
      <c r="A142" s="66">
        <v>139</v>
      </c>
      <c r="B142" s="67" t="s">
        <v>2766</v>
      </c>
      <c r="C142" s="68" t="s">
        <v>2767</v>
      </c>
      <c r="D142" s="66" t="s">
        <v>2554</v>
      </c>
      <c r="E142" s="66" t="s">
        <v>2652</v>
      </c>
      <c r="F142" s="69" t="s">
        <v>3270</v>
      </c>
      <c r="G142" s="70" t="s">
        <v>4275</v>
      </c>
      <c r="H142" s="66" t="s">
        <v>3493</v>
      </c>
      <c r="I142" s="69" t="s">
        <v>2193</v>
      </c>
      <c r="J142" s="68" t="s">
        <v>2194</v>
      </c>
      <c r="K142" s="66" t="s">
        <v>4277</v>
      </c>
      <c r="L142" s="66" t="s">
        <v>671</v>
      </c>
      <c r="M142" s="66" t="s">
        <v>669</v>
      </c>
      <c r="N142" s="68" t="s">
        <v>1763</v>
      </c>
      <c r="O142" s="68" t="s">
        <v>1710</v>
      </c>
      <c r="P142" s="68" t="s">
        <v>1564</v>
      </c>
      <c r="Q142" s="66" t="s">
        <v>1566</v>
      </c>
      <c r="R142" s="68" t="s">
        <v>1512</v>
      </c>
      <c r="S142" s="68" t="s">
        <v>4415</v>
      </c>
    </row>
    <row r="143" spans="1:19">
      <c r="A143" s="59">
        <v>140</v>
      </c>
      <c r="B143" s="58" t="s">
        <v>2771</v>
      </c>
      <c r="C143" s="31" t="s">
        <v>2772</v>
      </c>
      <c r="D143" s="59" t="s">
        <v>2554</v>
      </c>
      <c r="E143" s="59" t="s">
        <v>2646</v>
      </c>
      <c r="F143" s="60" t="s">
        <v>3274</v>
      </c>
      <c r="G143" s="19" t="s">
        <v>4275</v>
      </c>
      <c r="H143" s="59" t="s">
        <v>3491</v>
      </c>
      <c r="I143" s="60" t="s">
        <v>2108</v>
      </c>
      <c r="J143" s="31" t="s">
        <v>2109</v>
      </c>
      <c r="K143" s="59" t="s">
        <v>4307</v>
      </c>
      <c r="L143" s="59" t="s">
        <v>536</v>
      </c>
      <c r="M143" s="59" t="s">
        <v>440</v>
      </c>
      <c r="N143" s="31" t="s">
        <v>1763</v>
      </c>
      <c r="O143" s="31" t="s">
        <v>1702</v>
      </c>
      <c r="P143" s="31" t="s">
        <v>2039</v>
      </c>
      <c r="Q143" s="59" t="s">
        <v>510</v>
      </c>
      <c r="R143" s="31" t="s">
        <v>999</v>
      </c>
      <c r="S143" s="31" t="s">
        <v>4417</v>
      </c>
    </row>
    <row r="144" spans="1:19">
      <c r="A144" s="59">
        <v>141</v>
      </c>
      <c r="B144" s="58" t="s">
        <v>2771</v>
      </c>
      <c r="C144" s="31" t="s">
        <v>2772</v>
      </c>
      <c r="D144" s="59" t="s">
        <v>2554</v>
      </c>
      <c r="E144" s="59" t="s">
        <v>2646</v>
      </c>
      <c r="F144" s="60" t="s">
        <v>3274</v>
      </c>
      <c r="G144" s="71" t="s">
        <v>4309</v>
      </c>
      <c r="H144" s="59" t="s">
        <v>4310</v>
      </c>
      <c r="I144" s="60" t="s">
        <v>1767</v>
      </c>
      <c r="J144" s="61" t="s">
        <v>4418</v>
      </c>
      <c r="K144" s="59" t="s">
        <v>4277</v>
      </c>
      <c r="L144" s="59" t="s">
        <v>442</v>
      </c>
      <c r="M144" s="59" t="s">
        <v>440</v>
      </c>
      <c r="N144" s="31" t="s">
        <v>1763</v>
      </c>
      <c r="O144" s="31" t="s">
        <v>1702</v>
      </c>
      <c r="P144" s="31" t="s">
        <v>1606</v>
      </c>
      <c r="Q144" s="59" t="s">
        <v>448</v>
      </c>
      <c r="R144" s="31" t="s">
        <v>999</v>
      </c>
      <c r="S144" s="31" t="s">
        <v>4419</v>
      </c>
    </row>
    <row r="145" spans="1:19">
      <c r="A145" s="59">
        <v>142</v>
      </c>
      <c r="B145" s="58" t="s">
        <v>2771</v>
      </c>
      <c r="C145" s="31" t="s">
        <v>2772</v>
      </c>
      <c r="D145" s="59" t="s">
        <v>2554</v>
      </c>
      <c r="E145" s="59" t="s">
        <v>2646</v>
      </c>
      <c r="F145" s="60" t="s">
        <v>3274</v>
      </c>
      <c r="G145" s="19" t="s">
        <v>4275</v>
      </c>
      <c r="H145" s="59" t="s">
        <v>3493</v>
      </c>
      <c r="I145" s="60" t="s">
        <v>2199</v>
      </c>
      <c r="J145" s="31" t="s">
        <v>2200</v>
      </c>
      <c r="K145" s="59" t="s">
        <v>4277</v>
      </c>
      <c r="L145" s="59" t="s">
        <v>671</v>
      </c>
      <c r="M145" s="59" t="s">
        <v>669</v>
      </c>
      <c r="N145" s="31" t="s">
        <v>1763</v>
      </c>
      <c r="O145" s="31" t="s">
        <v>1702</v>
      </c>
      <c r="P145" s="31" t="s">
        <v>1564</v>
      </c>
      <c r="Q145" s="59" t="s">
        <v>1566</v>
      </c>
      <c r="R145" s="31" t="s">
        <v>1512</v>
      </c>
      <c r="S145" s="31" t="s">
        <v>4420</v>
      </c>
    </row>
    <row r="146" spans="1:19">
      <c r="A146" s="66">
        <v>143</v>
      </c>
      <c r="B146" s="67" t="s">
        <v>2776</v>
      </c>
      <c r="C146" s="68" t="s">
        <v>2777</v>
      </c>
      <c r="D146" s="66" t="s">
        <v>2554</v>
      </c>
      <c r="E146" s="66" t="s">
        <v>2652</v>
      </c>
      <c r="F146" s="69" t="s">
        <v>3279</v>
      </c>
      <c r="G146" s="70" t="s">
        <v>4275</v>
      </c>
      <c r="H146" s="66" t="s">
        <v>3491</v>
      </c>
      <c r="I146" s="69" t="s">
        <v>1767</v>
      </c>
      <c r="J146" s="68" t="s">
        <v>1768</v>
      </c>
      <c r="K146" s="66" t="s">
        <v>4277</v>
      </c>
      <c r="L146" s="66" t="s">
        <v>442</v>
      </c>
      <c r="M146" s="66" t="s">
        <v>440</v>
      </c>
      <c r="N146" s="68" t="s">
        <v>1763</v>
      </c>
      <c r="O146" s="68" t="s">
        <v>1702</v>
      </c>
      <c r="P146" s="68" t="s">
        <v>1606</v>
      </c>
      <c r="Q146" s="66" t="s">
        <v>448</v>
      </c>
      <c r="R146" s="68" t="s">
        <v>999</v>
      </c>
      <c r="S146" s="68" t="s">
        <v>4421</v>
      </c>
    </row>
    <row r="147" spans="1:19">
      <c r="A147" s="66">
        <v>144</v>
      </c>
      <c r="B147" s="67" t="s">
        <v>2776</v>
      </c>
      <c r="C147" s="68" t="s">
        <v>2777</v>
      </c>
      <c r="D147" s="66" t="s">
        <v>2554</v>
      </c>
      <c r="E147" s="66" t="s">
        <v>2652</v>
      </c>
      <c r="F147" s="69" t="s">
        <v>3279</v>
      </c>
      <c r="G147" s="70" t="s">
        <v>4275</v>
      </c>
      <c r="H147" s="66" t="s">
        <v>3493</v>
      </c>
      <c r="I147" s="69" t="s">
        <v>2199</v>
      </c>
      <c r="J147" s="68" t="s">
        <v>2200</v>
      </c>
      <c r="K147" s="66" t="s">
        <v>4277</v>
      </c>
      <c r="L147" s="66" t="s">
        <v>671</v>
      </c>
      <c r="M147" s="66" t="s">
        <v>669</v>
      </c>
      <c r="N147" s="68" t="s">
        <v>1763</v>
      </c>
      <c r="O147" s="68" t="s">
        <v>1702</v>
      </c>
      <c r="P147" s="68" t="s">
        <v>1564</v>
      </c>
      <c r="Q147" s="66" t="s">
        <v>1566</v>
      </c>
      <c r="R147" s="68" t="s">
        <v>1512</v>
      </c>
      <c r="S147" s="68" t="s">
        <v>4420</v>
      </c>
    </row>
    <row r="148" spans="1:19">
      <c r="A148" s="59">
        <v>145</v>
      </c>
      <c r="B148" s="58" t="s">
        <v>2781</v>
      </c>
      <c r="C148" s="31" t="s">
        <v>2782</v>
      </c>
      <c r="D148" s="59" t="s">
        <v>2554</v>
      </c>
      <c r="E148" s="59" t="s">
        <v>2646</v>
      </c>
      <c r="F148" s="60" t="s">
        <v>3283</v>
      </c>
      <c r="G148" s="19" t="s">
        <v>4275</v>
      </c>
      <c r="H148" s="59" t="s">
        <v>3491</v>
      </c>
      <c r="I148" s="60" t="s">
        <v>2087</v>
      </c>
      <c r="J148" s="31" t="s">
        <v>2088</v>
      </c>
      <c r="K148" s="59" t="s">
        <v>4307</v>
      </c>
      <c r="L148" s="59" t="s">
        <v>536</v>
      </c>
      <c r="M148" s="59" t="s">
        <v>440</v>
      </c>
      <c r="N148" s="31" t="s">
        <v>1749</v>
      </c>
      <c r="O148" s="31" t="s">
        <v>1750</v>
      </c>
      <c r="P148" s="31" t="s">
        <v>2039</v>
      </c>
      <c r="Q148" s="59" t="s">
        <v>510</v>
      </c>
      <c r="R148" s="31" t="s">
        <v>999</v>
      </c>
      <c r="S148" s="31" t="s">
        <v>4422</v>
      </c>
    </row>
    <row r="149" spans="1:19">
      <c r="A149" s="59">
        <v>146</v>
      </c>
      <c r="B149" s="58" t="s">
        <v>2781</v>
      </c>
      <c r="C149" s="31" t="s">
        <v>2782</v>
      </c>
      <c r="D149" s="59" t="s">
        <v>2554</v>
      </c>
      <c r="E149" s="59" t="s">
        <v>2646</v>
      </c>
      <c r="F149" s="60" t="s">
        <v>3283</v>
      </c>
      <c r="G149" s="71" t="s">
        <v>4309</v>
      </c>
      <c r="H149" s="59" t="s">
        <v>4310</v>
      </c>
      <c r="I149" s="60" t="s">
        <v>1746</v>
      </c>
      <c r="J149" s="61" t="s">
        <v>4423</v>
      </c>
      <c r="K149" s="59" t="s">
        <v>4277</v>
      </c>
      <c r="L149" s="59" t="s">
        <v>442</v>
      </c>
      <c r="M149" s="59" t="s">
        <v>440</v>
      </c>
      <c r="N149" s="31" t="s">
        <v>1749</v>
      </c>
      <c r="O149" s="31" t="s">
        <v>1750</v>
      </c>
      <c r="P149" s="31" t="s">
        <v>1606</v>
      </c>
      <c r="Q149" s="59" t="s">
        <v>448</v>
      </c>
      <c r="R149" s="31" t="s">
        <v>999</v>
      </c>
      <c r="S149" s="31" t="s">
        <v>4424</v>
      </c>
    </row>
    <row r="150" spans="1:19">
      <c r="A150" s="59">
        <v>147</v>
      </c>
      <c r="B150" s="58" t="s">
        <v>2781</v>
      </c>
      <c r="C150" s="31" t="s">
        <v>2782</v>
      </c>
      <c r="D150" s="59" t="s">
        <v>2554</v>
      </c>
      <c r="E150" s="59" t="s">
        <v>2646</v>
      </c>
      <c r="F150" s="60" t="s">
        <v>3283</v>
      </c>
      <c r="G150" s="19" t="s">
        <v>4275</v>
      </c>
      <c r="H150" s="59" t="s">
        <v>3493</v>
      </c>
      <c r="I150" s="60" t="s">
        <v>2181</v>
      </c>
      <c r="J150" s="31" t="s">
        <v>2182</v>
      </c>
      <c r="K150" s="59" t="s">
        <v>4277</v>
      </c>
      <c r="L150" s="59" t="s">
        <v>671</v>
      </c>
      <c r="M150" s="59" t="s">
        <v>669</v>
      </c>
      <c r="N150" s="31" t="s">
        <v>1749</v>
      </c>
      <c r="O150" s="31" t="s">
        <v>1750</v>
      </c>
      <c r="P150" s="31" t="s">
        <v>1564</v>
      </c>
      <c r="Q150" s="59" t="s">
        <v>1566</v>
      </c>
      <c r="R150" s="31" t="s">
        <v>1512</v>
      </c>
      <c r="S150" s="31" t="s">
        <v>4425</v>
      </c>
    </row>
    <row r="151" spans="1:19">
      <c r="A151" s="66">
        <v>148</v>
      </c>
      <c r="B151" s="67" t="s">
        <v>2786</v>
      </c>
      <c r="C151" s="68" t="s">
        <v>2787</v>
      </c>
      <c r="D151" s="66" t="s">
        <v>2554</v>
      </c>
      <c r="E151" s="66" t="s">
        <v>2652</v>
      </c>
      <c r="F151" s="69" t="s">
        <v>3290</v>
      </c>
      <c r="G151" s="70" t="s">
        <v>4275</v>
      </c>
      <c r="H151" s="66" t="s">
        <v>3491</v>
      </c>
      <c r="I151" s="69" t="s">
        <v>1746</v>
      </c>
      <c r="J151" s="68" t="s">
        <v>1747</v>
      </c>
      <c r="K151" s="66" t="s">
        <v>4277</v>
      </c>
      <c r="L151" s="66" t="s">
        <v>442</v>
      </c>
      <c r="M151" s="66" t="s">
        <v>440</v>
      </c>
      <c r="N151" s="68" t="s">
        <v>1749</v>
      </c>
      <c r="O151" s="68" t="s">
        <v>1750</v>
      </c>
      <c r="P151" s="68" t="s">
        <v>1606</v>
      </c>
      <c r="Q151" s="66" t="s">
        <v>448</v>
      </c>
      <c r="R151" s="68" t="s">
        <v>999</v>
      </c>
      <c r="S151" s="68" t="s">
        <v>4426</v>
      </c>
    </row>
    <row r="152" spans="1:19">
      <c r="A152" s="66">
        <v>149</v>
      </c>
      <c r="B152" s="67" t="s">
        <v>2786</v>
      </c>
      <c r="C152" s="68" t="s">
        <v>2787</v>
      </c>
      <c r="D152" s="66" t="s">
        <v>2554</v>
      </c>
      <c r="E152" s="66" t="s">
        <v>2652</v>
      </c>
      <c r="F152" s="69" t="s">
        <v>3290</v>
      </c>
      <c r="G152" s="70" t="s">
        <v>4275</v>
      </c>
      <c r="H152" s="66" t="s">
        <v>3493</v>
      </c>
      <c r="I152" s="69" t="s">
        <v>2181</v>
      </c>
      <c r="J152" s="68" t="s">
        <v>2182</v>
      </c>
      <c r="K152" s="66" t="s">
        <v>4277</v>
      </c>
      <c r="L152" s="66" t="s">
        <v>671</v>
      </c>
      <c r="M152" s="66" t="s">
        <v>669</v>
      </c>
      <c r="N152" s="68" t="s">
        <v>1749</v>
      </c>
      <c r="O152" s="68" t="s">
        <v>1750</v>
      </c>
      <c r="P152" s="68" t="s">
        <v>1564</v>
      </c>
      <c r="Q152" s="66" t="s">
        <v>1566</v>
      </c>
      <c r="R152" s="68" t="s">
        <v>1512</v>
      </c>
      <c r="S152" s="68" t="s">
        <v>4425</v>
      </c>
    </row>
    <row r="153" spans="1:19">
      <c r="A153" s="59">
        <v>150</v>
      </c>
      <c r="B153" s="58" t="s">
        <v>2791</v>
      </c>
      <c r="C153" s="31" t="s">
        <v>2792</v>
      </c>
      <c r="D153" s="59" t="s">
        <v>2554</v>
      </c>
      <c r="E153" s="59" t="s">
        <v>2646</v>
      </c>
      <c r="F153" s="60" t="s">
        <v>3294</v>
      </c>
      <c r="G153" s="19" t="s">
        <v>4275</v>
      </c>
      <c r="H153" s="59" t="s">
        <v>3491</v>
      </c>
      <c r="I153" s="60" t="s">
        <v>2094</v>
      </c>
      <c r="J153" s="31" t="s">
        <v>2095</v>
      </c>
      <c r="K153" s="59" t="s">
        <v>4307</v>
      </c>
      <c r="L153" s="59" t="s">
        <v>536</v>
      </c>
      <c r="M153" s="59" t="s">
        <v>440</v>
      </c>
      <c r="N153" s="31" t="s">
        <v>1749</v>
      </c>
      <c r="O153" s="31" t="s">
        <v>1702</v>
      </c>
      <c r="P153" s="31" t="s">
        <v>2039</v>
      </c>
      <c r="Q153" s="59" t="s">
        <v>510</v>
      </c>
      <c r="R153" s="31" t="s">
        <v>999</v>
      </c>
      <c r="S153" s="31" t="s">
        <v>4427</v>
      </c>
    </row>
    <row r="154" spans="1:19">
      <c r="A154" s="59">
        <v>151</v>
      </c>
      <c r="B154" s="58" t="s">
        <v>2791</v>
      </c>
      <c r="C154" s="31" t="s">
        <v>2792</v>
      </c>
      <c r="D154" s="59" t="s">
        <v>2554</v>
      </c>
      <c r="E154" s="59" t="s">
        <v>2646</v>
      </c>
      <c r="F154" s="60" t="s">
        <v>3294</v>
      </c>
      <c r="G154" s="71" t="s">
        <v>4309</v>
      </c>
      <c r="H154" s="59" t="s">
        <v>4310</v>
      </c>
      <c r="I154" s="60" t="s">
        <v>1754</v>
      </c>
      <c r="J154" s="61" t="s">
        <v>4428</v>
      </c>
      <c r="K154" s="59" t="s">
        <v>4277</v>
      </c>
      <c r="L154" s="59" t="s">
        <v>442</v>
      </c>
      <c r="M154" s="59" t="s">
        <v>440</v>
      </c>
      <c r="N154" s="31" t="s">
        <v>1749</v>
      </c>
      <c r="O154" s="31" t="s">
        <v>1702</v>
      </c>
      <c r="P154" s="31" t="s">
        <v>1606</v>
      </c>
      <c r="Q154" s="59" t="s">
        <v>448</v>
      </c>
      <c r="R154" s="31" t="s">
        <v>999</v>
      </c>
      <c r="S154" s="31" t="s">
        <v>4429</v>
      </c>
    </row>
    <row r="155" spans="1:19">
      <c r="A155" s="59">
        <v>152</v>
      </c>
      <c r="B155" s="58" t="s">
        <v>2791</v>
      </c>
      <c r="C155" s="31" t="s">
        <v>2792</v>
      </c>
      <c r="D155" s="59" t="s">
        <v>2554</v>
      </c>
      <c r="E155" s="59" t="s">
        <v>2646</v>
      </c>
      <c r="F155" s="60" t="s">
        <v>3294</v>
      </c>
      <c r="G155" s="19" t="s">
        <v>4275</v>
      </c>
      <c r="H155" s="59" t="s">
        <v>3493</v>
      </c>
      <c r="I155" s="60" t="s">
        <v>2187</v>
      </c>
      <c r="J155" s="31" t="s">
        <v>2188</v>
      </c>
      <c r="K155" s="59" t="s">
        <v>4277</v>
      </c>
      <c r="L155" s="59" t="s">
        <v>671</v>
      </c>
      <c r="M155" s="59" t="s">
        <v>669</v>
      </c>
      <c r="N155" s="31" t="s">
        <v>1749</v>
      </c>
      <c r="O155" s="31" t="s">
        <v>1702</v>
      </c>
      <c r="P155" s="31" t="s">
        <v>1564</v>
      </c>
      <c r="Q155" s="59" t="s">
        <v>1566</v>
      </c>
      <c r="R155" s="31" t="s">
        <v>1512</v>
      </c>
      <c r="S155" s="31" t="s">
        <v>4430</v>
      </c>
    </row>
    <row r="156" spans="1:19">
      <c r="A156" s="66">
        <v>153</v>
      </c>
      <c r="B156" s="67" t="s">
        <v>2796</v>
      </c>
      <c r="C156" s="68" t="s">
        <v>2797</v>
      </c>
      <c r="D156" s="66" t="s">
        <v>2554</v>
      </c>
      <c r="E156" s="66" t="s">
        <v>2652</v>
      </c>
      <c r="F156" s="69" t="s">
        <v>3299</v>
      </c>
      <c r="G156" s="70" t="s">
        <v>4275</v>
      </c>
      <c r="H156" s="66" t="s">
        <v>3491</v>
      </c>
      <c r="I156" s="69" t="s">
        <v>1754</v>
      </c>
      <c r="J156" s="68" t="s">
        <v>1755</v>
      </c>
      <c r="K156" s="66" t="s">
        <v>4277</v>
      </c>
      <c r="L156" s="66" t="s">
        <v>442</v>
      </c>
      <c r="M156" s="66" t="s">
        <v>440</v>
      </c>
      <c r="N156" s="68" t="s">
        <v>1749</v>
      </c>
      <c r="O156" s="68" t="s">
        <v>1702</v>
      </c>
      <c r="P156" s="68" t="s">
        <v>1606</v>
      </c>
      <c r="Q156" s="66" t="s">
        <v>448</v>
      </c>
      <c r="R156" s="68" t="s">
        <v>999</v>
      </c>
      <c r="S156" s="68" t="s">
        <v>4431</v>
      </c>
    </row>
    <row r="157" spans="1:19">
      <c r="A157" s="66">
        <v>154</v>
      </c>
      <c r="B157" s="67" t="s">
        <v>2796</v>
      </c>
      <c r="C157" s="68" t="s">
        <v>2797</v>
      </c>
      <c r="D157" s="66" t="s">
        <v>2554</v>
      </c>
      <c r="E157" s="66" t="s">
        <v>2652</v>
      </c>
      <c r="F157" s="69" t="s">
        <v>3299</v>
      </c>
      <c r="G157" s="70" t="s">
        <v>4275</v>
      </c>
      <c r="H157" s="66" t="s">
        <v>3493</v>
      </c>
      <c r="I157" s="69" t="s">
        <v>2187</v>
      </c>
      <c r="J157" s="68" t="s">
        <v>2188</v>
      </c>
      <c r="K157" s="66" t="s">
        <v>4277</v>
      </c>
      <c r="L157" s="66" t="s">
        <v>671</v>
      </c>
      <c r="M157" s="66" t="s">
        <v>669</v>
      </c>
      <c r="N157" s="68" t="s">
        <v>1749</v>
      </c>
      <c r="O157" s="68" t="s">
        <v>1702</v>
      </c>
      <c r="P157" s="68" t="s">
        <v>1564</v>
      </c>
      <c r="Q157" s="66" t="s">
        <v>1566</v>
      </c>
      <c r="R157" s="68" t="s">
        <v>1512</v>
      </c>
      <c r="S157" s="68" t="s">
        <v>4430</v>
      </c>
    </row>
    <row r="158" spans="1:19">
      <c r="A158" s="59">
        <v>155</v>
      </c>
      <c r="B158" s="58" t="s">
        <v>2801</v>
      </c>
      <c r="C158" s="31" t="s">
        <v>2802</v>
      </c>
      <c r="D158" s="59" t="s">
        <v>2554</v>
      </c>
      <c r="E158" s="59" t="s">
        <v>2804</v>
      </c>
      <c r="F158" s="60" t="s">
        <v>3303</v>
      </c>
      <c r="G158" s="19" t="s">
        <v>4275</v>
      </c>
      <c r="H158" s="59" t="s">
        <v>3491</v>
      </c>
      <c r="I158" s="60" t="s">
        <v>1654</v>
      </c>
      <c r="J158" s="31" t="s">
        <v>1655</v>
      </c>
      <c r="K158" s="59" t="s">
        <v>4277</v>
      </c>
      <c r="L158" s="59" t="s">
        <v>442</v>
      </c>
      <c r="M158" s="59" t="s">
        <v>440</v>
      </c>
      <c r="N158" s="31" t="s">
        <v>1657</v>
      </c>
      <c r="O158" s="31" t="s">
        <v>1658</v>
      </c>
      <c r="P158" s="31" t="s">
        <v>1606</v>
      </c>
      <c r="Q158" s="59" t="s">
        <v>448</v>
      </c>
      <c r="R158" s="31" t="s">
        <v>999</v>
      </c>
      <c r="S158" s="31" t="s">
        <v>4432</v>
      </c>
    </row>
    <row r="159" spans="1:19">
      <c r="A159" s="59">
        <v>156</v>
      </c>
      <c r="B159" s="58" t="s">
        <v>2801</v>
      </c>
      <c r="C159" s="31" t="s">
        <v>2802</v>
      </c>
      <c r="D159" s="59" t="s">
        <v>2554</v>
      </c>
      <c r="E159" s="59" t="s">
        <v>2804</v>
      </c>
      <c r="F159" s="60" t="s">
        <v>3303</v>
      </c>
      <c r="G159" s="19" t="s">
        <v>4275</v>
      </c>
      <c r="H159" s="59" t="s">
        <v>3493</v>
      </c>
      <c r="I159" s="60" t="s">
        <v>2398</v>
      </c>
      <c r="J159" s="31" t="s">
        <v>2399</v>
      </c>
      <c r="K159" s="59" t="s">
        <v>4277</v>
      </c>
      <c r="L159" s="59" t="s">
        <v>738</v>
      </c>
      <c r="M159" s="59" t="s">
        <v>736</v>
      </c>
      <c r="N159" s="31" t="s">
        <v>1657</v>
      </c>
      <c r="O159" s="31" t="s">
        <v>1658</v>
      </c>
      <c r="P159" s="31" t="s">
        <v>2364</v>
      </c>
      <c r="Q159" s="59" t="s">
        <v>1566</v>
      </c>
      <c r="R159" s="31" t="s">
        <v>1280</v>
      </c>
      <c r="S159" s="31" t="s">
        <v>4433</v>
      </c>
    </row>
    <row r="160" spans="1:19">
      <c r="A160" s="66">
        <v>157</v>
      </c>
      <c r="B160" s="67" t="s">
        <v>2807</v>
      </c>
      <c r="C160" s="68" t="s">
        <v>2808</v>
      </c>
      <c r="D160" s="66" t="s">
        <v>2554</v>
      </c>
      <c r="E160" s="66" t="s">
        <v>2804</v>
      </c>
      <c r="F160" s="69" t="s">
        <v>3310</v>
      </c>
      <c r="G160" s="70" t="s">
        <v>4275</v>
      </c>
      <c r="H160" s="66" t="s">
        <v>3491</v>
      </c>
      <c r="I160" s="69" t="s">
        <v>1662</v>
      </c>
      <c r="J160" s="68" t="s">
        <v>1663</v>
      </c>
      <c r="K160" s="66" t="s">
        <v>4277</v>
      </c>
      <c r="L160" s="66" t="s">
        <v>442</v>
      </c>
      <c r="M160" s="66" t="s">
        <v>440</v>
      </c>
      <c r="N160" s="68" t="s">
        <v>1657</v>
      </c>
      <c r="O160" s="68" t="s">
        <v>1665</v>
      </c>
      <c r="P160" s="68" t="s">
        <v>1606</v>
      </c>
      <c r="Q160" s="66" t="s">
        <v>448</v>
      </c>
      <c r="R160" s="68" t="s">
        <v>999</v>
      </c>
      <c r="S160" s="68" t="s">
        <v>4434</v>
      </c>
    </row>
    <row r="161" spans="1:19">
      <c r="A161" s="66">
        <v>158</v>
      </c>
      <c r="B161" s="67" t="s">
        <v>2807</v>
      </c>
      <c r="C161" s="68" t="s">
        <v>2808</v>
      </c>
      <c r="D161" s="66" t="s">
        <v>2554</v>
      </c>
      <c r="E161" s="66" t="s">
        <v>2804</v>
      </c>
      <c r="F161" s="69" t="s">
        <v>3310</v>
      </c>
      <c r="G161" s="70" t="s">
        <v>4275</v>
      </c>
      <c r="H161" s="66" t="s">
        <v>3493</v>
      </c>
      <c r="I161" s="69" t="s">
        <v>2403</v>
      </c>
      <c r="J161" s="68" t="s">
        <v>2404</v>
      </c>
      <c r="K161" s="66" t="s">
        <v>4277</v>
      </c>
      <c r="L161" s="66" t="s">
        <v>738</v>
      </c>
      <c r="M161" s="66" t="s">
        <v>736</v>
      </c>
      <c r="N161" s="68" t="s">
        <v>1657</v>
      </c>
      <c r="O161" s="68" t="s">
        <v>1665</v>
      </c>
      <c r="P161" s="68" t="s">
        <v>2364</v>
      </c>
      <c r="Q161" s="66" t="s">
        <v>1566</v>
      </c>
      <c r="R161" s="68" t="s">
        <v>1280</v>
      </c>
      <c r="S161" s="68" t="s">
        <v>4435</v>
      </c>
    </row>
    <row r="162" spans="1:19">
      <c r="A162" s="59">
        <v>159</v>
      </c>
      <c r="B162" s="58" t="s">
        <v>2812</v>
      </c>
      <c r="C162" s="31" t="s">
        <v>2813</v>
      </c>
      <c r="D162" s="59" t="s">
        <v>2554</v>
      </c>
      <c r="E162" s="59" t="s">
        <v>2804</v>
      </c>
      <c r="F162" s="60" t="s">
        <v>3316</v>
      </c>
      <c r="G162" s="19" t="s">
        <v>4275</v>
      </c>
      <c r="H162" s="59" t="s">
        <v>3491</v>
      </c>
      <c r="I162" s="60" t="s">
        <v>1807</v>
      </c>
      <c r="J162" s="31" t="s">
        <v>1808</v>
      </c>
      <c r="K162" s="59" t="s">
        <v>4277</v>
      </c>
      <c r="L162" s="59" t="s">
        <v>442</v>
      </c>
      <c r="M162" s="59" t="s">
        <v>440</v>
      </c>
      <c r="N162" s="31" t="s">
        <v>1802</v>
      </c>
      <c r="O162" s="31" t="s">
        <v>1695</v>
      </c>
      <c r="P162" s="31" t="s">
        <v>1606</v>
      </c>
      <c r="Q162" s="59" t="s">
        <v>448</v>
      </c>
      <c r="R162" s="31" t="s">
        <v>999</v>
      </c>
      <c r="S162" s="31" t="s">
        <v>4436</v>
      </c>
    </row>
    <row r="163" spans="1:19">
      <c r="A163" s="59">
        <v>160</v>
      </c>
      <c r="B163" s="58" t="s">
        <v>2812</v>
      </c>
      <c r="C163" s="31" t="s">
        <v>2813</v>
      </c>
      <c r="D163" s="59" t="s">
        <v>2554</v>
      </c>
      <c r="E163" s="59" t="s">
        <v>2804</v>
      </c>
      <c r="F163" s="60" t="s">
        <v>3316</v>
      </c>
      <c r="G163" s="19" t="s">
        <v>4275</v>
      </c>
      <c r="H163" s="59" t="s">
        <v>3493</v>
      </c>
      <c r="I163" s="60" t="s">
        <v>2439</v>
      </c>
      <c r="J163" s="31" t="s">
        <v>2440</v>
      </c>
      <c r="K163" s="59" t="s">
        <v>4277</v>
      </c>
      <c r="L163" s="59" t="s">
        <v>738</v>
      </c>
      <c r="M163" s="59" t="s">
        <v>736</v>
      </c>
      <c r="N163" s="31" t="s">
        <v>1802</v>
      </c>
      <c r="O163" s="31" t="s">
        <v>1695</v>
      </c>
      <c r="P163" s="31" t="s">
        <v>2364</v>
      </c>
      <c r="Q163" s="59" t="s">
        <v>1566</v>
      </c>
      <c r="R163" s="31" t="s">
        <v>1280</v>
      </c>
      <c r="S163" s="31" t="s">
        <v>4437</v>
      </c>
    </row>
    <row r="164" spans="1:19">
      <c r="A164" s="66">
        <v>161</v>
      </c>
      <c r="B164" s="67" t="s">
        <v>2817</v>
      </c>
      <c r="C164" s="68" t="s">
        <v>2818</v>
      </c>
      <c r="D164" s="66" t="s">
        <v>2554</v>
      </c>
      <c r="E164" s="66" t="s">
        <v>2804</v>
      </c>
      <c r="F164" s="69" t="s">
        <v>3323</v>
      </c>
      <c r="G164" s="70" t="s">
        <v>4275</v>
      </c>
      <c r="H164" s="66" t="s">
        <v>3491</v>
      </c>
      <c r="I164" s="69" t="s">
        <v>1799</v>
      </c>
      <c r="J164" s="68" t="s">
        <v>1800</v>
      </c>
      <c r="K164" s="66" t="s">
        <v>4277</v>
      </c>
      <c r="L164" s="66" t="s">
        <v>442</v>
      </c>
      <c r="M164" s="66" t="s">
        <v>440</v>
      </c>
      <c r="N164" s="68" t="s">
        <v>1802</v>
      </c>
      <c r="O164" s="68" t="s">
        <v>1803</v>
      </c>
      <c r="P164" s="68" t="s">
        <v>1606</v>
      </c>
      <c r="Q164" s="66" t="s">
        <v>448</v>
      </c>
      <c r="R164" s="68" t="s">
        <v>999</v>
      </c>
      <c r="S164" s="68" t="s">
        <v>4438</v>
      </c>
    </row>
    <row r="165" spans="1:19">
      <c r="A165" s="66">
        <v>162</v>
      </c>
      <c r="B165" s="67" t="s">
        <v>2817</v>
      </c>
      <c r="C165" s="68" t="s">
        <v>2818</v>
      </c>
      <c r="D165" s="66" t="s">
        <v>2554</v>
      </c>
      <c r="E165" s="66" t="s">
        <v>2804</v>
      </c>
      <c r="F165" s="69" t="s">
        <v>3323</v>
      </c>
      <c r="G165" s="70" t="s">
        <v>4275</v>
      </c>
      <c r="H165" s="66" t="s">
        <v>3493</v>
      </c>
      <c r="I165" s="69" t="s">
        <v>2434</v>
      </c>
      <c r="J165" s="68" t="s">
        <v>2435</v>
      </c>
      <c r="K165" s="66" t="s">
        <v>4277</v>
      </c>
      <c r="L165" s="66" t="s">
        <v>738</v>
      </c>
      <c r="M165" s="66" t="s">
        <v>736</v>
      </c>
      <c r="N165" s="68" t="s">
        <v>1802</v>
      </c>
      <c r="O165" s="68" t="s">
        <v>1803</v>
      </c>
      <c r="P165" s="68" t="s">
        <v>2364</v>
      </c>
      <c r="Q165" s="66" t="s">
        <v>1566</v>
      </c>
      <c r="R165" s="68" t="s">
        <v>1280</v>
      </c>
      <c r="S165" s="68" t="s">
        <v>4439</v>
      </c>
    </row>
    <row r="166" spans="1:19">
      <c r="A166" s="59">
        <v>163</v>
      </c>
      <c r="B166" s="58" t="s">
        <v>2822</v>
      </c>
      <c r="C166" s="31" t="s">
        <v>2823</v>
      </c>
      <c r="D166" s="59" t="s">
        <v>2554</v>
      </c>
      <c r="E166" s="59" t="s">
        <v>2804</v>
      </c>
      <c r="F166" s="60" t="s">
        <v>3329</v>
      </c>
      <c r="G166" s="19" t="s">
        <v>4275</v>
      </c>
      <c r="H166" s="59" t="s">
        <v>3491</v>
      </c>
      <c r="I166" s="60" t="s">
        <v>1813</v>
      </c>
      <c r="J166" s="31" t="s">
        <v>1814</v>
      </c>
      <c r="K166" s="59" t="s">
        <v>4277</v>
      </c>
      <c r="L166" s="59" t="s">
        <v>442</v>
      </c>
      <c r="M166" s="59" t="s">
        <v>440</v>
      </c>
      <c r="N166" s="31" t="s">
        <v>1802</v>
      </c>
      <c r="O166" s="31" t="s">
        <v>1702</v>
      </c>
      <c r="P166" s="31" t="s">
        <v>1606</v>
      </c>
      <c r="Q166" s="59" t="s">
        <v>448</v>
      </c>
      <c r="R166" s="31" t="s">
        <v>999</v>
      </c>
      <c r="S166" s="31" t="s">
        <v>4440</v>
      </c>
    </row>
    <row r="167" spans="1:19">
      <c r="A167" s="59">
        <v>164</v>
      </c>
      <c r="B167" s="58" t="s">
        <v>2822</v>
      </c>
      <c r="C167" s="31" t="s">
        <v>2823</v>
      </c>
      <c r="D167" s="59" t="s">
        <v>2554</v>
      </c>
      <c r="E167" s="59" t="s">
        <v>2804</v>
      </c>
      <c r="F167" s="60" t="s">
        <v>3329</v>
      </c>
      <c r="G167" s="19" t="s">
        <v>4275</v>
      </c>
      <c r="H167" s="59" t="s">
        <v>3493</v>
      </c>
      <c r="I167" s="60" t="s">
        <v>2444</v>
      </c>
      <c r="J167" s="31" t="s">
        <v>2445</v>
      </c>
      <c r="K167" s="59" t="s">
        <v>4277</v>
      </c>
      <c r="L167" s="59" t="s">
        <v>738</v>
      </c>
      <c r="M167" s="59" t="s">
        <v>736</v>
      </c>
      <c r="N167" s="31" t="s">
        <v>1802</v>
      </c>
      <c r="O167" s="31" t="s">
        <v>1702</v>
      </c>
      <c r="P167" s="31" t="s">
        <v>2364</v>
      </c>
      <c r="Q167" s="59" t="s">
        <v>1566</v>
      </c>
      <c r="R167" s="31" t="s">
        <v>1280</v>
      </c>
      <c r="S167" s="31" t="s">
        <v>4441</v>
      </c>
    </row>
    <row r="168" spans="1:19">
      <c r="A168" s="66">
        <v>165</v>
      </c>
      <c r="B168" s="67" t="s">
        <v>2827</v>
      </c>
      <c r="C168" s="68" t="s">
        <v>2828</v>
      </c>
      <c r="D168" s="66" t="s">
        <v>2554</v>
      </c>
      <c r="E168" s="66" t="s">
        <v>2501</v>
      </c>
      <c r="F168" s="69" t="s">
        <v>3335</v>
      </c>
      <c r="G168" s="70" t="s">
        <v>4275</v>
      </c>
      <c r="H168" s="66" t="s">
        <v>3491</v>
      </c>
      <c r="I168" s="69" t="s">
        <v>2035</v>
      </c>
      <c r="J168" s="68" t="s">
        <v>2036</v>
      </c>
      <c r="K168" s="66" t="s">
        <v>4307</v>
      </c>
      <c r="L168" s="66" t="s">
        <v>536</v>
      </c>
      <c r="M168" s="66" t="s">
        <v>440</v>
      </c>
      <c r="N168" s="68" t="s">
        <v>1694</v>
      </c>
      <c r="O168" s="68" t="s">
        <v>1695</v>
      </c>
      <c r="P168" s="68" t="s">
        <v>2039</v>
      </c>
      <c r="Q168" s="66" t="s">
        <v>510</v>
      </c>
      <c r="R168" s="68" t="s">
        <v>999</v>
      </c>
      <c r="S168" s="68" t="s">
        <v>4442</v>
      </c>
    </row>
    <row r="169" spans="1:19">
      <c r="A169" s="66">
        <v>166</v>
      </c>
      <c r="B169" s="67" t="s">
        <v>2827</v>
      </c>
      <c r="C169" s="68" t="s">
        <v>2828</v>
      </c>
      <c r="D169" s="66" t="s">
        <v>2554</v>
      </c>
      <c r="E169" s="66" t="s">
        <v>2501</v>
      </c>
      <c r="F169" s="69" t="s">
        <v>3335</v>
      </c>
      <c r="G169" s="72" t="s">
        <v>4309</v>
      </c>
      <c r="H169" s="66" t="s">
        <v>4310</v>
      </c>
      <c r="I169" s="69" t="s">
        <v>1691</v>
      </c>
      <c r="J169" s="73" t="s">
        <v>4443</v>
      </c>
      <c r="K169" s="66" t="s">
        <v>4277</v>
      </c>
      <c r="L169" s="66" t="s">
        <v>442</v>
      </c>
      <c r="M169" s="66" t="s">
        <v>440</v>
      </c>
      <c r="N169" s="68" t="s">
        <v>1694</v>
      </c>
      <c r="O169" s="68" t="s">
        <v>1695</v>
      </c>
      <c r="P169" s="68" t="s">
        <v>1606</v>
      </c>
      <c r="Q169" s="66" t="s">
        <v>448</v>
      </c>
      <c r="R169" s="68" t="s">
        <v>999</v>
      </c>
      <c r="S169" s="68" t="s">
        <v>4444</v>
      </c>
    </row>
    <row r="170" spans="1:19">
      <c r="A170" s="66">
        <v>167</v>
      </c>
      <c r="B170" s="67" t="s">
        <v>2827</v>
      </c>
      <c r="C170" s="68" t="s">
        <v>2828</v>
      </c>
      <c r="D170" s="66" t="s">
        <v>2554</v>
      </c>
      <c r="E170" s="66" t="s">
        <v>2501</v>
      </c>
      <c r="F170" s="69" t="s">
        <v>3335</v>
      </c>
      <c r="G170" s="72" t="s">
        <v>4309</v>
      </c>
      <c r="H170" s="66" t="s">
        <v>4310</v>
      </c>
      <c r="I170" s="69" t="s">
        <v>2008</v>
      </c>
      <c r="J170" s="73" t="s">
        <v>4445</v>
      </c>
      <c r="K170" s="66" t="s">
        <v>4277</v>
      </c>
      <c r="L170" s="66" t="s">
        <v>498</v>
      </c>
      <c r="M170" s="66" t="s">
        <v>440</v>
      </c>
      <c r="N170" s="68" t="s">
        <v>1694</v>
      </c>
      <c r="O170" s="68" t="s">
        <v>1695</v>
      </c>
      <c r="P170" s="68" t="s">
        <v>2012</v>
      </c>
      <c r="Q170" s="66" t="s">
        <v>448</v>
      </c>
      <c r="R170" s="68" t="s">
        <v>999</v>
      </c>
      <c r="S170" s="68" t="s">
        <v>4444</v>
      </c>
    </row>
    <row r="171" spans="1:19">
      <c r="A171" s="66">
        <v>168</v>
      </c>
      <c r="B171" s="67" t="s">
        <v>2827</v>
      </c>
      <c r="C171" s="68" t="s">
        <v>2828</v>
      </c>
      <c r="D171" s="66" t="s">
        <v>2554</v>
      </c>
      <c r="E171" s="66" t="s">
        <v>2501</v>
      </c>
      <c r="F171" s="69" t="s">
        <v>3335</v>
      </c>
      <c r="G171" s="70" t="s">
        <v>4275</v>
      </c>
      <c r="H171" s="66" t="s">
        <v>3493</v>
      </c>
      <c r="I171" s="69" t="s">
        <v>2423</v>
      </c>
      <c r="J171" s="68" t="s">
        <v>2424</v>
      </c>
      <c r="K171" s="66" t="s">
        <v>4277</v>
      </c>
      <c r="L171" s="66" t="s">
        <v>738</v>
      </c>
      <c r="M171" s="66" t="s">
        <v>736</v>
      </c>
      <c r="N171" s="68" t="s">
        <v>1694</v>
      </c>
      <c r="O171" s="68" t="s">
        <v>1695</v>
      </c>
      <c r="P171" s="68" t="s">
        <v>2364</v>
      </c>
      <c r="Q171" s="66" t="s">
        <v>1566</v>
      </c>
      <c r="R171" s="68" t="s">
        <v>1280</v>
      </c>
      <c r="S171" s="68" t="s">
        <v>4446</v>
      </c>
    </row>
    <row r="172" spans="1:19">
      <c r="A172" s="59">
        <v>169</v>
      </c>
      <c r="B172" s="58" t="s">
        <v>2832</v>
      </c>
      <c r="C172" s="31" t="s">
        <v>2833</v>
      </c>
      <c r="D172" s="59" t="s">
        <v>2554</v>
      </c>
      <c r="E172" s="59" t="s">
        <v>2804</v>
      </c>
      <c r="F172" s="60" t="s">
        <v>3342</v>
      </c>
      <c r="G172" s="19" t="s">
        <v>4275</v>
      </c>
      <c r="H172" s="59" t="s">
        <v>3491</v>
      </c>
      <c r="I172" s="60" t="s">
        <v>1691</v>
      </c>
      <c r="J172" s="31" t="s">
        <v>1692</v>
      </c>
      <c r="K172" s="59" t="s">
        <v>4277</v>
      </c>
      <c r="L172" s="59" t="s">
        <v>442</v>
      </c>
      <c r="M172" s="59" t="s">
        <v>440</v>
      </c>
      <c r="N172" s="31" t="s">
        <v>1694</v>
      </c>
      <c r="O172" s="31" t="s">
        <v>1695</v>
      </c>
      <c r="P172" s="31" t="s">
        <v>1606</v>
      </c>
      <c r="Q172" s="59" t="s">
        <v>448</v>
      </c>
      <c r="R172" s="31" t="s">
        <v>999</v>
      </c>
      <c r="S172" s="31" t="s">
        <v>4447</v>
      </c>
    </row>
    <row r="173" spans="1:19">
      <c r="A173" s="59">
        <v>170</v>
      </c>
      <c r="B173" s="58" t="s">
        <v>2832</v>
      </c>
      <c r="C173" s="31" t="s">
        <v>2833</v>
      </c>
      <c r="D173" s="59" t="s">
        <v>2554</v>
      </c>
      <c r="E173" s="59" t="s">
        <v>2804</v>
      </c>
      <c r="F173" s="60" t="s">
        <v>3342</v>
      </c>
      <c r="G173" s="19" t="s">
        <v>4275</v>
      </c>
      <c r="H173" s="59" t="s">
        <v>3493</v>
      </c>
      <c r="I173" s="60" t="s">
        <v>2423</v>
      </c>
      <c r="J173" s="31" t="s">
        <v>2424</v>
      </c>
      <c r="K173" s="59" t="s">
        <v>4277</v>
      </c>
      <c r="L173" s="59" t="s">
        <v>738</v>
      </c>
      <c r="M173" s="59" t="s">
        <v>736</v>
      </c>
      <c r="N173" s="31" t="s">
        <v>1694</v>
      </c>
      <c r="O173" s="31" t="s">
        <v>1695</v>
      </c>
      <c r="P173" s="31" t="s">
        <v>2364</v>
      </c>
      <c r="Q173" s="59" t="s">
        <v>1566</v>
      </c>
      <c r="R173" s="31" t="s">
        <v>1280</v>
      </c>
      <c r="S173" s="31" t="s">
        <v>4446</v>
      </c>
    </row>
    <row r="174" spans="1:19">
      <c r="A174" s="66">
        <v>171</v>
      </c>
      <c r="B174" s="67" t="s">
        <v>2837</v>
      </c>
      <c r="C174" s="68" t="s">
        <v>2838</v>
      </c>
      <c r="D174" s="66" t="s">
        <v>2554</v>
      </c>
      <c r="E174" s="66" t="s">
        <v>2840</v>
      </c>
      <c r="F174" s="69" t="s">
        <v>3347</v>
      </c>
      <c r="G174" s="70" t="s">
        <v>4275</v>
      </c>
      <c r="H174" s="66" t="s">
        <v>3491</v>
      </c>
      <c r="I174" s="69" t="s">
        <v>2008</v>
      </c>
      <c r="J174" s="68" t="s">
        <v>2009</v>
      </c>
      <c r="K174" s="66" t="s">
        <v>4277</v>
      </c>
      <c r="L174" s="66" t="s">
        <v>498</v>
      </c>
      <c r="M174" s="66" t="s">
        <v>440</v>
      </c>
      <c r="N174" s="68" t="s">
        <v>1694</v>
      </c>
      <c r="O174" s="68" t="s">
        <v>1695</v>
      </c>
      <c r="P174" s="68" t="s">
        <v>2012</v>
      </c>
      <c r="Q174" s="66" t="s">
        <v>448</v>
      </c>
      <c r="R174" s="68" t="s">
        <v>999</v>
      </c>
      <c r="S174" s="68" t="s">
        <v>4448</v>
      </c>
    </row>
    <row r="175" spans="1:19">
      <c r="A175" s="66">
        <v>172</v>
      </c>
      <c r="B175" s="67" t="s">
        <v>2837</v>
      </c>
      <c r="C175" s="68" t="s">
        <v>2838</v>
      </c>
      <c r="D175" s="66" t="s">
        <v>2554</v>
      </c>
      <c r="E175" s="66" t="s">
        <v>2840</v>
      </c>
      <c r="F175" s="69" t="s">
        <v>3347</v>
      </c>
      <c r="G175" s="70" t="s">
        <v>4275</v>
      </c>
      <c r="H175" s="66" t="s">
        <v>3493</v>
      </c>
      <c r="I175" s="69" t="s">
        <v>2423</v>
      </c>
      <c r="J175" s="68" t="s">
        <v>2424</v>
      </c>
      <c r="K175" s="66" t="s">
        <v>4277</v>
      </c>
      <c r="L175" s="66" t="s">
        <v>738</v>
      </c>
      <c r="M175" s="66" t="s">
        <v>736</v>
      </c>
      <c r="N175" s="68" t="s">
        <v>1694</v>
      </c>
      <c r="O175" s="68" t="s">
        <v>1695</v>
      </c>
      <c r="P175" s="68" t="s">
        <v>2364</v>
      </c>
      <c r="Q175" s="66" t="s">
        <v>1566</v>
      </c>
      <c r="R175" s="68" t="s">
        <v>1280</v>
      </c>
      <c r="S175" s="68" t="s">
        <v>4446</v>
      </c>
    </row>
    <row r="176" spans="1:19">
      <c r="A176" s="59">
        <v>173</v>
      </c>
      <c r="B176" s="58" t="s">
        <v>2843</v>
      </c>
      <c r="C176" s="31" t="s">
        <v>2844</v>
      </c>
      <c r="D176" s="59" t="s">
        <v>2554</v>
      </c>
      <c r="E176" s="59" t="s">
        <v>2804</v>
      </c>
      <c r="F176" s="60" t="s">
        <v>3352</v>
      </c>
      <c r="G176" s="19" t="s">
        <v>4275</v>
      </c>
      <c r="H176" s="59" t="s">
        <v>3491</v>
      </c>
      <c r="I176" s="60" t="s">
        <v>1699</v>
      </c>
      <c r="J176" s="31" t="s">
        <v>1700</v>
      </c>
      <c r="K176" s="59" t="s">
        <v>4277</v>
      </c>
      <c r="L176" s="59" t="s">
        <v>442</v>
      </c>
      <c r="M176" s="59" t="s">
        <v>440</v>
      </c>
      <c r="N176" s="31" t="s">
        <v>1694</v>
      </c>
      <c r="O176" s="31" t="s">
        <v>1702</v>
      </c>
      <c r="P176" s="31" t="s">
        <v>1606</v>
      </c>
      <c r="Q176" s="59" t="s">
        <v>448</v>
      </c>
      <c r="R176" s="31" t="s">
        <v>999</v>
      </c>
      <c r="S176" s="31" t="s">
        <v>4449</v>
      </c>
    </row>
    <row r="177" spans="1:19">
      <c r="A177" s="59">
        <v>174</v>
      </c>
      <c r="B177" s="58" t="s">
        <v>2843</v>
      </c>
      <c r="C177" s="31" t="s">
        <v>2844</v>
      </c>
      <c r="D177" s="59" t="s">
        <v>2554</v>
      </c>
      <c r="E177" s="59" t="s">
        <v>2804</v>
      </c>
      <c r="F177" s="60" t="s">
        <v>3352</v>
      </c>
      <c r="G177" s="19" t="s">
        <v>4275</v>
      </c>
      <c r="H177" s="59" t="s">
        <v>3493</v>
      </c>
      <c r="I177" s="60" t="s">
        <v>2429</v>
      </c>
      <c r="J177" s="31" t="s">
        <v>2430</v>
      </c>
      <c r="K177" s="59" t="s">
        <v>4277</v>
      </c>
      <c r="L177" s="59" t="s">
        <v>738</v>
      </c>
      <c r="M177" s="59" t="s">
        <v>736</v>
      </c>
      <c r="N177" s="31" t="s">
        <v>1694</v>
      </c>
      <c r="O177" s="31" t="s">
        <v>1702</v>
      </c>
      <c r="P177" s="31" t="s">
        <v>2364</v>
      </c>
      <c r="Q177" s="59" t="s">
        <v>1566</v>
      </c>
      <c r="R177" s="31" t="s">
        <v>1280</v>
      </c>
      <c r="S177" s="31" t="s">
        <v>4450</v>
      </c>
    </row>
    <row r="178" spans="1:19">
      <c r="A178" s="66">
        <v>175</v>
      </c>
      <c r="B178" s="67" t="s">
        <v>2848</v>
      </c>
      <c r="C178" s="68" t="s">
        <v>2849</v>
      </c>
      <c r="D178" s="66" t="s">
        <v>2554</v>
      </c>
      <c r="E178" s="66" t="s">
        <v>2804</v>
      </c>
      <c r="F178" s="69" t="s">
        <v>3358</v>
      </c>
      <c r="G178" s="70" t="s">
        <v>4275</v>
      </c>
      <c r="H178" s="66" t="s">
        <v>3491</v>
      </c>
      <c r="I178" s="69" t="s">
        <v>1669</v>
      </c>
      <c r="J178" s="68" t="s">
        <v>1670</v>
      </c>
      <c r="K178" s="66" t="s">
        <v>4277</v>
      </c>
      <c r="L178" s="66" t="s">
        <v>442</v>
      </c>
      <c r="M178" s="66" t="s">
        <v>440</v>
      </c>
      <c r="N178" s="68" t="s">
        <v>1672</v>
      </c>
      <c r="O178" s="68" t="s">
        <v>1673</v>
      </c>
      <c r="P178" s="68" t="s">
        <v>1606</v>
      </c>
      <c r="Q178" s="66" t="s">
        <v>448</v>
      </c>
      <c r="R178" s="68" t="s">
        <v>999</v>
      </c>
      <c r="S178" s="68" t="s">
        <v>4451</v>
      </c>
    </row>
    <row r="179" spans="1:19">
      <c r="A179" s="66">
        <v>176</v>
      </c>
      <c r="B179" s="67" t="s">
        <v>2848</v>
      </c>
      <c r="C179" s="68" t="s">
        <v>2849</v>
      </c>
      <c r="D179" s="66" t="s">
        <v>2554</v>
      </c>
      <c r="E179" s="66" t="s">
        <v>2804</v>
      </c>
      <c r="F179" s="69" t="s">
        <v>3358</v>
      </c>
      <c r="G179" s="70" t="s">
        <v>4275</v>
      </c>
      <c r="H179" s="66" t="s">
        <v>3493</v>
      </c>
      <c r="I179" s="69" t="s">
        <v>2408</v>
      </c>
      <c r="J179" s="68" t="s">
        <v>2409</v>
      </c>
      <c r="K179" s="66" t="s">
        <v>4277</v>
      </c>
      <c r="L179" s="66" t="s">
        <v>738</v>
      </c>
      <c r="M179" s="66" t="s">
        <v>736</v>
      </c>
      <c r="N179" s="68" t="s">
        <v>1672</v>
      </c>
      <c r="O179" s="68" t="s">
        <v>1673</v>
      </c>
      <c r="P179" s="68" t="s">
        <v>2364</v>
      </c>
      <c r="Q179" s="66" t="s">
        <v>1566</v>
      </c>
      <c r="R179" s="68" t="s">
        <v>1280</v>
      </c>
      <c r="S179" s="68" t="s">
        <v>4452</v>
      </c>
    </row>
    <row r="180" spans="1:19">
      <c r="A180" s="59">
        <v>177</v>
      </c>
      <c r="B180" s="58" t="s">
        <v>2853</v>
      </c>
      <c r="C180" s="31" t="s">
        <v>2854</v>
      </c>
      <c r="D180" s="59" t="s">
        <v>2554</v>
      </c>
      <c r="E180" s="59" t="s">
        <v>2804</v>
      </c>
      <c r="F180" s="60" t="s">
        <v>3365</v>
      </c>
      <c r="G180" s="19" t="s">
        <v>4275</v>
      </c>
      <c r="H180" s="59" t="s">
        <v>3491</v>
      </c>
      <c r="I180" s="60" t="s">
        <v>1684</v>
      </c>
      <c r="J180" s="31" t="s">
        <v>1685</v>
      </c>
      <c r="K180" s="59" t="s">
        <v>4277</v>
      </c>
      <c r="L180" s="59" t="s">
        <v>442</v>
      </c>
      <c r="M180" s="59" t="s">
        <v>440</v>
      </c>
      <c r="N180" s="31" t="s">
        <v>1672</v>
      </c>
      <c r="O180" s="31" t="s">
        <v>1687</v>
      </c>
      <c r="P180" s="31" t="s">
        <v>1606</v>
      </c>
      <c r="Q180" s="59" t="s">
        <v>448</v>
      </c>
      <c r="R180" s="31" t="s">
        <v>999</v>
      </c>
      <c r="S180" s="31" t="s">
        <v>4453</v>
      </c>
    </row>
    <row r="181" spans="1:19">
      <c r="A181" s="59">
        <v>178</v>
      </c>
      <c r="B181" s="58" t="s">
        <v>2853</v>
      </c>
      <c r="C181" s="31" t="s">
        <v>2854</v>
      </c>
      <c r="D181" s="59" t="s">
        <v>2554</v>
      </c>
      <c r="E181" s="59" t="s">
        <v>2804</v>
      </c>
      <c r="F181" s="60" t="s">
        <v>3365</v>
      </c>
      <c r="G181" s="19" t="s">
        <v>4275</v>
      </c>
      <c r="H181" s="59" t="s">
        <v>3493</v>
      </c>
      <c r="I181" s="60" t="s">
        <v>2418</v>
      </c>
      <c r="J181" s="31" t="s">
        <v>2419</v>
      </c>
      <c r="K181" s="59" t="s">
        <v>4277</v>
      </c>
      <c r="L181" s="59" t="s">
        <v>738</v>
      </c>
      <c r="M181" s="59" t="s">
        <v>736</v>
      </c>
      <c r="N181" s="31" t="s">
        <v>1672</v>
      </c>
      <c r="O181" s="31" t="s">
        <v>1687</v>
      </c>
      <c r="P181" s="31" t="s">
        <v>2364</v>
      </c>
      <c r="Q181" s="59" t="s">
        <v>1566</v>
      </c>
      <c r="R181" s="31" t="s">
        <v>1280</v>
      </c>
      <c r="S181" s="31" t="s">
        <v>4454</v>
      </c>
    </row>
    <row r="182" spans="1:19">
      <c r="A182" s="66">
        <v>179</v>
      </c>
      <c r="B182" s="67" t="s">
        <v>2858</v>
      </c>
      <c r="C182" s="68" t="s">
        <v>2859</v>
      </c>
      <c r="D182" s="66" t="s">
        <v>2554</v>
      </c>
      <c r="E182" s="66" t="s">
        <v>2804</v>
      </c>
      <c r="F182" s="69" t="s">
        <v>3371</v>
      </c>
      <c r="G182" s="70" t="s">
        <v>4275</v>
      </c>
      <c r="H182" s="66" t="s">
        <v>3491</v>
      </c>
      <c r="I182" s="69" t="s">
        <v>1677</v>
      </c>
      <c r="J182" s="68" t="s">
        <v>1678</v>
      </c>
      <c r="K182" s="66" t="s">
        <v>4277</v>
      </c>
      <c r="L182" s="66" t="s">
        <v>442</v>
      </c>
      <c r="M182" s="66" t="s">
        <v>440</v>
      </c>
      <c r="N182" s="68" t="s">
        <v>1672</v>
      </c>
      <c r="O182" s="68" t="s">
        <v>1680</v>
      </c>
      <c r="P182" s="68" t="s">
        <v>1606</v>
      </c>
      <c r="Q182" s="66" t="s">
        <v>448</v>
      </c>
      <c r="R182" s="68" t="s">
        <v>999</v>
      </c>
      <c r="S182" s="68" t="s">
        <v>4455</v>
      </c>
    </row>
    <row r="183" spans="1:19">
      <c r="A183" s="66">
        <v>180</v>
      </c>
      <c r="B183" s="67" t="s">
        <v>2858</v>
      </c>
      <c r="C183" s="68" t="s">
        <v>2859</v>
      </c>
      <c r="D183" s="66" t="s">
        <v>2554</v>
      </c>
      <c r="E183" s="66" t="s">
        <v>2804</v>
      </c>
      <c r="F183" s="69" t="s">
        <v>3371</v>
      </c>
      <c r="G183" s="70" t="s">
        <v>4275</v>
      </c>
      <c r="H183" s="66" t="s">
        <v>3493</v>
      </c>
      <c r="I183" s="69" t="s">
        <v>2413</v>
      </c>
      <c r="J183" s="68" t="s">
        <v>2414</v>
      </c>
      <c r="K183" s="66" t="s">
        <v>4277</v>
      </c>
      <c r="L183" s="66" t="s">
        <v>738</v>
      </c>
      <c r="M183" s="66" t="s">
        <v>736</v>
      </c>
      <c r="N183" s="68" t="s">
        <v>1672</v>
      </c>
      <c r="O183" s="68" t="s">
        <v>1680</v>
      </c>
      <c r="P183" s="68" t="s">
        <v>2364</v>
      </c>
      <c r="Q183" s="66" t="s">
        <v>1566</v>
      </c>
      <c r="R183" s="68" t="s">
        <v>1280</v>
      </c>
      <c r="S183" s="68" t="s">
        <v>4456</v>
      </c>
    </row>
    <row r="184" spans="1:19">
      <c r="A184" s="59">
        <v>181</v>
      </c>
      <c r="B184" s="58" t="s">
        <v>2863</v>
      </c>
      <c r="C184" s="31" t="s">
        <v>2864</v>
      </c>
      <c r="D184" s="59" t="s">
        <v>2554</v>
      </c>
      <c r="E184" s="59" t="s">
        <v>2866</v>
      </c>
      <c r="F184" s="60" t="s">
        <v>3377</v>
      </c>
      <c r="G184" s="19" t="s">
        <v>4275</v>
      </c>
      <c r="H184" s="59" t="s">
        <v>3491</v>
      </c>
      <c r="I184" s="60" t="s">
        <v>1848</v>
      </c>
      <c r="J184" s="31" t="s">
        <v>1849</v>
      </c>
      <c r="K184" s="59" t="s">
        <v>4277</v>
      </c>
      <c r="L184" s="59" t="s">
        <v>442</v>
      </c>
      <c r="M184" s="59" t="s">
        <v>440</v>
      </c>
      <c r="N184" s="31" t="s">
        <v>1836</v>
      </c>
      <c r="O184" s="31" t="s">
        <v>1851</v>
      </c>
      <c r="P184" s="31" t="s">
        <v>1606</v>
      </c>
      <c r="Q184" s="59" t="s">
        <v>448</v>
      </c>
      <c r="R184" s="31" t="s">
        <v>999</v>
      </c>
      <c r="S184" s="31" t="s">
        <v>4457</v>
      </c>
    </row>
    <row r="185" spans="1:19">
      <c r="A185" s="59">
        <v>182</v>
      </c>
      <c r="B185" s="58" t="s">
        <v>2863</v>
      </c>
      <c r="C185" s="31" t="s">
        <v>2864</v>
      </c>
      <c r="D185" s="59" t="s">
        <v>2554</v>
      </c>
      <c r="E185" s="59" t="s">
        <v>2866</v>
      </c>
      <c r="F185" s="60" t="s">
        <v>3377</v>
      </c>
      <c r="G185" s="19" t="s">
        <v>4275</v>
      </c>
      <c r="H185" s="59" t="s">
        <v>3493</v>
      </c>
      <c r="I185" s="60" t="s">
        <v>2239</v>
      </c>
      <c r="J185" s="31" t="s">
        <v>2240</v>
      </c>
      <c r="K185" s="59" t="s">
        <v>4277</v>
      </c>
      <c r="L185" s="59" t="s">
        <v>712</v>
      </c>
      <c r="M185" s="59" t="s">
        <v>669</v>
      </c>
      <c r="N185" s="31" t="s">
        <v>1836</v>
      </c>
      <c r="O185" s="31" t="s">
        <v>1851</v>
      </c>
      <c r="P185" s="31" t="s">
        <v>1564</v>
      </c>
      <c r="Q185" s="59" t="s">
        <v>1566</v>
      </c>
      <c r="R185" s="31" t="s">
        <v>1512</v>
      </c>
      <c r="S185" s="31" t="s">
        <v>4458</v>
      </c>
    </row>
    <row r="186" spans="1:19">
      <c r="A186" s="66">
        <v>183</v>
      </c>
      <c r="B186" s="67" t="s">
        <v>2869</v>
      </c>
      <c r="C186" s="68" t="s">
        <v>2870</v>
      </c>
      <c r="D186" s="66" t="s">
        <v>2554</v>
      </c>
      <c r="E186" s="66" t="s">
        <v>2866</v>
      </c>
      <c r="F186" s="69" t="s">
        <v>3384</v>
      </c>
      <c r="G186" s="70" t="s">
        <v>4275</v>
      </c>
      <c r="H186" s="66" t="s">
        <v>3491</v>
      </c>
      <c r="I186" s="69" t="s">
        <v>1841</v>
      </c>
      <c r="J186" s="68" t="s">
        <v>1842</v>
      </c>
      <c r="K186" s="66" t="s">
        <v>4277</v>
      </c>
      <c r="L186" s="66" t="s">
        <v>442</v>
      </c>
      <c r="M186" s="66" t="s">
        <v>440</v>
      </c>
      <c r="N186" s="68" t="s">
        <v>1836</v>
      </c>
      <c r="O186" s="68" t="s">
        <v>1844</v>
      </c>
      <c r="P186" s="68" t="s">
        <v>1606</v>
      </c>
      <c r="Q186" s="66" t="s">
        <v>448</v>
      </c>
      <c r="R186" s="68" t="s">
        <v>999</v>
      </c>
      <c r="S186" s="68" t="s">
        <v>4459</v>
      </c>
    </row>
    <row r="187" spans="1:19">
      <c r="A187" s="66">
        <v>184</v>
      </c>
      <c r="B187" s="67" t="s">
        <v>2869</v>
      </c>
      <c r="C187" s="68" t="s">
        <v>2870</v>
      </c>
      <c r="D187" s="66" t="s">
        <v>2554</v>
      </c>
      <c r="E187" s="66" t="s">
        <v>2866</v>
      </c>
      <c r="F187" s="69" t="s">
        <v>3384</v>
      </c>
      <c r="G187" s="70" t="s">
        <v>4275</v>
      </c>
      <c r="H187" s="66" t="s">
        <v>3493</v>
      </c>
      <c r="I187" s="69" t="s">
        <v>2234</v>
      </c>
      <c r="J187" s="68" t="s">
        <v>2235</v>
      </c>
      <c r="K187" s="66" t="s">
        <v>4277</v>
      </c>
      <c r="L187" s="66" t="s">
        <v>712</v>
      </c>
      <c r="M187" s="66" t="s">
        <v>669</v>
      </c>
      <c r="N187" s="68" t="s">
        <v>1836</v>
      </c>
      <c r="O187" s="68" t="s">
        <v>1844</v>
      </c>
      <c r="P187" s="68" t="s">
        <v>1564</v>
      </c>
      <c r="Q187" s="66" t="s">
        <v>1566</v>
      </c>
      <c r="R187" s="68" t="s">
        <v>1512</v>
      </c>
      <c r="S187" s="68" t="s">
        <v>4460</v>
      </c>
    </row>
    <row r="188" spans="1:19">
      <c r="A188" s="59">
        <v>185</v>
      </c>
      <c r="B188" s="58" t="s">
        <v>2874</v>
      </c>
      <c r="C188" s="31" t="s">
        <v>2875</v>
      </c>
      <c r="D188" s="59" t="s">
        <v>2554</v>
      </c>
      <c r="E188" s="59" t="s">
        <v>2866</v>
      </c>
      <c r="F188" s="60" t="s">
        <v>3390</v>
      </c>
      <c r="G188" s="19" t="s">
        <v>4275</v>
      </c>
      <c r="H188" s="59" t="s">
        <v>3491</v>
      </c>
      <c r="I188" s="60" t="s">
        <v>1833</v>
      </c>
      <c r="J188" s="31" t="s">
        <v>1834</v>
      </c>
      <c r="K188" s="59" t="s">
        <v>4277</v>
      </c>
      <c r="L188" s="59" t="s">
        <v>442</v>
      </c>
      <c r="M188" s="59" t="s">
        <v>440</v>
      </c>
      <c r="N188" s="31" t="s">
        <v>1836</v>
      </c>
      <c r="O188" s="31" t="s">
        <v>1837</v>
      </c>
      <c r="P188" s="31" t="s">
        <v>1606</v>
      </c>
      <c r="Q188" s="59" t="s">
        <v>448</v>
      </c>
      <c r="R188" s="31" t="s">
        <v>999</v>
      </c>
      <c r="S188" s="31" t="s">
        <v>4461</v>
      </c>
    </row>
    <row r="189" spans="1:19">
      <c r="A189" s="59">
        <v>186</v>
      </c>
      <c r="B189" s="58" t="s">
        <v>2874</v>
      </c>
      <c r="C189" s="31" t="s">
        <v>2875</v>
      </c>
      <c r="D189" s="59" t="s">
        <v>2554</v>
      </c>
      <c r="E189" s="59" t="s">
        <v>2866</v>
      </c>
      <c r="F189" s="60" t="s">
        <v>3390</v>
      </c>
      <c r="G189" s="19" t="s">
        <v>4275</v>
      </c>
      <c r="H189" s="59" t="s">
        <v>3493</v>
      </c>
      <c r="I189" s="60" t="s">
        <v>2229</v>
      </c>
      <c r="J189" s="31" t="s">
        <v>2230</v>
      </c>
      <c r="K189" s="59" t="s">
        <v>4277</v>
      </c>
      <c r="L189" s="59" t="s">
        <v>712</v>
      </c>
      <c r="M189" s="59" t="s">
        <v>669</v>
      </c>
      <c r="N189" s="31" t="s">
        <v>1836</v>
      </c>
      <c r="O189" s="31" t="s">
        <v>1837</v>
      </c>
      <c r="P189" s="31" t="s">
        <v>1564</v>
      </c>
      <c r="Q189" s="59" t="s">
        <v>1566</v>
      </c>
      <c r="R189" s="31" t="s">
        <v>1512</v>
      </c>
      <c r="S189" s="31" t="s">
        <v>4462</v>
      </c>
    </row>
    <row r="190" spans="1:19">
      <c r="A190" s="66">
        <v>187</v>
      </c>
      <c r="B190" s="67" t="s">
        <v>2879</v>
      </c>
      <c r="C190" s="68" t="s">
        <v>2880</v>
      </c>
      <c r="D190" s="66" t="s">
        <v>2554</v>
      </c>
      <c r="E190" s="66" t="s">
        <v>2866</v>
      </c>
      <c r="F190" s="69" t="s">
        <v>3396</v>
      </c>
      <c r="G190" s="70" t="s">
        <v>4275</v>
      </c>
      <c r="H190" s="66" t="s">
        <v>3491</v>
      </c>
      <c r="I190" s="69" t="s">
        <v>1855</v>
      </c>
      <c r="J190" s="68" t="s">
        <v>1856</v>
      </c>
      <c r="K190" s="66" t="s">
        <v>4277</v>
      </c>
      <c r="L190" s="66" t="s">
        <v>442</v>
      </c>
      <c r="M190" s="66" t="s">
        <v>440</v>
      </c>
      <c r="N190" s="68" t="s">
        <v>1836</v>
      </c>
      <c r="O190" s="68" t="s">
        <v>1702</v>
      </c>
      <c r="P190" s="68" t="s">
        <v>1606</v>
      </c>
      <c r="Q190" s="66" t="s">
        <v>448</v>
      </c>
      <c r="R190" s="68" t="s">
        <v>999</v>
      </c>
      <c r="S190" s="68" t="s">
        <v>4463</v>
      </c>
    </row>
    <row r="191" spans="1:19">
      <c r="A191" s="66">
        <v>188</v>
      </c>
      <c r="B191" s="67" t="s">
        <v>2879</v>
      </c>
      <c r="C191" s="68" t="s">
        <v>2880</v>
      </c>
      <c r="D191" s="66" t="s">
        <v>2554</v>
      </c>
      <c r="E191" s="66" t="s">
        <v>2866</v>
      </c>
      <c r="F191" s="69" t="s">
        <v>3396</v>
      </c>
      <c r="G191" s="70" t="s">
        <v>4275</v>
      </c>
      <c r="H191" s="66" t="s">
        <v>3493</v>
      </c>
      <c r="I191" s="69" t="s">
        <v>2244</v>
      </c>
      <c r="J191" s="68" t="s">
        <v>2245</v>
      </c>
      <c r="K191" s="66" t="s">
        <v>4277</v>
      </c>
      <c r="L191" s="66" t="s">
        <v>712</v>
      </c>
      <c r="M191" s="66" t="s">
        <v>669</v>
      </c>
      <c r="N191" s="68" t="s">
        <v>1836</v>
      </c>
      <c r="O191" s="68" t="s">
        <v>1702</v>
      </c>
      <c r="P191" s="68" t="s">
        <v>1564</v>
      </c>
      <c r="Q191" s="66" t="s">
        <v>1566</v>
      </c>
      <c r="R191" s="68" t="s">
        <v>1512</v>
      </c>
      <c r="S191" s="68" t="s">
        <v>4464</v>
      </c>
    </row>
    <row r="192" spans="1:19">
      <c r="A192" s="59">
        <v>189</v>
      </c>
      <c r="B192" s="58" t="s">
        <v>2884</v>
      </c>
      <c r="C192" s="31" t="s">
        <v>2885</v>
      </c>
      <c r="D192" s="59" t="s">
        <v>2554</v>
      </c>
      <c r="E192" s="59" t="s">
        <v>2804</v>
      </c>
      <c r="F192" s="60" t="s">
        <v>3402</v>
      </c>
      <c r="G192" s="19" t="s">
        <v>4275</v>
      </c>
      <c r="H192" s="59" t="s">
        <v>3491</v>
      </c>
      <c r="I192" s="60" t="s">
        <v>1819</v>
      </c>
      <c r="J192" s="31" t="s">
        <v>1820</v>
      </c>
      <c r="K192" s="59" t="s">
        <v>4277</v>
      </c>
      <c r="L192" s="59" t="s">
        <v>442</v>
      </c>
      <c r="M192" s="59" t="s">
        <v>440</v>
      </c>
      <c r="N192" s="31" t="s">
        <v>1822</v>
      </c>
      <c r="O192" s="31" t="s">
        <v>1823</v>
      </c>
      <c r="P192" s="31" t="s">
        <v>1606</v>
      </c>
      <c r="Q192" s="59" t="s">
        <v>448</v>
      </c>
      <c r="R192" s="31" t="s">
        <v>999</v>
      </c>
      <c r="S192" s="31" t="s">
        <v>4465</v>
      </c>
    </row>
    <row r="193" spans="1:19">
      <c r="A193" s="59">
        <v>190</v>
      </c>
      <c r="B193" s="58" t="s">
        <v>2884</v>
      </c>
      <c r="C193" s="31" t="s">
        <v>2885</v>
      </c>
      <c r="D193" s="59" t="s">
        <v>2554</v>
      </c>
      <c r="E193" s="59" t="s">
        <v>2804</v>
      </c>
      <c r="F193" s="60" t="s">
        <v>3402</v>
      </c>
      <c r="G193" s="19" t="s">
        <v>4275</v>
      </c>
      <c r="H193" s="59" t="s">
        <v>3493</v>
      </c>
      <c r="I193" s="60" t="s">
        <v>2449</v>
      </c>
      <c r="J193" s="31" t="s">
        <v>2450</v>
      </c>
      <c r="K193" s="59" t="s">
        <v>4277</v>
      </c>
      <c r="L193" s="59" t="s">
        <v>738</v>
      </c>
      <c r="M193" s="59" t="s">
        <v>736</v>
      </c>
      <c r="N193" s="31" t="s">
        <v>1822</v>
      </c>
      <c r="O193" s="31" t="s">
        <v>1823</v>
      </c>
      <c r="P193" s="31" t="s">
        <v>2364</v>
      </c>
      <c r="Q193" s="59" t="s">
        <v>1566</v>
      </c>
      <c r="R193" s="31" t="s">
        <v>1280</v>
      </c>
      <c r="S193" s="31" t="s">
        <v>4466</v>
      </c>
    </row>
    <row r="194" spans="1:19">
      <c r="A194" s="66">
        <v>191</v>
      </c>
      <c r="B194" s="67" t="s">
        <v>2889</v>
      </c>
      <c r="C194" s="68" t="s">
        <v>2890</v>
      </c>
      <c r="D194" s="66" t="s">
        <v>2554</v>
      </c>
      <c r="E194" s="66" t="s">
        <v>2804</v>
      </c>
      <c r="F194" s="69" t="s">
        <v>3409</v>
      </c>
      <c r="G194" s="70" t="s">
        <v>4275</v>
      </c>
      <c r="H194" s="66" t="s">
        <v>3491</v>
      </c>
      <c r="I194" s="69" t="s">
        <v>1827</v>
      </c>
      <c r="J194" s="68" t="s">
        <v>1828</v>
      </c>
      <c r="K194" s="66" t="s">
        <v>4277</v>
      </c>
      <c r="L194" s="66" t="s">
        <v>442</v>
      </c>
      <c r="M194" s="66" t="s">
        <v>440</v>
      </c>
      <c r="N194" s="68" t="s">
        <v>1822</v>
      </c>
      <c r="O194" s="68" t="s">
        <v>1702</v>
      </c>
      <c r="P194" s="68" t="s">
        <v>1606</v>
      </c>
      <c r="Q194" s="66" t="s">
        <v>448</v>
      </c>
      <c r="R194" s="68" t="s">
        <v>999</v>
      </c>
      <c r="S194" s="68" t="s">
        <v>4467</v>
      </c>
    </row>
    <row r="195" spans="1:19">
      <c r="A195" s="66">
        <v>192</v>
      </c>
      <c r="B195" s="67" t="s">
        <v>2889</v>
      </c>
      <c r="C195" s="68" t="s">
        <v>2890</v>
      </c>
      <c r="D195" s="66" t="s">
        <v>2554</v>
      </c>
      <c r="E195" s="66" t="s">
        <v>2804</v>
      </c>
      <c r="F195" s="69" t="s">
        <v>3409</v>
      </c>
      <c r="G195" s="70" t="s">
        <v>4275</v>
      </c>
      <c r="H195" s="66" t="s">
        <v>3493</v>
      </c>
      <c r="I195" s="69" t="s">
        <v>2454</v>
      </c>
      <c r="J195" s="68" t="s">
        <v>2455</v>
      </c>
      <c r="K195" s="66" t="s">
        <v>4277</v>
      </c>
      <c r="L195" s="66" t="s">
        <v>738</v>
      </c>
      <c r="M195" s="66" t="s">
        <v>736</v>
      </c>
      <c r="N195" s="68" t="s">
        <v>1822</v>
      </c>
      <c r="O195" s="68" t="s">
        <v>1702</v>
      </c>
      <c r="P195" s="68" t="s">
        <v>2364</v>
      </c>
      <c r="Q195" s="66" t="s">
        <v>1566</v>
      </c>
      <c r="R195" s="68" t="s">
        <v>1280</v>
      </c>
      <c r="S195" s="68" t="s">
        <v>4468</v>
      </c>
    </row>
    <row r="196" spans="1:19">
      <c r="A196" s="59">
        <v>193</v>
      </c>
      <c r="B196" s="58" t="s">
        <v>2894</v>
      </c>
      <c r="C196" s="31" t="s">
        <v>2895</v>
      </c>
      <c r="D196" s="59" t="s">
        <v>2554</v>
      </c>
      <c r="E196" s="59" t="s">
        <v>2804</v>
      </c>
      <c r="F196" s="60" t="s">
        <v>3415</v>
      </c>
      <c r="G196" s="19" t="s">
        <v>4275</v>
      </c>
      <c r="H196" s="59" t="s">
        <v>3491</v>
      </c>
      <c r="I196" s="60" t="s">
        <v>1618</v>
      </c>
      <c r="J196" s="31" t="s">
        <v>1619</v>
      </c>
      <c r="K196" s="59" t="s">
        <v>4277</v>
      </c>
      <c r="L196" s="59" t="s">
        <v>442</v>
      </c>
      <c r="M196" s="59" t="s">
        <v>440</v>
      </c>
      <c r="N196" s="31" t="s">
        <v>1602</v>
      </c>
      <c r="O196" s="31" t="s">
        <v>1621</v>
      </c>
      <c r="P196" s="31" t="s">
        <v>1606</v>
      </c>
      <c r="Q196" s="59" t="s">
        <v>448</v>
      </c>
      <c r="R196" s="31" t="s">
        <v>999</v>
      </c>
      <c r="S196" s="31" t="s">
        <v>4469</v>
      </c>
    </row>
    <row r="197" spans="1:19">
      <c r="A197" s="59">
        <v>194</v>
      </c>
      <c r="B197" s="58" t="s">
        <v>2894</v>
      </c>
      <c r="C197" s="31" t="s">
        <v>2895</v>
      </c>
      <c r="D197" s="59" t="s">
        <v>2554</v>
      </c>
      <c r="E197" s="59" t="s">
        <v>2804</v>
      </c>
      <c r="F197" s="60" t="s">
        <v>3415</v>
      </c>
      <c r="G197" s="19" t="s">
        <v>4275</v>
      </c>
      <c r="H197" s="59" t="s">
        <v>3493</v>
      </c>
      <c r="I197" s="60" t="s">
        <v>2373</v>
      </c>
      <c r="J197" s="31" t="s">
        <v>2374</v>
      </c>
      <c r="K197" s="59" t="s">
        <v>4277</v>
      </c>
      <c r="L197" s="59" t="s">
        <v>738</v>
      </c>
      <c r="M197" s="59" t="s">
        <v>736</v>
      </c>
      <c r="N197" s="31" t="s">
        <v>1602</v>
      </c>
      <c r="O197" s="31" t="s">
        <v>1621</v>
      </c>
      <c r="P197" s="31" t="s">
        <v>2364</v>
      </c>
      <c r="Q197" s="59" t="s">
        <v>1566</v>
      </c>
      <c r="R197" s="31" t="s">
        <v>1280</v>
      </c>
      <c r="S197" s="31" t="s">
        <v>4470</v>
      </c>
    </row>
    <row r="198" spans="1:19">
      <c r="A198" s="66">
        <v>195</v>
      </c>
      <c r="B198" s="67" t="s">
        <v>2899</v>
      </c>
      <c r="C198" s="68" t="s">
        <v>2900</v>
      </c>
      <c r="D198" s="66" t="s">
        <v>2554</v>
      </c>
      <c r="E198" s="66" t="s">
        <v>2804</v>
      </c>
      <c r="F198" s="69" t="s">
        <v>3422</v>
      </c>
      <c r="G198" s="70" t="s">
        <v>4275</v>
      </c>
      <c r="H198" s="66" t="s">
        <v>3491</v>
      </c>
      <c r="I198" s="69" t="s">
        <v>1599</v>
      </c>
      <c r="J198" s="68" t="s">
        <v>1600</v>
      </c>
      <c r="K198" s="66" t="s">
        <v>4277</v>
      </c>
      <c r="L198" s="66" t="s">
        <v>442</v>
      </c>
      <c r="M198" s="66" t="s">
        <v>440</v>
      </c>
      <c r="N198" s="68" t="s">
        <v>1602</v>
      </c>
      <c r="O198" s="68" t="s">
        <v>1603</v>
      </c>
      <c r="P198" s="68" t="s">
        <v>1606</v>
      </c>
      <c r="Q198" s="66" t="s">
        <v>448</v>
      </c>
      <c r="R198" s="68" t="s">
        <v>999</v>
      </c>
      <c r="S198" s="68" t="s">
        <v>4471</v>
      </c>
    </row>
    <row r="199" spans="1:19">
      <c r="A199" s="66">
        <v>196</v>
      </c>
      <c r="B199" s="67" t="s">
        <v>2899</v>
      </c>
      <c r="C199" s="68" t="s">
        <v>2900</v>
      </c>
      <c r="D199" s="66" t="s">
        <v>2554</v>
      </c>
      <c r="E199" s="66" t="s">
        <v>2804</v>
      </c>
      <c r="F199" s="69" t="s">
        <v>3422</v>
      </c>
      <c r="G199" s="70" t="s">
        <v>4275</v>
      </c>
      <c r="H199" s="66" t="s">
        <v>3493</v>
      </c>
      <c r="I199" s="69" t="s">
        <v>2360</v>
      </c>
      <c r="J199" s="68" t="s">
        <v>2361</v>
      </c>
      <c r="K199" s="66" t="s">
        <v>4277</v>
      </c>
      <c r="L199" s="66" t="s">
        <v>738</v>
      </c>
      <c r="M199" s="66" t="s">
        <v>736</v>
      </c>
      <c r="N199" s="68" t="s">
        <v>1602</v>
      </c>
      <c r="O199" s="68" t="s">
        <v>1603</v>
      </c>
      <c r="P199" s="68" t="s">
        <v>2364</v>
      </c>
      <c r="Q199" s="66" t="s">
        <v>1566</v>
      </c>
      <c r="R199" s="68" t="s">
        <v>1280</v>
      </c>
      <c r="S199" s="68" t="s">
        <v>4472</v>
      </c>
    </row>
    <row r="200" spans="1:19">
      <c r="A200" s="59">
        <v>197</v>
      </c>
      <c r="B200" s="58" t="s">
        <v>2904</v>
      </c>
      <c r="C200" s="31" t="s">
        <v>2905</v>
      </c>
      <c r="D200" s="59" t="s">
        <v>2554</v>
      </c>
      <c r="E200" s="59" t="s">
        <v>2804</v>
      </c>
      <c r="F200" s="60" t="s">
        <v>3427</v>
      </c>
      <c r="G200" s="19" t="s">
        <v>4275</v>
      </c>
      <c r="H200" s="59" t="s">
        <v>3491</v>
      </c>
      <c r="I200" s="60" t="s">
        <v>1611</v>
      </c>
      <c r="J200" s="31" t="s">
        <v>1612</v>
      </c>
      <c r="K200" s="59" t="s">
        <v>4277</v>
      </c>
      <c r="L200" s="59" t="s">
        <v>442</v>
      </c>
      <c r="M200" s="59" t="s">
        <v>440</v>
      </c>
      <c r="N200" s="31" t="s">
        <v>1602</v>
      </c>
      <c r="O200" s="31" t="s">
        <v>1614</v>
      </c>
      <c r="P200" s="31" t="s">
        <v>1606</v>
      </c>
      <c r="Q200" s="59" t="s">
        <v>448</v>
      </c>
      <c r="R200" s="31" t="s">
        <v>999</v>
      </c>
      <c r="S200" s="31" t="s">
        <v>4473</v>
      </c>
    </row>
    <row r="201" spans="1:19">
      <c r="A201" s="59">
        <v>198</v>
      </c>
      <c r="B201" s="58" t="s">
        <v>2904</v>
      </c>
      <c r="C201" s="31" t="s">
        <v>2905</v>
      </c>
      <c r="D201" s="59" t="s">
        <v>2554</v>
      </c>
      <c r="E201" s="59" t="s">
        <v>2804</v>
      </c>
      <c r="F201" s="60" t="s">
        <v>3427</v>
      </c>
      <c r="G201" s="19" t="s">
        <v>4275</v>
      </c>
      <c r="H201" s="59" t="s">
        <v>3493</v>
      </c>
      <c r="I201" s="60" t="s">
        <v>2368</v>
      </c>
      <c r="J201" s="31" t="s">
        <v>2369</v>
      </c>
      <c r="K201" s="59" t="s">
        <v>4277</v>
      </c>
      <c r="L201" s="59" t="s">
        <v>738</v>
      </c>
      <c r="M201" s="59" t="s">
        <v>736</v>
      </c>
      <c r="N201" s="31" t="s">
        <v>1602</v>
      </c>
      <c r="O201" s="31" t="s">
        <v>1614</v>
      </c>
      <c r="P201" s="31" t="s">
        <v>2364</v>
      </c>
      <c r="Q201" s="59" t="s">
        <v>1566</v>
      </c>
      <c r="R201" s="31" t="s">
        <v>1280</v>
      </c>
      <c r="S201" s="31" t="s">
        <v>4474</v>
      </c>
    </row>
    <row r="202" spans="1:19">
      <c r="A202" s="66">
        <v>199</v>
      </c>
      <c r="B202" s="67" t="s">
        <v>2909</v>
      </c>
      <c r="C202" s="68" t="s">
        <v>2910</v>
      </c>
      <c r="D202" s="66" t="s">
        <v>2554</v>
      </c>
      <c r="E202" s="66" t="s">
        <v>2804</v>
      </c>
      <c r="F202" s="69" t="s">
        <v>3433</v>
      </c>
      <c r="G202" s="70" t="s">
        <v>4275</v>
      </c>
      <c r="H202" s="66" t="s">
        <v>3491</v>
      </c>
      <c r="I202" s="69" t="s">
        <v>1633</v>
      </c>
      <c r="J202" s="68" t="s">
        <v>1634</v>
      </c>
      <c r="K202" s="66" t="s">
        <v>4277</v>
      </c>
      <c r="L202" s="66" t="s">
        <v>442</v>
      </c>
      <c r="M202" s="66" t="s">
        <v>440</v>
      </c>
      <c r="N202" s="68" t="s">
        <v>1628</v>
      </c>
      <c r="O202" s="68" t="s">
        <v>1636</v>
      </c>
      <c r="P202" s="68" t="s">
        <v>1606</v>
      </c>
      <c r="Q202" s="66" t="s">
        <v>448</v>
      </c>
      <c r="R202" s="68" t="s">
        <v>999</v>
      </c>
      <c r="S202" s="68" t="s">
        <v>4475</v>
      </c>
    </row>
    <row r="203" spans="1:19">
      <c r="A203" s="66">
        <v>200</v>
      </c>
      <c r="B203" s="67" t="s">
        <v>2909</v>
      </c>
      <c r="C203" s="68" t="s">
        <v>2910</v>
      </c>
      <c r="D203" s="66" t="s">
        <v>2554</v>
      </c>
      <c r="E203" s="66" t="s">
        <v>2804</v>
      </c>
      <c r="F203" s="69" t="s">
        <v>3433</v>
      </c>
      <c r="G203" s="70" t="s">
        <v>4275</v>
      </c>
      <c r="H203" s="66" t="s">
        <v>3493</v>
      </c>
      <c r="I203" s="69" t="s">
        <v>2383</v>
      </c>
      <c r="J203" s="68" t="s">
        <v>2384</v>
      </c>
      <c r="K203" s="66" t="s">
        <v>4277</v>
      </c>
      <c r="L203" s="66" t="s">
        <v>738</v>
      </c>
      <c r="M203" s="66" t="s">
        <v>736</v>
      </c>
      <c r="N203" s="68" t="s">
        <v>1628</v>
      </c>
      <c r="O203" s="68" t="s">
        <v>1636</v>
      </c>
      <c r="P203" s="68" t="s">
        <v>2364</v>
      </c>
      <c r="Q203" s="66" t="s">
        <v>1566</v>
      </c>
      <c r="R203" s="68" t="s">
        <v>1280</v>
      </c>
      <c r="S203" s="68" t="s">
        <v>4476</v>
      </c>
    </row>
    <row r="204" spans="1:19">
      <c r="A204" s="59">
        <v>201</v>
      </c>
      <c r="B204" s="58" t="s">
        <v>2914</v>
      </c>
      <c r="C204" s="31" t="s">
        <v>2915</v>
      </c>
      <c r="D204" s="59" t="s">
        <v>2554</v>
      </c>
      <c r="E204" s="59" t="s">
        <v>2804</v>
      </c>
      <c r="F204" s="60" t="s">
        <v>3440</v>
      </c>
      <c r="G204" s="19" t="s">
        <v>4275</v>
      </c>
      <c r="H204" s="59" t="s">
        <v>3491</v>
      </c>
      <c r="I204" s="60" t="s">
        <v>1647</v>
      </c>
      <c r="J204" s="31" t="s">
        <v>1648</v>
      </c>
      <c r="K204" s="59" t="s">
        <v>4277</v>
      </c>
      <c r="L204" s="59" t="s">
        <v>442</v>
      </c>
      <c r="M204" s="59" t="s">
        <v>440</v>
      </c>
      <c r="N204" s="31" t="s">
        <v>1628</v>
      </c>
      <c r="O204" s="31" t="s">
        <v>1650</v>
      </c>
      <c r="P204" s="31" t="s">
        <v>1606</v>
      </c>
      <c r="Q204" s="59" t="s">
        <v>448</v>
      </c>
      <c r="R204" s="31" t="s">
        <v>999</v>
      </c>
      <c r="S204" s="31" t="s">
        <v>4477</v>
      </c>
    </row>
    <row r="205" spans="1:19">
      <c r="A205" s="59">
        <v>202</v>
      </c>
      <c r="B205" s="58" t="s">
        <v>2914</v>
      </c>
      <c r="C205" s="31" t="s">
        <v>2915</v>
      </c>
      <c r="D205" s="59" t="s">
        <v>2554</v>
      </c>
      <c r="E205" s="59" t="s">
        <v>2804</v>
      </c>
      <c r="F205" s="60" t="s">
        <v>3440</v>
      </c>
      <c r="G205" s="19" t="s">
        <v>4275</v>
      </c>
      <c r="H205" s="59" t="s">
        <v>3493</v>
      </c>
      <c r="I205" s="60" t="s">
        <v>2393</v>
      </c>
      <c r="J205" s="31" t="s">
        <v>2394</v>
      </c>
      <c r="K205" s="59" t="s">
        <v>4277</v>
      </c>
      <c r="L205" s="59" t="s">
        <v>738</v>
      </c>
      <c r="M205" s="59" t="s">
        <v>736</v>
      </c>
      <c r="N205" s="31" t="s">
        <v>1628</v>
      </c>
      <c r="O205" s="31" t="s">
        <v>1650</v>
      </c>
      <c r="P205" s="31" t="s">
        <v>2364</v>
      </c>
      <c r="Q205" s="59" t="s">
        <v>1566</v>
      </c>
      <c r="R205" s="31" t="s">
        <v>1280</v>
      </c>
      <c r="S205" s="31" t="s">
        <v>4478</v>
      </c>
    </row>
    <row r="206" spans="1:19">
      <c r="A206" s="66">
        <v>203</v>
      </c>
      <c r="B206" s="67" t="s">
        <v>2919</v>
      </c>
      <c r="C206" s="68" t="s">
        <v>2920</v>
      </c>
      <c r="D206" s="66" t="s">
        <v>2554</v>
      </c>
      <c r="E206" s="66" t="s">
        <v>2804</v>
      </c>
      <c r="F206" s="69" t="s">
        <v>3446</v>
      </c>
      <c r="G206" s="70" t="s">
        <v>4275</v>
      </c>
      <c r="H206" s="66" t="s">
        <v>3491</v>
      </c>
      <c r="I206" s="69" t="s">
        <v>1625</v>
      </c>
      <c r="J206" s="68" t="s">
        <v>1626</v>
      </c>
      <c r="K206" s="66" t="s">
        <v>4277</v>
      </c>
      <c r="L206" s="66" t="s">
        <v>442</v>
      </c>
      <c r="M206" s="66" t="s">
        <v>440</v>
      </c>
      <c r="N206" s="68" t="s">
        <v>1628</v>
      </c>
      <c r="O206" s="68" t="s">
        <v>1629</v>
      </c>
      <c r="P206" s="68" t="s">
        <v>1606</v>
      </c>
      <c r="Q206" s="66" t="s">
        <v>448</v>
      </c>
      <c r="R206" s="68" t="s">
        <v>999</v>
      </c>
      <c r="S206" s="68" t="s">
        <v>4479</v>
      </c>
    </row>
    <row r="207" spans="1:19">
      <c r="A207" s="66">
        <v>204</v>
      </c>
      <c r="B207" s="67" t="s">
        <v>2919</v>
      </c>
      <c r="C207" s="68" t="s">
        <v>2920</v>
      </c>
      <c r="D207" s="66" t="s">
        <v>2554</v>
      </c>
      <c r="E207" s="66" t="s">
        <v>2804</v>
      </c>
      <c r="F207" s="69" t="s">
        <v>3446</v>
      </c>
      <c r="G207" s="70" t="s">
        <v>4275</v>
      </c>
      <c r="H207" s="66" t="s">
        <v>3493</v>
      </c>
      <c r="I207" s="69" t="s">
        <v>2378</v>
      </c>
      <c r="J207" s="68" t="s">
        <v>2379</v>
      </c>
      <c r="K207" s="66" t="s">
        <v>4277</v>
      </c>
      <c r="L207" s="66" t="s">
        <v>738</v>
      </c>
      <c r="M207" s="66" t="s">
        <v>736</v>
      </c>
      <c r="N207" s="68" t="s">
        <v>1628</v>
      </c>
      <c r="O207" s="68" t="s">
        <v>1629</v>
      </c>
      <c r="P207" s="68" t="s">
        <v>2364</v>
      </c>
      <c r="Q207" s="66" t="s">
        <v>1566</v>
      </c>
      <c r="R207" s="68" t="s">
        <v>1280</v>
      </c>
      <c r="S207" s="68" t="s">
        <v>4480</v>
      </c>
    </row>
    <row r="208" spans="1:19">
      <c r="A208" s="59">
        <v>205</v>
      </c>
      <c r="B208" s="58" t="s">
        <v>2924</v>
      </c>
      <c r="C208" s="31" t="s">
        <v>2925</v>
      </c>
      <c r="D208" s="59" t="s">
        <v>2554</v>
      </c>
      <c r="E208" s="59" t="s">
        <v>2804</v>
      </c>
      <c r="F208" s="60" t="s">
        <v>3452</v>
      </c>
      <c r="G208" s="19" t="s">
        <v>4275</v>
      </c>
      <c r="H208" s="59" t="s">
        <v>3491</v>
      </c>
      <c r="I208" s="60" t="s">
        <v>1640</v>
      </c>
      <c r="J208" s="31" t="s">
        <v>1641</v>
      </c>
      <c r="K208" s="59" t="s">
        <v>4277</v>
      </c>
      <c r="L208" s="59" t="s">
        <v>442</v>
      </c>
      <c r="M208" s="59" t="s">
        <v>440</v>
      </c>
      <c r="N208" s="31" t="s">
        <v>1628</v>
      </c>
      <c r="O208" s="31" t="s">
        <v>1643</v>
      </c>
      <c r="P208" s="31" t="s">
        <v>1606</v>
      </c>
      <c r="Q208" s="59" t="s">
        <v>448</v>
      </c>
      <c r="R208" s="31" t="s">
        <v>999</v>
      </c>
      <c r="S208" s="31" t="s">
        <v>4481</v>
      </c>
    </row>
    <row r="209" spans="1:19">
      <c r="A209" s="59">
        <v>206</v>
      </c>
      <c r="B209" s="58" t="s">
        <v>2924</v>
      </c>
      <c r="C209" s="31" t="s">
        <v>2925</v>
      </c>
      <c r="D209" s="59" t="s">
        <v>2554</v>
      </c>
      <c r="E209" s="59" t="s">
        <v>2804</v>
      </c>
      <c r="F209" s="60" t="s">
        <v>3452</v>
      </c>
      <c r="G209" s="19" t="s">
        <v>4275</v>
      </c>
      <c r="H209" s="59" t="s">
        <v>3493</v>
      </c>
      <c r="I209" s="60" t="s">
        <v>2388</v>
      </c>
      <c r="J209" s="31" t="s">
        <v>2389</v>
      </c>
      <c r="K209" s="59" t="s">
        <v>4277</v>
      </c>
      <c r="L209" s="59" t="s">
        <v>738</v>
      </c>
      <c r="M209" s="59" t="s">
        <v>736</v>
      </c>
      <c r="N209" s="31" t="s">
        <v>1628</v>
      </c>
      <c r="O209" s="31" t="s">
        <v>1643</v>
      </c>
      <c r="P209" s="31" t="s">
        <v>2364</v>
      </c>
      <c r="Q209" s="59" t="s">
        <v>1566</v>
      </c>
      <c r="R209" s="31" t="s">
        <v>1280</v>
      </c>
      <c r="S209" s="31" t="s">
        <v>4482</v>
      </c>
    </row>
    <row r="210" spans="1:19">
      <c r="A210" s="66">
        <v>207</v>
      </c>
      <c r="B210" s="67" t="s">
        <v>704</v>
      </c>
      <c r="C210" s="68" t="s">
        <v>2929</v>
      </c>
      <c r="D210" s="66" t="s">
        <v>2554</v>
      </c>
      <c r="E210" s="66" t="s">
        <v>2553</v>
      </c>
      <c r="F210" s="69" t="s">
        <v>3458</v>
      </c>
      <c r="G210" s="70" t="s">
        <v>4275</v>
      </c>
      <c r="H210" s="66" t="s">
        <v>3491</v>
      </c>
      <c r="I210" s="69" t="s">
        <v>2000</v>
      </c>
      <c r="J210" s="68" t="s">
        <v>2001</v>
      </c>
      <c r="K210" s="66" t="s">
        <v>4277</v>
      </c>
      <c r="L210" s="66" t="s">
        <v>442</v>
      </c>
      <c r="M210" s="66" t="s">
        <v>440</v>
      </c>
      <c r="N210" s="68" t="s">
        <v>2003</v>
      </c>
      <c r="O210" s="68" t="s">
        <v>2004</v>
      </c>
      <c r="P210" s="68" t="s">
        <v>1606</v>
      </c>
      <c r="Q210" s="66" t="s">
        <v>448</v>
      </c>
      <c r="R210" s="68" t="s">
        <v>999</v>
      </c>
      <c r="S210" s="68" t="s">
        <v>4483</v>
      </c>
    </row>
    <row r="211" spans="1:19">
      <c r="A211" s="66">
        <v>208</v>
      </c>
      <c r="B211" s="67" t="s">
        <v>704</v>
      </c>
      <c r="C211" s="68" t="s">
        <v>2929</v>
      </c>
      <c r="D211" s="66" t="s">
        <v>2554</v>
      </c>
      <c r="E211" s="66" t="s">
        <v>2553</v>
      </c>
      <c r="F211" s="69" t="s">
        <v>3458</v>
      </c>
      <c r="G211" s="70" t="s">
        <v>4275</v>
      </c>
      <c r="H211" s="66" t="s">
        <v>3493</v>
      </c>
      <c r="I211" s="69" t="s">
        <v>2355</v>
      </c>
      <c r="J211" s="68" t="s">
        <v>2356</v>
      </c>
      <c r="K211" s="66" t="s">
        <v>4277</v>
      </c>
      <c r="L211" s="66" t="s">
        <v>498</v>
      </c>
      <c r="M211" s="66" t="s">
        <v>669</v>
      </c>
      <c r="N211" s="68" t="s">
        <v>2003</v>
      </c>
      <c r="O211" s="68" t="s">
        <v>2004</v>
      </c>
      <c r="P211" s="68" t="s">
        <v>1564</v>
      </c>
      <c r="Q211" s="66" t="s">
        <v>1566</v>
      </c>
      <c r="R211" s="68" t="s">
        <v>1512</v>
      </c>
      <c r="S211" s="68" t="s">
        <v>4484</v>
      </c>
    </row>
    <row r="212" spans="1:19">
      <c r="A212" s="59">
        <v>209</v>
      </c>
      <c r="B212" s="58" t="s">
        <v>2933</v>
      </c>
      <c r="C212" s="31" t="s">
        <v>2934</v>
      </c>
      <c r="D212" s="59" t="s">
        <v>2554</v>
      </c>
      <c r="E212" s="59" t="s">
        <v>2553</v>
      </c>
      <c r="F212" s="60" t="s">
        <v>3465</v>
      </c>
      <c r="G212" s="19" t="s">
        <v>4275</v>
      </c>
      <c r="H212" s="59" t="s">
        <v>3491</v>
      </c>
      <c r="I212" s="60" t="s">
        <v>1876</v>
      </c>
      <c r="J212" s="31" t="s">
        <v>1877</v>
      </c>
      <c r="K212" s="59" t="s">
        <v>4277</v>
      </c>
      <c r="L212" s="59" t="s">
        <v>442</v>
      </c>
      <c r="M212" s="59" t="s">
        <v>440</v>
      </c>
      <c r="N212" s="31" t="s">
        <v>1864</v>
      </c>
      <c r="O212" s="31" t="s">
        <v>1879</v>
      </c>
      <c r="P212" s="31" t="s">
        <v>1606</v>
      </c>
      <c r="Q212" s="59" t="s">
        <v>448</v>
      </c>
      <c r="R212" s="31" t="s">
        <v>999</v>
      </c>
      <c r="S212" s="31" t="s">
        <v>4485</v>
      </c>
    </row>
    <row r="213" spans="1:19">
      <c r="A213" s="59">
        <v>210</v>
      </c>
      <c r="B213" s="58" t="s">
        <v>2933</v>
      </c>
      <c r="C213" s="31" t="s">
        <v>2934</v>
      </c>
      <c r="D213" s="59" t="s">
        <v>2554</v>
      </c>
      <c r="E213" s="59" t="s">
        <v>2553</v>
      </c>
      <c r="F213" s="60" t="s">
        <v>3465</v>
      </c>
      <c r="G213" s="19" t="s">
        <v>4275</v>
      </c>
      <c r="H213" s="59" t="s">
        <v>3493</v>
      </c>
      <c r="I213" s="60" t="s">
        <v>2259</v>
      </c>
      <c r="J213" s="31" t="s">
        <v>2260</v>
      </c>
      <c r="K213" s="59" t="s">
        <v>4277</v>
      </c>
      <c r="L213" s="59" t="s">
        <v>498</v>
      </c>
      <c r="M213" s="59" t="s">
        <v>669</v>
      </c>
      <c r="N213" s="31" t="s">
        <v>1864</v>
      </c>
      <c r="O213" s="31" t="s">
        <v>1879</v>
      </c>
      <c r="P213" s="31" t="s">
        <v>1564</v>
      </c>
      <c r="Q213" s="59" t="s">
        <v>1566</v>
      </c>
      <c r="R213" s="31" t="s">
        <v>1512</v>
      </c>
      <c r="S213" s="31" t="s">
        <v>4486</v>
      </c>
    </row>
    <row r="214" spans="1:19">
      <c r="A214" s="66">
        <v>211</v>
      </c>
      <c r="B214" s="67" t="s">
        <v>2938</v>
      </c>
      <c r="C214" s="68" t="s">
        <v>2939</v>
      </c>
      <c r="D214" s="66" t="s">
        <v>2554</v>
      </c>
      <c r="E214" s="66" t="s">
        <v>2553</v>
      </c>
      <c r="F214" s="69" t="s">
        <v>3471</v>
      </c>
      <c r="G214" s="70" t="s">
        <v>4275</v>
      </c>
      <c r="H214" s="66" t="s">
        <v>3491</v>
      </c>
      <c r="I214" s="69" t="s">
        <v>1861</v>
      </c>
      <c r="J214" s="68" t="s">
        <v>1862</v>
      </c>
      <c r="K214" s="66" t="s">
        <v>4277</v>
      </c>
      <c r="L214" s="66" t="s">
        <v>442</v>
      </c>
      <c r="M214" s="66" t="s">
        <v>440</v>
      </c>
      <c r="N214" s="68" t="s">
        <v>1864</v>
      </c>
      <c r="O214" s="68" t="s">
        <v>1865</v>
      </c>
      <c r="P214" s="68" t="s">
        <v>1606</v>
      </c>
      <c r="Q214" s="66" t="s">
        <v>448</v>
      </c>
      <c r="R214" s="68" t="s">
        <v>999</v>
      </c>
      <c r="S214" s="68" t="s">
        <v>4487</v>
      </c>
    </row>
    <row r="215" spans="1:19">
      <c r="A215" s="66">
        <v>212</v>
      </c>
      <c r="B215" s="67" t="s">
        <v>2938</v>
      </c>
      <c r="C215" s="68" t="s">
        <v>2939</v>
      </c>
      <c r="D215" s="66" t="s">
        <v>2554</v>
      </c>
      <c r="E215" s="66" t="s">
        <v>2553</v>
      </c>
      <c r="F215" s="69" t="s">
        <v>3471</v>
      </c>
      <c r="G215" s="70" t="s">
        <v>4275</v>
      </c>
      <c r="H215" s="66" t="s">
        <v>3493</v>
      </c>
      <c r="I215" s="69" t="s">
        <v>2249</v>
      </c>
      <c r="J215" s="68" t="s">
        <v>2250</v>
      </c>
      <c r="K215" s="66" t="s">
        <v>4277</v>
      </c>
      <c r="L215" s="66" t="s">
        <v>498</v>
      </c>
      <c r="M215" s="66" t="s">
        <v>669</v>
      </c>
      <c r="N215" s="68" t="s">
        <v>1864</v>
      </c>
      <c r="O215" s="68" t="s">
        <v>1865</v>
      </c>
      <c r="P215" s="68" t="s">
        <v>1564</v>
      </c>
      <c r="Q215" s="66" t="s">
        <v>1566</v>
      </c>
      <c r="R215" s="68" t="s">
        <v>1512</v>
      </c>
      <c r="S215" s="68" t="s">
        <v>4488</v>
      </c>
    </row>
    <row r="216" spans="1:19">
      <c r="A216" s="59">
        <v>213</v>
      </c>
      <c r="B216" s="58" t="s">
        <v>2943</v>
      </c>
      <c r="C216" s="31" t="s">
        <v>2944</v>
      </c>
      <c r="D216" s="59" t="s">
        <v>2554</v>
      </c>
      <c r="E216" s="59" t="s">
        <v>2553</v>
      </c>
      <c r="F216" s="60" t="s">
        <v>3477</v>
      </c>
      <c r="G216" s="19" t="s">
        <v>4275</v>
      </c>
      <c r="H216" s="59" t="s">
        <v>3491</v>
      </c>
      <c r="I216" s="60" t="s">
        <v>1869</v>
      </c>
      <c r="J216" s="31" t="s">
        <v>1870</v>
      </c>
      <c r="K216" s="59" t="s">
        <v>4277</v>
      </c>
      <c r="L216" s="59" t="s">
        <v>442</v>
      </c>
      <c r="M216" s="59" t="s">
        <v>440</v>
      </c>
      <c r="N216" s="31" t="s">
        <v>1864</v>
      </c>
      <c r="O216" s="31" t="s">
        <v>1872</v>
      </c>
      <c r="P216" s="31" t="s">
        <v>1606</v>
      </c>
      <c r="Q216" s="59" t="s">
        <v>448</v>
      </c>
      <c r="R216" s="31" t="s">
        <v>999</v>
      </c>
      <c r="S216" s="31" t="s">
        <v>4489</v>
      </c>
    </row>
    <row r="217" spans="1:19">
      <c r="A217" s="59">
        <v>214</v>
      </c>
      <c r="B217" s="58" t="s">
        <v>2943</v>
      </c>
      <c r="C217" s="31" t="s">
        <v>2944</v>
      </c>
      <c r="D217" s="59" t="s">
        <v>2554</v>
      </c>
      <c r="E217" s="59" t="s">
        <v>2553</v>
      </c>
      <c r="F217" s="60" t="s">
        <v>3477</v>
      </c>
      <c r="G217" s="19" t="s">
        <v>4275</v>
      </c>
      <c r="H217" s="59" t="s">
        <v>3493</v>
      </c>
      <c r="I217" s="60" t="s">
        <v>2254</v>
      </c>
      <c r="J217" s="31" t="s">
        <v>2255</v>
      </c>
      <c r="K217" s="59" t="s">
        <v>4277</v>
      </c>
      <c r="L217" s="59" t="s">
        <v>498</v>
      </c>
      <c r="M217" s="59" t="s">
        <v>669</v>
      </c>
      <c r="N217" s="31" t="s">
        <v>1864</v>
      </c>
      <c r="O217" s="31" t="s">
        <v>1872</v>
      </c>
      <c r="P217" s="31" t="s">
        <v>1564</v>
      </c>
      <c r="Q217" s="59" t="s">
        <v>1566</v>
      </c>
      <c r="R217" s="31" t="s">
        <v>1512</v>
      </c>
      <c r="S217" s="31" t="s">
        <v>4490</v>
      </c>
    </row>
    <row r="219" spans="1:1" ht="22" customHeight="1">
      <c r="A219" s="74" t="s">
        <v>4491</v>
      </c>
    </row>
    <row r="220" spans="1:13" ht="46" customHeight="1">
      <c r="A220" s="64" t="s">
        <v>2661</v>
      </c>
      <c r="C220" s="65" t="s">
        <v>2662</v>
      </c>
      <c r="E220" s="75" t="s">
        <v>4492</v>
      </c>
      <c r="G220" s="65" t="s">
        <v>4493</v>
      </c>
      <c r="M220" s="65" t="s">
        <v>4494</v>
      </c>
    </row>
    <row r="221" spans="1:13" ht="46" customHeight="1">
      <c r="A221" s="64" t="s">
        <v>2686</v>
      </c>
      <c r="C221" s="65" t="s">
        <v>2687</v>
      </c>
      <c r="E221" s="75" t="s">
        <v>4495</v>
      </c>
      <c r="G221" s="65" t="s">
        <v>4496</v>
      </c>
      <c r="M221" s="65" t="s">
        <v>4494</v>
      </c>
    </row>
    <row r="222" spans="1:13" ht="46" customHeight="1">
      <c r="A222" s="64" t="s">
        <v>2711</v>
      </c>
      <c r="C222" s="65" t="s">
        <v>2712</v>
      </c>
      <c r="E222" s="75" t="s">
        <v>4497</v>
      </c>
      <c r="G222" s="65" t="s">
        <v>4498</v>
      </c>
      <c r="M222" s="65" t="s">
        <v>4494</v>
      </c>
    </row>
    <row r="223" spans="1:13" ht="46" customHeight="1">
      <c r="A223" s="64" t="s">
        <v>2721</v>
      </c>
      <c r="C223" s="65" t="s">
        <v>2722</v>
      </c>
      <c r="E223" s="75" t="s">
        <v>4499</v>
      </c>
      <c r="G223" s="65" t="s">
        <v>4500</v>
      </c>
      <c r="M223" s="65" t="s">
        <v>4494</v>
      </c>
    </row>
    <row r="224" spans="1:13" ht="46" customHeight="1">
      <c r="A224" s="64" t="s">
        <v>2731</v>
      </c>
      <c r="C224" s="65" t="s">
        <v>2732</v>
      </c>
      <c r="E224" s="75" t="s">
        <v>4501</v>
      </c>
      <c r="G224" s="65" t="s">
        <v>4502</v>
      </c>
      <c r="M224" s="65" t="s">
        <v>4494</v>
      </c>
    </row>
    <row r="225" spans="1:13" ht="46" customHeight="1">
      <c r="A225" s="64" t="s">
        <v>2741</v>
      </c>
      <c r="C225" s="65" t="s">
        <v>2742</v>
      </c>
      <c r="E225" s="75" t="s">
        <v>4503</v>
      </c>
      <c r="G225" s="65" t="s">
        <v>4504</v>
      </c>
      <c r="M225" s="65" t="s">
        <v>4494</v>
      </c>
    </row>
    <row r="226" spans="1:13" ht="46" customHeight="1">
      <c r="A226" s="64" t="s">
        <v>2751</v>
      </c>
      <c r="C226" s="65" t="s">
        <v>2752</v>
      </c>
      <c r="E226" s="75" t="s">
        <v>4505</v>
      </c>
      <c r="G226" s="65" t="s">
        <v>4506</v>
      </c>
      <c r="M226" s="65" t="s">
        <v>4494</v>
      </c>
    </row>
    <row r="227" spans="1:13" ht="46" customHeight="1">
      <c r="A227" s="64" t="s">
        <v>2761</v>
      </c>
      <c r="C227" s="65" t="s">
        <v>2762</v>
      </c>
      <c r="E227" s="75" t="s">
        <v>4507</v>
      </c>
      <c r="G227" s="65" t="s">
        <v>4508</v>
      </c>
      <c r="M227" s="65" t="s">
        <v>4494</v>
      </c>
    </row>
    <row r="228" spans="1:13" ht="46" customHeight="1">
      <c r="A228" s="64" t="s">
        <v>2771</v>
      </c>
      <c r="C228" s="65" t="s">
        <v>2772</v>
      </c>
      <c r="E228" s="75" t="s">
        <v>4509</v>
      </c>
      <c r="G228" s="65" t="s">
        <v>4510</v>
      </c>
      <c r="M228" s="65" t="s">
        <v>4494</v>
      </c>
    </row>
    <row r="229" spans="1:13" ht="46" customHeight="1">
      <c r="A229" s="64" t="s">
        <v>2781</v>
      </c>
      <c r="C229" s="65" t="s">
        <v>2782</v>
      </c>
      <c r="E229" s="75" t="s">
        <v>4511</v>
      </c>
      <c r="G229" s="65" t="s">
        <v>4512</v>
      </c>
      <c r="M229" s="65" t="s">
        <v>4494</v>
      </c>
    </row>
    <row r="230" spans="1:13" ht="46" customHeight="1">
      <c r="A230" s="64" t="s">
        <v>2791</v>
      </c>
      <c r="C230" s="65" t="s">
        <v>2792</v>
      </c>
      <c r="E230" s="75" t="s">
        <v>4513</v>
      </c>
      <c r="G230" s="65" t="s">
        <v>4514</v>
      </c>
      <c r="M230" s="65" t="s">
        <v>4494</v>
      </c>
    </row>
  </sheetData>
  <autoFilter ref="A3:S217"/>
  <mergeCells count="58">
    <mergeCell ref="G224:L224"/>
    <mergeCell ref="A222:B222"/>
    <mergeCell ref="M225:S225"/>
    <mergeCell ref="A226:B226"/>
    <mergeCell ref="A219:S219"/>
    <mergeCell ref="A225:B225"/>
    <mergeCell ref="G229:L229"/>
    <mergeCell ref="G220:L220"/>
    <mergeCell ref="C225:D225"/>
    <mergeCell ref="A228:B228"/>
    <mergeCell ref="E224:F224"/>
    <mergeCell ref="M221:S221"/>
    <mergeCell ref="A221:B221"/>
    <mergeCell ref="A227:B227"/>
    <mergeCell ref="M230:S230"/>
    <mergeCell ref="C221:D221"/>
    <mergeCell ref="G222:L222"/>
    <mergeCell ref="M220:S220"/>
    <mergeCell ref="E221:F221"/>
    <mergeCell ref="M224:S224"/>
    <mergeCell ref="G225:L225"/>
    <mergeCell ref="C226:D226"/>
    <mergeCell ref="C227:D227"/>
    <mergeCell ref="C230:D230"/>
    <mergeCell ref="E230:F230"/>
    <mergeCell ref="E220:F220"/>
    <mergeCell ref="E229:F229"/>
    <mergeCell ref="A223:B223"/>
    <mergeCell ref="M226:S226"/>
    <mergeCell ref="C223:D223"/>
    <mergeCell ref="C229:D229"/>
    <mergeCell ref="M229:S229"/>
    <mergeCell ref="G227:L227"/>
    <mergeCell ref="G230:L230"/>
    <mergeCell ref="C222:D222"/>
    <mergeCell ref="G221:L221"/>
    <mergeCell ref="E222:F222"/>
    <mergeCell ref="E226:F226"/>
    <mergeCell ref="A1:S1"/>
    <mergeCell ref="G226:L226"/>
    <mergeCell ref="M228:S228"/>
    <mergeCell ref="M222:S222"/>
    <mergeCell ref="E225:F225"/>
    <mergeCell ref="G223:L223"/>
    <mergeCell ref="C228:D228"/>
    <mergeCell ref="A224:B224"/>
    <mergeCell ref="E228:F228"/>
    <mergeCell ref="C224:D224"/>
    <mergeCell ref="E227:F227"/>
    <mergeCell ref="A230:B230"/>
    <mergeCell ref="M227:S227"/>
    <mergeCell ref="M223:S223"/>
    <mergeCell ref="G228:L228"/>
    <mergeCell ref="C220:D220"/>
    <mergeCell ref="A229:B229"/>
    <mergeCell ref="A220:B220"/>
    <mergeCell ref="A2:S2"/>
    <mergeCell ref="E223:F223"/>
  </mergeCells>
  <printOptions horizontalCentered="1"/>
  <pageMargins left="0.28" right="0.28" top="0.4" bottom="0.4" header="0.5" footer="0.5"/>
  <pageSetup paperSize="9" fitToWidth="1" fitToHeight="0" orientation="landscape"/>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2026-09-18T14:04:06Z</dcterms:created>
  <dcterms:modified xsi:type="dcterms:W3CDTF">2026-09-18T14:04:06Z</dcterms:modified>
</cp:coreProperties>
</file>